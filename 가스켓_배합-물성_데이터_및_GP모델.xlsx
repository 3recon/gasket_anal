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Raw_Data" sheetId="3" state="visible" r:id="rId3"/>
    <sheet xmlns:r="http://schemas.openxmlformats.org/officeDocument/2006/relationships" name="Model_Data" sheetId="4" state="visible" r:id="rId4"/>
    <sheet xmlns:r="http://schemas.openxmlformats.org/officeDocument/2006/relationships" name="Stats" sheetId="5" state="visible" r:id="rId5"/>
    <sheet xmlns:r="http://schemas.openxmlformats.org/officeDocument/2006/relationships" name="HP_Trials" sheetId="6" state="visible" r:id="rId6"/>
    <sheet xmlns:r="http://schemas.openxmlformats.org/officeDocument/2006/relationships" name="Best_Models" sheetId="7" state="visible" r:id="rId7"/>
    <sheet xmlns:r="http://schemas.openxmlformats.org/officeDocument/2006/relationships" name="Predictions" sheetId="8" state="visible" r:id="rId8"/>
    <sheet xmlns:r="http://schemas.openxmlformats.org/officeDocument/2006/relationships" name="BO_Recommend" sheetId="9" state="visible" r:id="rId9"/>
  </sheets>
  <definedNames>
    <definedName name="_xlnm._FilterDatabase" localSheetId="1" hidden="1">'Sources'!$A$1:$F$41</definedName>
    <definedName name="_xlnm._FilterDatabase" localSheetId="2" hidden="1">'Raw_Data'!$A$1:$AI$413</definedName>
    <definedName name="_xlnm._FilterDatabase" localSheetId="3" hidden="1">'Model_Data'!$A$1:$AI$334</definedName>
    <definedName name="_xlnm._FilterDatabase" localSheetId="5" hidden="1">'HP_Trials'!$A$1:$W$526</definedName>
    <definedName name="_xlnm._FilterDatabase" localSheetId="6" hidden="1">'Best_Models'!$A$1:$AB$6</definedName>
    <definedName name="_xlnm._FilterDatabase" localSheetId="7" hidden="1">'Predictions'!$A$1:$L$1275</definedName>
    <definedName name="_xlnm._FilterDatabase" localSheetId="8" hidden="1">'BO_Recommend'!$A$3:$AC$13</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name val="Arial"/>
      <b val="1"/>
      <color rgb="001F3A5F"/>
      <sz val="14"/>
    </font>
    <font>
      <name val="Arial"/>
      <sz val="10"/>
    </font>
    <font>
      <name val="Arial"/>
      <b val="1"/>
      <sz val="10"/>
    </font>
    <font>
      <name val="Arial"/>
      <b val="1"/>
      <color rgb="00FFFFFF"/>
      <sz val="10"/>
    </font>
    <font>
      <name val="Arial"/>
      <color rgb="000563C1"/>
      <sz val="10"/>
      <u val="single"/>
    </font>
    <font>
      <name val="Arial"/>
      <color rgb="000000FF"/>
      <sz val="10"/>
    </font>
    <font>
      <name val="Arial"/>
      <b val="1"/>
      <color rgb="00C00000"/>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pivotButton="0" quotePrefix="0" xfId="0"/>
    <xf numFmtId="0" fontId="6" fillId="0" borderId="0" pivotButton="0" quotePrefix="0" xfId="0"/>
    <xf numFmtId="0" fontId="4" fillId="2" borderId="0" pivotButton="0" quotePrefix="0" xfId="0"/>
    <xf numFmtId="2" fontId="2" fillId="0" borderId="0" pivotButton="0" quotePrefix="0" xfId="0"/>
    <xf numFmtId="164" fontId="2" fillId="0" borderId="0" pivotButton="0" quotePrefix="0" xfId="0"/>
    <xf numFmtId="165" fontId="2"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atents.google.com/patent/CN106633544B/en" TargetMode="External" Id="rId1"/><Relationship Type="http://schemas.openxmlformats.org/officeDocument/2006/relationships/hyperlink" Target="https://patents.google.com/patent/EP4249550A1/en" TargetMode="External" Id="rId2"/><Relationship Type="http://schemas.openxmlformats.org/officeDocument/2006/relationships/hyperlink" Target="https://patents.google.com/patent/KR100894110B1/en" TargetMode="External" Id="rId3"/><Relationship Type="http://schemas.openxmlformats.org/officeDocument/2006/relationships/hyperlink" Target="https://patents.google.com/patent/KR101467101B1/en" TargetMode="External" Id="rId4"/><Relationship Type="http://schemas.openxmlformats.org/officeDocument/2006/relationships/hyperlink" Target="https://patents.google.com/patent/KR102323568B1/en" TargetMode="External" Id="rId5"/><Relationship Type="http://schemas.openxmlformats.org/officeDocument/2006/relationships/hyperlink" Target="https://patents.google.com/patent/KR102324534B1/en" TargetMode="External" Id="rId6"/><Relationship Type="http://schemas.openxmlformats.org/officeDocument/2006/relationships/hyperlink" Target="https://patents.google.com/patent/KR102400335B1/en" TargetMode="External" Id="rId7"/><Relationship Type="http://schemas.openxmlformats.org/officeDocument/2006/relationships/hyperlink" Target="https://patents.google.com/patent/KR102713660B1/en" TargetMode="External" Id="rId8"/><Relationship Type="http://schemas.openxmlformats.org/officeDocument/2006/relationships/hyperlink" Target="https://patents.google.com/patent/KR102796110B1/en" TargetMode="External" Id="rId9"/><Relationship Type="http://schemas.openxmlformats.org/officeDocument/2006/relationships/hyperlink" Target="https://patents.google.com/patent/KR20130014651A/en" TargetMode="External" Id="rId10"/><Relationship Type="http://schemas.openxmlformats.org/officeDocument/2006/relationships/hyperlink" Target="https://patents.google.com/patent/US10723872B2/en" TargetMode="External" Id="rId11"/><Relationship Type="http://schemas.openxmlformats.org/officeDocument/2006/relationships/hyperlink" Target="https://patents.google.com/patent/US11072700B2/en" TargetMode="External" Id="rId12"/><Relationship Type="http://schemas.openxmlformats.org/officeDocument/2006/relationships/hyperlink" Target="https://patents.google.com/patent/US11118045B2/en" TargetMode="External" Id="rId13"/><Relationship Type="http://schemas.openxmlformats.org/officeDocument/2006/relationships/hyperlink" Target="https://patents.google.com/patent/US11753523B2/en" TargetMode="External" Id="rId14"/><Relationship Type="http://schemas.openxmlformats.org/officeDocument/2006/relationships/hyperlink" Target="https://patents.google.com/patent/US12091537B2/en" TargetMode="External" Id="rId15"/><Relationship Type="http://schemas.openxmlformats.org/officeDocument/2006/relationships/hyperlink" Target="https://patents.google.com/patent/US12304984B2/en" TargetMode="External" Id="rId16"/><Relationship Type="http://schemas.openxmlformats.org/officeDocument/2006/relationships/hyperlink" Target="https://patents.google.com/patent/US12305107B2/en" TargetMode="External" Id="rId17"/><Relationship Type="http://schemas.openxmlformats.org/officeDocument/2006/relationships/hyperlink" Target="https://patents.google.com/patent/US12584054B2/en" TargetMode="External" Id="rId18"/><Relationship Type="http://schemas.openxmlformats.org/officeDocument/2006/relationships/hyperlink" Target="https://patents.google.com/patent/US20040019153A1/en" TargetMode="External" Id="rId19"/><Relationship Type="http://schemas.openxmlformats.org/officeDocument/2006/relationships/hyperlink" Target="https://patents.google.com/patent/US20050107544A1/en" TargetMode="External" Id="rId20"/><Relationship Type="http://schemas.openxmlformats.org/officeDocument/2006/relationships/hyperlink" Target="https://patents.google.com/patent/US20090093590A1/en" TargetMode="External" Id="rId21"/><Relationship Type="http://schemas.openxmlformats.org/officeDocument/2006/relationships/hyperlink" Target="https://patents.google.com/patent/US20160319102A1/en" TargetMode="External" Id="rId22"/><Relationship Type="http://schemas.openxmlformats.org/officeDocument/2006/relationships/hyperlink" Target="https://patents.google.com/patent/US20230174763A1/en" TargetMode="External" Id="rId23"/><Relationship Type="http://schemas.openxmlformats.org/officeDocument/2006/relationships/hyperlink" Target="https://patents.google.com/patent/US20230365800A1/en" TargetMode="External" Id="rId24"/><Relationship Type="http://schemas.openxmlformats.org/officeDocument/2006/relationships/hyperlink" Target="https://patents.google.com/patent/US5696189A/en" TargetMode="External" Id="rId25"/><Relationship Type="http://schemas.openxmlformats.org/officeDocument/2006/relationships/hyperlink" Target="https://patents.google.com/patent/US6191208B1/en" TargetMode="External" Id="rId26"/><Relationship Type="http://schemas.openxmlformats.org/officeDocument/2006/relationships/hyperlink" Target="https://patents.google.com/patent/US6211319B1/en" TargetMode="External" Id="rId27"/><Relationship Type="http://schemas.openxmlformats.org/officeDocument/2006/relationships/hyperlink" Target="https://patents.google.com/patent/US6281296B1/en" TargetMode="External" Id="rId28"/><Relationship Type="http://schemas.openxmlformats.org/officeDocument/2006/relationships/hyperlink" Target="https://patents.google.com/patent/US6803402B2/en" TargetMode="External" Id="rId29"/><Relationship Type="http://schemas.openxmlformats.org/officeDocument/2006/relationships/hyperlink" Target="https://patents.google.com/patent/US6956085B2/en" TargetMode="External" Id="rId30"/><Relationship Type="http://schemas.openxmlformats.org/officeDocument/2006/relationships/hyperlink" Target="https://patents.google.com/patent/US6992143B2/en" TargetMode="External" Id="rId31"/><Relationship Type="http://schemas.openxmlformats.org/officeDocument/2006/relationships/hyperlink" Target="https://patents.google.com/patent/US7247749B2/en" TargetMode="External" Id="rId32"/><Relationship Type="http://schemas.openxmlformats.org/officeDocument/2006/relationships/hyperlink" Target="https://patents.google.com/patent/US7354974B2/en" TargetMode="External" Id="rId33"/><Relationship Type="http://schemas.openxmlformats.org/officeDocument/2006/relationships/hyperlink" Target="https://patents.google.com/patent/US7402630B2/en" TargetMode="External" Id="rId34"/><Relationship Type="http://schemas.openxmlformats.org/officeDocument/2006/relationships/hyperlink" Target="https://patents.google.com/patent/US7666948B2/en" TargetMode="External" Id="rId35"/><Relationship Type="http://schemas.openxmlformats.org/officeDocument/2006/relationships/hyperlink" Target="https://patents.google.com/patent/US7678858B2/en" TargetMode="External" Id="rId36"/><Relationship Type="http://schemas.openxmlformats.org/officeDocument/2006/relationships/hyperlink" Target="https://patents.google.com/patent/US8173727B2/en" TargetMode="External" Id="rId37"/><Relationship Type="http://schemas.openxmlformats.org/officeDocument/2006/relationships/hyperlink" Target="https://patents.google.com/patent/US8211964B2/en" TargetMode="External" Id="rId38"/><Relationship Type="http://schemas.openxmlformats.org/officeDocument/2006/relationships/hyperlink" Target="https://patents.google.com/patent/US8349965B2/en" TargetMode="External" Id="rId39"/><Relationship Type="http://schemas.openxmlformats.org/officeDocument/2006/relationships/hyperlink" Target="https://patents.google.com/patent/US8367776B2/en" TargetMode="External" Id="rId40"/></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20" customWidth="1" min="1" max="1"/>
    <col width="14" customWidth="1" min="2" max="2"/>
  </cols>
  <sheetData>
    <row r="1">
      <c r="A1" s="1" t="inlineStr">
        <is>
          <t>반도체 장비용 불소고무 가스켓: 배합비-물성 데이터셋 및 가우시안 프로세스 모델</t>
        </is>
      </c>
    </row>
    <row r="2">
      <c r="A2" s="2" t="inlineStr"/>
    </row>
    <row r="3">
      <c r="A3" s="3" t="inlineStr">
        <is>
          <t>목적</t>
        </is>
      </c>
    </row>
    <row r="4">
      <c r="A4" s="2" t="inlineStr">
        <is>
          <t>공개 특허의 실시예/비교예 표에서 원재료(고무) 및 부재료(필러, 가교제, 가교조제, 수산제 등)의 배합비(phr)와 물성(경도, 인장강도, 신율, 100% 모듈러스, 압축영구줄음률)을 추출하고, 가우시안 프로세스(GP) 회귀 + 베이지안 최적화(BO)로 물성 예측 모델을 구축한 결과를 담은 파일입니다.</t>
        </is>
      </c>
    </row>
    <row r="5">
      <c r="A5" s="2" t="inlineStr"/>
    </row>
    <row r="6">
      <c r="A6" s="3" t="inlineStr">
        <is>
          <t>시트 구성</t>
        </is>
      </c>
    </row>
    <row r="7">
      <c r="A7" s="2" t="inlineStr">
        <is>
          <t>Sources : 데이터 출처 특허 목록 (특허번호, 출원인, 제목, URL, 수집 행수/모델 사용 행수 = COUNTIF 수식)</t>
        </is>
      </c>
    </row>
    <row r="8">
      <c r="A8" s="2" t="inlineStr">
        <is>
          <t>Raw_Data : 특허에서 추출한 전체 원자료 (표 값을 그대로 전사, 단위만 MPa로 환산)</t>
        </is>
      </c>
    </row>
    <row r="9">
      <c r="A9" s="2" t="inlineStr">
        <is>
          <t>Model_Data : 정제 규칙을 통과해 모델링에 사용한 데이터 (파생변수 total_filler_phr 은 SUM 수식)</t>
        </is>
      </c>
    </row>
    <row r="10">
      <c r="A10" s="2" t="inlineStr">
        <is>
          <t>Stats : 물성별 데이터 수·평균·표준편차·최소·최대 (Model_Data 참조 수식)</t>
        </is>
      </c>
    </row>
    <row r="11">
      <c r="A11" s="2" t="inlineStr">
        <is>
          <t>HP_Trials : 하이퍼파라미터 실험 전체 기록 (기준모델, 커널 스크리닝, BO 3회 반복, 강건성 재평가)</t>
        </is>
      </c>
    </row>
    <row r="12">
      <c r="A12" s="2" t="inlineStr">
        <is>
          <t>Best_Models : 물성별 최종 선택 하이퍼파라미터와 교차검증/테스트/출처별 검증 성능</t>
        </is>
      </c>
    </row>
    <row r="13">
      <c r="A13" s="2" t="inlineStr">
        <is>
          <t>Predictions : 개발셋 OOF 예측 및 테스트셋 예측 (예측 표준편차, 95% 구간, 잔차 수식 포함)</t>
        </is>
      </c>
    </row>
    <row r="14">
      <c r="A14" s="2" t="inlineStr">
        <is>
          <t>BO_Recommend : 학습된 GP + 제약 기대개선(cEI)으로 제안한 차기 실험 배합 후보 (실험 검증 전 예측값)</t>
        </is>
      </c>
    </row>
    <row r="15">
      <c r="A15" s="2" t="inlineStr"/>
    </row>
    <row r="16">
      <c r="A16" s="3" t="inlineStr">
        <is>
          <t>데이터 무결성 원칙</t>
        </is>
      </c>
    </row>
    <row r="17">
      <c r="A17" s="2" t="inlineStr">
        <is>
          <t>모든 수치는 특허 원문 표/본문에서 전사했습니다. 추정·보간·합성 데이터는 포함하지 않았습니다. 보고되지 않은 값은 빈 칸입니다. 파란 글씨 = 특허에서 가져온 입력값, 검정 = 수식/계산값.</t>
        </is>
      </c>
    </row>
    <row r="18">
      <c r="A18" s="2" t="inlineStr">
        <is>
          <t>단위 환산: kgf/cm² × 0.0980665 = MPa, psi × 0.00689476 = MPa. phr = 고무 100 중량부 기준 부재료 중량부.</t>
        </is>
      </c>
    </row>
    <row r="19">
      <c r="A19" s="2" t="inlineStr"/>
    </row>
    <row r="20">
      <c r="A20" s="3" t="inlineStr">
        <is>
          <t>정제 규칙 (Raw_Data → Model_Data)</t>
        </is>
      </c>
    </row>
    <row r="21">
      <c r="A21" s="2" t="inlineStr">
        <is>
          <t>1) 고무 종류가 FFKM/FKM/FEPM 가 아닌 블렌드(실리콘/EPDM 혼합 등) 제외</t>
        </is>
      </c>
    </row>
    <row r="22">
      <c r="A22" s="2" t="inlineStr">
        <is>
          <t>2) Shore A 가 아닌 경도(마이크로 경도계 Shore M 등)는 경도 열에서 제외</t>
        </is>
      </c>
    </row>
    <row r="23">
      <c r="A23" s="2" t="inlineStr">
        <is>
          <t>3) 100% 모듈러스가 보고되었는데 신율이 100% 미만인 경우 오기로 판단해 신율 제외</t>
        </is>
      </c>
    </row>
    <row r="24">
      <c r="A24" s="2" t="inlineStr">
        <is>
          <t>4) 서로 다른 특허(패밀리)에 동일 배합·동일 물성으로 중복 수록된 행 제거</t>
        </is>
      </c>
    </row>
    <row r="25">
      <c r="A25" s="2" t="inlineStr">
        <is>
          <t>5) 압축영구줄음률은 시험 온도가 명시되고 시험시간 60~100 h 인 행만 사용하며, 시험온도(cs_temp_C)를 입력변수로 추가</t>
        </is>
      </c>
    </row>
    <row r="26">
      <c r="A26" s="2" t="inlineStr"/>
    </row>
    <row r="27">
      <c r="A27" s="3" t="inlineStr">
        <is>
          <t>요약 수치</t>
        </is>
      </c>
    </row>
    <row r="28">
      <c r="A28" s="4" t="inlineStr">
        <is>
          <t>수집 원자료 행 수</t>
        </is>
      </c>
      <c r="B28" s="5">
        <f>COUNTA(Raw_Data!A:A)-1</f>
        <v/>
      </c>
    </row>
    <row r="29">
      <c r="A29" s="4" t="inlineStr">
        <is>
          <t>수집 출처(특허) 수</t>
        </is>
      </c>
      <c r="B29" s="5">
        <f>COUNTA(Sources!A:A)-2</f>
        <v/>
      </c>
    </row>
    <row r="30">
      <c r="A30" s="4" t="inlineStr">
        <is>
          <t>모델링 사용 행 수</t>
        </is>
      </c>
      <c r="B30" s="5">
        <f>COUNTA(Model_Data!A:A)-1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48" customWidth="1" min="4" max="4"/>
    <col width="14" customWidth="1" min="5" max="5"/>
    <col width="14" customWidth="1" min="6" max="6"/>
  </cols>
  <sheetData>
    <row r="1" ht="30" customHeight="1">
      <c r="A1" s="6" t="inlineStr">
        <is>
          <t>source_id</t>
        </is>
      </c>
      <c r="B1" s="6" t="inlineStr">
        <is>
          <t>assignee</t>
        </is>
      </c>
      <c r="C1" s="6" t="inlineStr">
        <is>
          <t>title</t>
        </is>
      </c>
      <c r="D1" s="6" t="inlineStr">
        <is>
          <t>url</t>
        </is>
      </c>
      <c r="E1" s="6" t="inlineStr">
        <is>
          <t>rows_collected</t>
        </is>
      </c>
      <c r="F1" s="6" t="inlineStr">
        <is>
          <t>rows_in_model</t>
        </is>
      </c>
    </row>
    <row r="2">
      <c r="A2" s="4" t="inlineStr">
        <is>
          <t>CN106633544B</t>
        </is>
      </c>
      <c r="B2" s="4" t="inlineStr">
        <is>
          <t>Shanghai Rushi Sealing Technology Co., Ltd. (上海如实密封科技有限公司)</t>
        </is>
      </c>
      <c r="C2" s="4" t="inlineStr">
        <is>
          <t>Fluororubber material for high-temperature high-pressure resistant sealing element and preparation method thereof</t>
        </is>
      </c>
      <c r="D2" s="7" t="inlineStr">
        <is>
          <t>https://patents.google.com/patent/CN106633544B/en</t>
        </is>
      </c>
      <c r="E2" s="4">
        <f>COUNTIF(Raw_Data!$A:$A,A2)</f>
        <v/>
      </c>
      <c r="F2" s="4">
        <f>COUNTIF(Model_Data!$B:$B,A2)</f>
        <v/>
      </c>
    </row>
    <row r="3">
      <c r="A3" s="4" t="inlineStr">
        <is>
          <t>EP4249550A1</t>
        </is>
      </c>
      <c r="B3" s="4" t="inlineStr">
        <is>
          <t>Mitsubishi Cable Industries, Ltd.</t>
        </is>
      </c>
      <c r="C3" s="4" t="inlineStr">
        <is>
          <t>Fluorine rubber composition and rubber molded article formed using same</t>
        </is>
      </c>
      <c r="D3" s="7" t="inlineStr">
        <is>
          <t>https://patents.google.com/patent/EP4249550A1/en</t>
        </is>
      </c>
      <c r="E3" s="4">
        <f>COUNTIF(Raw_Data!$A:$A,A3)</f>
        <v/>
      </c>
      <c r="F3" s="4">
        <f>COUNTIF(Model_Data!$B:$B,A3)</f>
        <v/>
      </c>
    </row>
    <row r="4">
      <c r="A4" s="4" t="inlineStr">
        <is>
          <t>KR100894110B1</t>
        </is>
      </c>
      <c r="B4" s="4" t="inlineStr">
        <is>
          <t>M&amp;E Co., Ltd. (주식회사 엠앤이)</t>
        </is>
      </c>
      <c r="C4" s="4" t="inlineStr">
        <is>
          <t>Perfluoro rubbers for semiconductor sealing with improved elongation</t>
        </is>
      </c>
      <c r="D4" s="7" t="inlineStr">
        <is>
          <t>https://patents.google.com/patent/KR100894110B1/en</t>
        </is>
      </c>
      <c r="E4" s="4">
        <f>COUNTIF(Raw_Data!$A:$A,A4)</f>
        <v/>
      </c>
      <c r="F4" s="4">
        <f>COUNTIF(Model_Data!$B:$B,A4)</f>
        <v/>
      </c>
    </row>
    <row r="5">
      <c r="A5" s="4" t="inlineStr">
        <is>
          <t>KR101467101B1</t>
        </is>
      </c>
      <c r="B5" s="4" t="inlineStr">
        <is>
          <t>M&amp;E Co., Ltd. (주식회사 엠앤이)</t>
        </is>
      </c>
      <c r="C5" s="4" t="inlineStr">
        <is>
          <t>Compound for sealing (FFKM compound for semiconductor/LCD CVD equipment)</t>
        </is>
      </c>
      <c r="D5" s="7" t="inlineStr">
        <is>
          <t>https://patents.google.com/patent/KR101467101B1/en</t>
        </is>
      </c>
      <c r="E5" s="4">
        <f>COUNTIF(Raw_Data!$A:$A,A5)</f>
        <v/>
      </c>
      <c r="F5" s="4">
        <f>COUNTIF(Model_Data!$B:$B,A5)</f>
        <v/>
      </c>
    </row>
    <row r="6">
      <c r="A6" s="4" t="inlineStr">
        <is>
          <t>KR102323568B1</t>
        </is>
      </c>
      <c r="B6" s="4" t="inlineStr">
        <is>
          <t>Chung-Ang University Industry-Academic Cooperation Foundation (중앙대학교 산학협력단)</t>
        </is>
      </c>
      <c r="C6" s="4" t="inlineStr">
        <is>
          <t>Perfluoro elastomer composite with improved heat resistance, and method of fabricating the same</t>
        </is>
      </c>
      <c r="D6" s="7" t="inlineStr">
        <is>
          <t>https://patents.google.com/patent/KR102323568B1/en</t>
        </is>
      </c>
      <c r="E6" s="4">
        <f>COUNTIF(Raw_Data!$A:$A,A6)</f>
        <v/>
      </c>
      <c r="F6" s="4">
        <f>COUNTIF(Model_Data!$B:$B,A6)</f>
        <v/>
      </c>
    </row>
    <row r="7">
      <c r="A7" s="4" t="inlineStr">
        <is>
          <t>KR102324534B1</t>
        </is>
      </c>
      <c r="B7" s="4" t="inlineStr">
        <is>
          <t>SHPP Global Technologies B.V.</t>
        </is>
      </c>
      <c r="C7" s="4" t="inlineStr">
        <is>
          <t>Composite material comprising fluoroelastomer and polyimide, method for producing the composite material, and article comprising the composite material</t>
        </is>
      </c>
      <c r="D7" s="7" t="inlineStr">
        <is>
          <t>https://patents.google.com/patent/KR102324534B1/en</t>
        </is>
      </c>
      <c r="E7" s="4">
        <f>COUNTIF(Raw_Data!$A:$A,A7)</f>
        <v/>
      </c>
      <c r="F7" s="4">
        <f>COUNTIF(Model_Data!$B:$B,A7)</f>
        <v/>
      </c>
    </row>
    <row r="8">
      <c r="A8" s="4" t="inlineStr">
        <is>
          <t>KR102400335B1</t>
        </is>
      </c>
      <c r="B8" s="4" t="inlineStr">
        <is>
          <t>M&amp;E Co., Ltd. (주식회사 엠앤이)</t>
        </is>
      </c>
      <c r="C8" s="4" t="inlineStr">
        <is>
          <t>Sealing material for semiconductor manufacturing apparatus with improved plasma resistance in oxygen-atmosphere and fluorine-atmosphere plasma processes</t>
        </is>
      </c>
      <c r="D8" s="7" t="inlineStr">
        <is>
          <t>https://patents.google.com/patent/KR102400335B1/en</t>
        </is>
      </c>
      <c r="E8" s="4">
        <f>COUNTIF(Raw_Data!$A:$A,A8)</f>
        <v/>
      </c>
      <c r="F8" s="4">
        <f>COUNTIF(Model_Data!$B:$B,A8)</f>
        <v/>
      </c>
    </row>
    <row r="9">
      <c r="A9" s="4" t="inlineStr">
        <is>
          <t>KR102713660B1</t>
        </is>
      </c>
      <c r="B9" s="4" t="inlineStr">
        <is>
          <t>Hansung Tech Co., Ltd. (한성테크 주식회사)</t>
        </is>
      </c>
      <c r="C9" s="4" t="inlineStr">
        <is>
          <t>Method for manufacturing perfluororubber and fluororubber composite with improved chemical resistance</t>
        </is>
      </c>
      <c r="D9" s="7" t="inlineStr">
        <is>
          <t>https://patents.google.com/patent/KR102713660B1/en</t>
        </is>
      </c>
      <c r="E9" s="4">
        <f>COUNTIF(Raw_Data!$A:$A,A9)</f>
        <v/>
      </c>
      <c r="F9" s="4">
        <f>COUNTIF(Model_Data!$B:$B,A9)</f>
        <v/>
      </c>
    </row>
    <row r="10">
      <c r="A10" s="4" t="inlineStr">
        <is>
          <t>KR102796110B1</t>
        </is>
      </c>
      <c r="B10" s="4" t="inlineStr">
        <is>
          <t>DYFLEX Co., Ltd. (디와이플렉스 주식회사)</t>
        </is>
      </c>
      <c r="C10" s="4" t="inlineStr">
        <is>
          <t>Fluororubber-based composition for sealing</t>
        </is>
      </c>
      <c r="D10" s="7" t="inlineStr">
        <is>
          <t>https://patents.google.com/patent/KR102796110B1/en</t>
        </is>
      </c>
      <c r="E10" s="4">
        <f>COUNTIF(Raw_Data!$A:$A,A10)</f>
        <v/>
      </c>
      <c r="F10" s="4">
        <f>COUNTIF(Model_Data!$B:$B,A10)</f>
        <v/>
      </c>
    </row>
    <row r="11">
      <c r="A11" s="4" t="inlineStr">
        <is>
          <t>KR20130014651A</t>
        </is>
      </c>
      <c r="B11" s="4" t="inlineStr">
        <is>
          <t>Pyung Hwa Oil Seal Industry Co., Ltd. (평화오일씰공업주식회사)</t>
        </is>
      </c>
      <c r="C11" s="4" t="inlineStr">
        <is>
          <t>Rubber composition of FKM oil seal with improved wear resistance</t>
        </is>
      </c>
      <c r="D11" s="7" t="inlineStr">
        <is>
          <t>https://patents.google.com/patent/KR20130014651A/en</t>
        </is>
      </c>
      <c r="E11" s="4">
        <f>COUNTIF(Raw_Data!$A:$A,A11)</f>
        <v/>
      </c>
      <c r="F11" s="4">
        <f>COUNTIF(Model_Data!$B:$B,A11)</f>
        <v/>
      </c>
    </row>
    <row r="12">
      <c r="A12" s="4" t="inlineStr">
        <is>
          <t>US10723872B2</t>
        </is>
      </c>
      <c r="B12" s="4" t="inlineStr">
        <is>
          <t>Nichias Corporation</t>
        </is>
      </c>
      <c r="C12" s="4" t="inlineStr">
        <is>
          <t>Crosslinkable elastomer composition, molded article, seal member, plasma treatment apparatus and semiconductor manufacturing apparatus including said seal member, and agent for decreasing hardness of molded article, method for producing molded article</t>
        </is>
      </c>
      <c r="D12" s="7" t="inlineStr">
        <is>
          <t>https://patents.google.com/patent/US10723872B2/en</t>
        </is>
      </c>
      <c r="E12" s="4">
        <f>COUNTIF(Raw_Data!$A:$A,A12)</f>
        <v/>
      </c>
      <c r="F12" s="4">
        <f>COUNTIF(Model_Data!$B:$B,A12)</f>
        <v/>
      </c>
    </row>
    <row r="13">
      <c r="A13" s="4" t="inlineStr">
        <is>
          <t>US11072700B2</t>
        </is>
      </c>
      <c r="B13" s="4" t="inlineStr">
        <is>
          <t>Daikin Industries, Ltd.</t>
        </is>
      </c>
      <c r="C13" s="4" t="inlineStr">
        <is>
          <t>Composition comprising fluoropolymer and molded article</t>
        </is>
      </c>
      <c r="D13" s="7" t="inlineStr">
        <is>
          <t>https://patents.google.com/patent/US11072700B2/en</t>
        </is>
      </c>
      <c r="E13" s="4">
        <f>COUNTIF(Raw_Data!$A:$A,A13)</f>
        <v/>
      </c>
      <c r="F13" s="4">
        <f>COUNTIF(Model_Data!$B:$B,A13)</f>
        <v/>
      </c>
    </row>
    <row r="14">
      <c r="A14" s="4" t="inlineStr">
        <is>
          <t>US11118045B2</t>
        </is>
      </c>
      <c r="B14" s="4" t="inlineStr">
        <is>
          <t>Valqua, Ltd.</t>
        </is>
      </c>
      <c r="C14" s="4" t="inlineStr">
        <is>
          <t>Perfluoroelastomer composition and sealing material</t>
        </is>
      </c>
      <c r="D14" s="7" t="inlineStr">
        <is>
          <t>https://patents.google.com/patent/US11118045B2/en</t>
        </is>
      </c>
      <c r="E14" s="4">
        <f>COUNTIF(Raw_Data!$A:$A,A14)</f>
        <v/>
      </c>
      <c r="F14" s="4">
        <f>COUNTIF(Model_Data!$B:$B,A14)</f>
        <v/>
      </c>
    </row>
    <row r="15">
      <c r="A15" s="4" t="inlineStr">
        <is>
          <t>US11753523B2</t>
        </is>
      </c>
      <c r="B15" s="4" t="inlineStr">
        <is>
          <t>Daikin Industries, Ltd.</t>
        </is>
      </c>
      <c r="C15" s="4" t="inlineStr">
        <is>
          <t>Crosslinkable elastomer composition and fluororubber molded article</t>
        </is>
      </c>
      <c r="D15" s="7" t="inlineStr">
        <is>
          <t>https://patents.google.com/patent/US11753523B2/en</t>
        </is>
      </c>
      <c r="E15" s="4">
        <f>COUNTIF(Raw_Data!$A:$A,A15)</f>
        <v/>
      </c>
      <c r="F15" s="4">
        <f>COUNTIF(Model_Data!$B:$B,A15)</f>
        <v/>
      </c>
    </row>
    <row r="16">
      <c r="A16" s="4" t="inlineStr">
        <is>
          <t>US12091537B2</t>
        </is>
      </c>
      <c r="B16" s="4" t="inlineStr">
        <is>
          <t>Daikin Industries, Ltd.</t>
        </is>
      </c>
      <c r="C16" s="4" t="inlineStr">
        <is>
          <t>Composition and molded article containing fluorine-containing polymer</t>
        </is>
      </c>
      <c r="D16" s="7" t="inlineStr">
        <is>
          <t>https://patents.google.com/patent/US12091537B2/en</t>
        </is>
      </c>
      <c r="E16" s="4">
        <f>COUNTIF(Raw_Data!$A:$A,A16)</f>
        <v/>
      </c>
      <c r="F16" s="4">
        <f>COUNTIF(Model_Data!$B:$B,A16)</f>
        <v/>
      </c>
    </row>
    <row r="17">
      <c r="A17" s="4" t="inlineStr">
        <is>
          <t>US12304984B2</t>
        </is>
      </c>
      <c r="B17" s="4" t="inlineStr">
        <is>
          <t>Daikin Industries, Ltd.</t>
        </is>
      </c>
      <c r="C17" s="4" t="inlineStr">
        <is>
          <t>Composition containing fluorine-containing polymer and crosslinked article</t>
        </is>
      </c>
      <c r="D17" s="7" t="inlineStr">
        <is>
          <t>https://patents.google.com/patent/US12304984B2/en</t>
        </is>
      </c>
      <c r="E17" s="4">
        <f>COUNTIF(Raw_Data!$A:$A,A17)</f>
        <v/>
      </c>
      <c r="F17" s="4">
        <f>COUNTIF(Model_Data!$B:$B,A17)</f>
        <v/>
      </c>
    </row>
    <row r="18">
      <c r="A18" s="4" t="inlineStr">
        <is>
          <t>US12305107B2</t>
        </is>
      </c>
      <c r="B18" s="4" t="inlineStr">
        <is>
          <t>Nichias Corporation</t>
        </is>
      </c>
      <c r="C18" s="4" t="inlineStr">
        <is>
          <t>Perfluoroelastomer composition, cross-linked perfluoroelastomer and molded article</t>
        </is>
      </c>
      <c r="D18" s="7" t="inlineStr">
        <is>
          <t>https://patents.google.com/patent/US12305107B2/en</t>
        </is>
      </c>
      <c r="E18" s="4">
        <f>COUNTIF(Raw_Data!$A:$A,A18)</f>
        <v/>
      </c>
      <c r="F18" s="4">
        <f>COUNTIF(Model_Data!$B:$B,A18)</f>
        <v/>
      </c>
    </row>
    <row r="19">
      <c r="A19" s="4" t="inlineStr">
        <is>
          <t>US12584054B2</t>
        </is>
      </c>
      <c r="B19" s="4" t="inlineStr">
        <is>
          <t>Mitsubishi Cable Industries, Ltd.</t>
        </is>
      </c>
      <c r="C19" s="4" t="inlineStr">
        <is>
          <t>Semiconductor production device sealing material</t>
        </is>
      </c>
      <c r="D19" s="7" t="inlineStr">
        <is>
          <t>https://patents.google.com/patent/US12584054B2/en</t>
        </is>
      </c>
      <c r="E19" s="4">
        <f>COUNTIF(Raw_Data!$A:$A,A19)</f>
        <v/>
      </c>
      <c r="F19" s="4">
        <f>COUNTIF(Model_Data!$B:$B,A19)</f>
        <v/>
      </c>
    </row>
    <row r="20">
      <c r="A20" s="4" t="inlineStr">
        <is>
          <t>US20040019153A1</t>
        </is>
      </c>
      <c r="B20" s="4" t="inlineStr">
        <is>
          <t>DuPont Dow Elastomers LLC</t>
        </is>
      </c>
      <c r="C20" s="4" t="inlineStr">
        <is>
          <t>Process for making hig purity translucent perfluoroelastomer articles</t>
        </is>
      </c>
      <c r="D20" s="7" t="inlineStr">
        <is>
          <t>https://patents.google.com/patent/US20040019153A1/en</t>
        </is>
      </c>
      <c r="E20" s="4">
        <f>COUNTIF(Raw_Data!$A:$A,A20)</f>
        <v/>
      </c>
      <c r="F20" s="4">
        <f>COUNTIF(Model_Data!$B:$B,A20)</f>
        <v/>
      </c>
    </row>
    <row r="21">
      <c r="A21" s="4" t="inlineStr">
        <is>
          <t>US20050107544A1</t>
        </is>
      </c>
      <c r="B21" s="4" t="inlineStr">
        <is>
          <t>DuPont Dow Elastomers LLC</t>
        </is>
      </c>
      <c r="C21" s="4" t="inlineStr">
        <is>
          <t>Plasma resistant curable fluoroelastomer composition</t>
        </is>
      </c>
      <c r="D21" s="7" t="inlineStr">
        <is>
          <t>https://patents.google.com/patent/US20050107544A1/en</t>
        </is>
      </c>
      <c r="E21" s="4">
        <f>COUNTIF(Raw_Data!$A:$A,A21)</f>
        <v/>
      </c>
      <c r="F21" s="4">
        <f>COUNTIF(Model_Data!$B:$B,A21)</f>
        <v/>
      </c>
    </row>
    <row r="22">
      <c r="A22" s="4" t="inlineStr">
        <is>
          <t>US20090093590A1</t>
        </is>
      </c>
      <c r="B22" s="4" t="inlineStr">
        <is>
          <t>Nippon Valqua Industries, Ltd.</t>
        </is>
      </c>
      <c r="C22" s="4" t="inlineStr">
        <is>
          <t>Seal Material for Semiconductor Production Apparatus</t>
        </is>
      </c>
      <c r="D22" s="7" t="inlineStr">
        <is>
          <t>https://patents.google.com/patent/US20090093590A1/en</t>
        </is>
      </c>
      <c r="E22" s="4">
        <f>COUNTIF(Raw_Data!$A:$A,A22)</f>
        <v/>
      </c>
      <c r="F22" s="4">
        <f>COUNTIF(Model_Data!$B:$B,A22)</f>
        <v/>
      </c>
    </row>
    <row r="23">
      <c r="A23" s="4" t="inlineStr">
        <is>
          <t>US20160319102A1</t>
        </is>
      </c>
      <c r="B23" s="4" t="inlineStr">
        <is>
          <t>Valqua, Ltd. (Nippon Valqua Industries)</t>
        </is>
      </c>
      <c r="C23" s="4" t="inlineStr">
        <is>
          <t>Perfluoroelastomer composition, sealing material, and method for producing same</t>
        </is>
      </c>
      <c r="D23" s="7" t="inlineStr">
        <is>
          <t>https://patents.google.com/patent/US20160319102A1/en</t>
        </is>
      </c>
      <c r="E23" s="4">
        <f>COUNTIF(Raw_Data!$A:$A,A23)</f>
        <v/>
      </c>
      <c r="F23" s="4">
        <f>COUNTIF(Model_Data!$B:$B,A23)</f>
        <v/>
      </c>
    </row>
    <row r="24">
      <c r="A24" s="4" t="inlineStr">
        <is>
          <t>US20230174763A1</t>
        </is>
      </c>
      <c r="B24" s="4" t="inlineStr">
        <is>
          <t>Mitsubishi Cable Industries, Ltd.</t>
        </is>
      </c>
      <c r="C24" s="4" t="inlineStr">
        <is>
          <t>Elastomer composition and sealing material comprising same</t>
        </is>
      </c>
      <c r="D24" s="7" t="inlineStr">
        <is>
          <t>https://patents.google.com/patent/US20230174763A1/en</t>
        </is>
      </c>
      <c r="E24" s="4">
        <f>COUNTIF(Raw_Data!$A:$A,A24)</f>
        <v/>
      </c>
      <c r="F24" s="4">
        <f>COUNTIF(Model_Data!$B:$B,A24)</f>
        <v/>
      </c>
    </row>
    <row r="25">
      <c r="A25" s="4" t="inlineStr">
        <is>
          <t>US20230365800A1</t>
        </is>
      </c>
      <c r="B25" s="4" t="inlineStr">
        <is>
          <t>Valqua, Ltd.</t>
        </is>
      </c>
      <c r="C25" s="4" t="inlineStr">
        <is>
          <t>Elastomer Composition, Sealing Material, and Method for Producing Sealing Material</t>
        </is>
      </c>
      <c r="D25" s="7" t="inlineStr">
        <is>
          <t>https://patents.google.com/patent/US20230365800A1/en</t>
        </is>
      </c>
      <c r="E25" s="4">
        <f>COUNTIF(Raw_Data!$A:$A,A25)</f>
        <v/>
      </c>
      <c r="F25" s="4">
        <f>COUNTIF(Model_Data!$B:$B,A25)</f>
        <v/>
      </c>
    </row>
    <row r="26">
      <c r="A26" s="4" t="inlineStr">
        <is>
          <t>US5696189A</t>
        </is>
      </c>
      <c r="B26" s="4" t="inlineStr">
        <is>
          <t>EI Du Pont de Nemours and Co</t>
        </is>
      </c>
      <c r="C26" s="4" t="inlineStr">
        <is>
          <t>Perfluoroelastomer compositions</t>
        </is>
      </c>
      <c r="D26" s="7" t="inlineStr">
        <is>
          <t>https://patents.google.com/patent/US5696189A/en</t>
        </is>
      </c>
      <c r="E26" s="4">
        <f>COUNTIF(Raw_Data!$A:$A,A26)</f>
        <v/>
      </c>
      <c r="F26" s="4">
        <f>COUNTIF(Model_Data!$B:$B,A26)</f>
        <v/>
      </c>
    </row>
    <row r="27">
      <c r="A27" s="4" t="inlineStr">
        <is>
          <t>US6191208B1</t>
        </is>
      </c>
      <c r="B27" s="4" t="inlineStr">
        <is>
          <t>DuPont Dow Elastomers LLC</t>
        </is>
      </c>
      <c r="C27" s="4" t="inlineStr">
        <is>
          <t>Thermally stable perfluoroelastomer composition</t>
        </is>
      </c>
      <c r="D27" s="7" t="inlineStr">
        <is>
          <t>https://patents.google.com/patent/US6191208B1/en</t>
        </is>
      </c>
      <c r="E27" s="4">
        <f>COUNTIF(Raw_Data!$A:$A,A27)</f>
        <v/>
      </c>
      <c r="F27" s="4">
        <f>COUNTIF(Model_Data!$B:$B,A27)</f>
        <v/>
      </c>
    </row>
    <row r="28">
      <c r="A28" s="4" t="inlineStr">
        <is>
          <t>US6211319B1</t>
        </is>
      </c>
      <c r="B28" s="4" t="inlineStr">
        <is>
          <t>EI Du Pont de Nemours and Co</t>
        </is>
      </c>
      <c r="C28" s="4" t="inlineStr">
        <is>
          <t>Perfluoroelastomer composition having improved processability</t>
        </is>
      </c>
      <c r="D28" s="7" t="inlineStr">
        <is>
          <t>https://patents.google.com/patent/US6211319B1/en</t>
        </is>
      </c>
      <c r="E28" s="4">
        <f>COUNTIF(Raw_Data!$A:$A,A28)</f>
        <v/>
      </c>
      <c r="F28" s="4">
        <f>COUNTIF(Model_Data!$B:$B,A28)</f>
        <v/>
      </c>
    </row>
    <row r="29">
      <c r="A29" s="4" t="inlineStr">
        <is>
          <t>US6281296B1</t>
        </is>
      </c>
      <c r="B29" s="4" t="inlineStr">
        <is>
          <t>DuPont Dow Elastomers LLC</t>
        </is>
      </c>
      <c r="C29" s="4" t="inlineStr">
        <is>
          <t>Curable perfluoroelastomer composition</t>
        </is>
      </c>
      <c r="D29" s="7" t="inlineStr">
        <is>
          <t>https://patents.google.com/patent/US6281296B1/en</t>
        </is>
      </c>
      <c r="E29" s="4">
        <f>COUNTIF(Raw_Data!$A:$A,A29)</f>
        <v/>
      </c>
      <c r="F29" s="4">
        <f>COUNTIF(Model_Data!$B:$B,A29)</f>
        <v/>
      </c>
    </row>
    <row r="30">
      <c r="A30" s="4" t="inlineStr">
        <is>
          <t>US6803402B2</t>
        </is>
      </c>
      <c r="B30" s="4" t="inlineStr">
        <is>
          <t>Daikin Industries, Ltd.</t>
        </is>
      </c>
      <c r="C30" s="4" t="inlineStr">
        <is>
          <t>Elastomer molded article and crosslinkable fluorine-containing elastomer composition for semi-conductor production apparatuses</t>
        </is>
      </c>
      <c r="D30" s="7" t="inlineStr">
        <is>
          <t>https://patents.google.com/patent/US6803402B2/en</t>
        </is>
      </c>
      <c r="E30" s="4">
        <f>COUNTIF(Raw_Data!$A:$A,A30)</f>
        <v/>
      </c>
      <c r="F30" s="4">
        <f>COUNTIF(Model_Data!$B:$B,A30)</f>
        <v/>
      </c>
    </row>
    <row r="31">
      <c r="A31" s="4" t="inlineStr">
        <is>
          <t>US6956085B2</t>
        </is>
      </c>
      <c r="B31" s="4" t="inlineStr">
        <is>
          <t>3M Innovative Properties Co</t>
        </is>
      </c>
      <c r="C31" s="4" t="inlineStr">
        <is>
          <t>Fluoroelastomer compositions</t>
        </is>
      </c>
      <c r="D31" s="7" t="inlineStr">
        <is>
          <t>https://patents.google.com/patent/US6956085B2/en</t>
        </is>
      </c>
      <c r="E31" s="4">
        <f>COUNTIF(Raw_Data!$A:$A,A31)</f>
        <v/>
      </c>
      <c r="F31" s="4">
        <f>COUNTIF(Model_Data!$B:$B,A31)</f>
        <v/>
      </c>
    </row>
    <row r="32">
      <c r="A32" s="4" t="inlineStr">
        <is>
          <t>US6992143B2</t>
        </is>
      </c>
      <c r="B32" s="4" t="inlineStr">
        <is>
          <t>DuPont Dow Elastomers LLC</t>
        </is>
      </c>
      <c r="C32" s="4" t="inlineStr">
        <is>
          <t>Curable perfluoroelastomer composition</t>
        </is>
      </c>
      <c r="D32" s="7" t="inlineStr">
        <is>
          <t>https://patents.google.com/patent/US6992143B2/en</t>
        </is>
      </c>
      <c r="E32" s="4">
        <f>COUNTIF(Raw_Data!$A:$A,A32)</f>
        <v/>
      </c>
      <c r="F32" s="4">
        <f>COUNTIF(Model_Data!$B:$B,A32)</f>
        <v/>
      </c>
    </row>
    <row r="33">
      <c r="A33" s="4" t="inlineStr">
        <is>
          <t>US7247749B2</t>
        </is>
      </c>
      <c r="B33" s="4" t="inlineStr">
        <is>
          <t>Federal State Unitary Enterprise S V Lebedev Institute of Synthetic Rubber; Greene Tweed of Delaware Inc</t>
        </is>
      </c>
      <c r="C33" s="4" t="inlineStr">
        <is>
          <t>Bisaminophenyl-based curatives and amidine-based curatives and cure accelerators for perfluoroelastomeric compositions</t>
        </is>
      </c>
      <c r="D33" s="7" t="inlineStr">
        <is>
          <t>https://patents.google.com/patent/US7247749B2/en</t>
        </is>
      </c>
      <c r="E33" s="4">
        <f>COUNTIF(Raw_Data!$A:$A,A33)</f>
        <v/>
      </c>
      <c r="F33" s="4">
        <f>COUNTIF(Model_Data!$B:$B,A33)</f>
        <v/>
      </c>
    </row>
    <row r="34">
      <c r="A34" s="4" t="inlineStr">
        <is>
          <t>US7354974B2</t>
        </is>
      </c>
      <c r="B34" s="4" t="inlineStr">
        <is>
          <t>DuPont Performance Elastomers LLC</t>
        </is>
      </c>
      <c r="C34" s="4" t="inlineStr">
        <is>
          <t>Blends of perfluoroelastomers and fluoroplastics</t>
        </is>
      </c>
      <c r="D34" s="7" t="inlineStr">
        <is>
          <t>https://patents.google.com/patent/US7354974B2/en</t>
        </is>
      </c>
      <c r="E34" s="4">
        <f>COUNTIF(Raw_Data!$A:$A,A34)</f>
        <v/>
      </c>
      <c r="F34" s="4">
        <f>COUNTIF(Model_Data!$B:$B,A34)</f>
        <v/>
      </c>
    </row>
    <row r="35">
      <c r="A35" s="4" t="inlineStr">
        <is>
          <t>US7402630B2</t>
        </is>
      </c>
      <c r="B35" s="4" t="inlineStr">
        <is>
          <t>3M Innovative Properties Co</t>
        </is>
      </c>
      <c r="C35" s="4" t="inlineStr">
        <is>
          <t>Curing compositions for fluoropolymers</t>
        </is>
      </c>
      <c r="D35" s="7" t="inlineStr">
        <is>
          <t>https://patents.google.com/patent/US7402630B2/en</t>
        </is>
      </c>
      <c r="E35" s="4">
        <f>COUNTIF(Raw_Data!$A:$A,A35)</f>
        <v/>
      </c>
      <c r="F35" s="4">
        <f>COUNTIF(Model_Data!$B:$B,A35)</f>
        <v/>
      </c>
    </row>
    <row r="36">
      <c r="A36" s="4" t="inlineStr">
        <is>
          <t>US7666948B2</t>
        </is>
      </c>
      <c r="B36" s="4" t="inlineStr">
        <is>
          <t>Nichias Corporation</t>
        </is>
      </c>
      <c r="C36" s="4" t="inlineStr">
        <is>
          <t>Elastomer composition and molded body</t>
        </is>
      </c>
      <c r="D36" s="7" t="inlineStr">
        <is>
          <t>https://patents.google.com/patent/US7666948B2/en</t>
        </is>
      </c>
      <c r="E36" s="4">
        <f>COUNTIF(Raw_Data!$A:$A,A36)</f>
        <v/>
      </c>
      <c r="F36" s="4">
        <f>COUNTIF(Model_Data!$B:$B,A36)</f>
        <v/>
      </c>
    </row>
    <row r="37">
      <c r="A37" s="4" t="inlineStr">
        <is>
          <t>US7678858B2</t>
        </is>
      </c>
      <c r="B37" s="4" t="inlineStr">
        <is>
          <t>Daikin Industries, Ltd.</t>
        </is>
      </c>
      <c r="C37" s="4" t="inlineStr">
        <is>
          <t>Fluorine-containing elastomer composition excellent in plasma-aging prevention effect and shaped article made thereof</t>
        </is>
      </c>
      <c r="D37" s="7" t="inlineStr">
        <is>
          <t>https://patents.google.com/patent/US7678858B2/en</t>
        </is>
      </c>
      <c r="E37" s="4">
        <f>COUNTIF(Raw_Data!$A:$A,A37)</f>
        <v/>
      </c>
      <c r="F37" s="4">
        <f>COUNTIF(Model_Data!$B:$B,A37)</f>
        <v/>
      </c>
    </row>
    <row r="38">
      <c r="A38" s="4" t="inlineStr">
        <is>
          <t>US8173727B2</t>
        </is>
      </c>
      <c r="B38" s="4" t="inlineStr">
        <is>
          <t>Daikin Industries, Ltd.</t>
        </is>
      </c>
      <c r="C38" s="4" t="inlineStr">
        <is>
          <t>Crosslinkable elastomer composition and molded article using the same</t>
        </is>
      </c>
      <c r="D38" s="7" t="inlineStr">
        <is>
          <t>https://patents.google.com/patent/US8173727B2/en</t>
        </is>
      </c>
      <c r="E38" s="4">
        <f>COUNTIF(Raw_Data!$A:$A,A38)</f>
        <v/>
      </c>
      <c r="F38" s="4">
        <f>COUNTIF(Model_Data!$B:$B,A38)</f>
        <v/>
      </c>
    </row>
    <row r="39">
      <c r="A39" s="4" t="inlineStr">
        <is>
          <t>US8211964B2</t>
        </is>
      </c>
      <c r="B39" s="4" t="inlineStr">
        <is>
          <t>Daikin Industries, Ltd.</t>
        </is>
      </c>
      <c r="C39" s="4" t="inlineStr">
        <is>
          <t>Curable composition, molded article obtained from same and process for production of molded article</t>
        </is>
      </c>
      <c r="D39" s="7" t="inlineStr">
        <is>
          <t>https://patents.google.com/patent/US8211964B2/en</t>
        </is>
      </c>
      <c r="E39" s="4">
        <f>COUNTIF(Raw_Data!$A:$A,A39)</f>
        <v/>
      </c>
      <c r="F39" s="4">
        <f>COUNTIF(Model_Data!$B:$B,A39)</f>
        <v/>
      </c>
    </row>
    <row r="40">
      <c r="A40" s="4" t="inlineStr">
        <is>
          <t>US8349965B2</t>
        </is>
      </c>
      <c r="B40" s="4" t="inlineStr">
        <is>
          <t>Nippon Valqua Industries, Ltd.</t>
        </is>
      </c>
      <c r="C40" s="4" t="inlineStr">
        <is>
          <t>Fluororubber composition capable of forming crack-resistant seal and crack-resistant seal formed from the composition</t>
        </is>
      </c>
      <c r="D40" s="7" t="inlineStr">
        <is>
          <t>https://patents.google.com/patent/US8349965B2/en</t>
        </is>
      </c>
      <c r="E40" s="4">
        <f>COUNTIF(Raw_Data!$A:$A,A40)</f>
        <v/>
      </c>
      <c r="F40" s="4">
        <f>COUNTIF(Model_Data!$B:$B,A40)</f>
        <v/>
      </c>
    </row>
    <row r="41">
      <c r="A41" s="4" t="inlineStr">
        <is>
          <t>US8367776B2</t>
        </is>
      </c>
      <c r="B41" s="4" t="inlineStr">
        <is>
          <t>Daikin Industries Ltd; Greene Tweed of Delaware Inc</t>
        </is>
      </c>
      <c r="C41" s="4" t="inlineStr">
        <is>
          <t>Perfluoroelastomer compositions and methods of preparing same</t>
        </is>
      </c>
      <c r="D41" s="7" t="inlineStr">
        <is>
          <t>https://patents.google.com/patent/US8367776B2/en</t>
        </is>
      </c>
      <c r="E41" s="4">
        <f>COUNTIF(Raw_Data!$A:$A,A41)</f>
        <v/>
      </c>
      <c r="F41" s="4">
        <f>COUNTIF(Model_Data!$B:$B,A41)</f>
        <v/>
      </c>
    </row>
    <row r="42">
      <c r="A42" s="5" t="inlineStr">
        <is>
          <t>합계</t>
        </is>
      </c>
      <c r="E42" s="5">
        <f>SUM(E2:E41)</f>
        <v/>
      </c>
      <c r="F42" s="5">
        <f>SUM(F2:F41)</f>
        <v/>
      </c>
    </row>
  </sheetData>
  <autoFilter ref="A1:F4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13"/>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0" customWidth="1" min="3" max="3"/>
    <col width="40" customWidth="1" min="4" max="4"/>
    <col width="30" customWidth="1" min="5" max="5"/>
    <col width="15" customWidth="1" min="6" max="6"/>
    <col width="14" customWidth="1" min="7" max="7"/>
    <col width="15" customWidth="1" min="8" max="8"/>
    <col width="13" customWidth="1" min="9" max="9"/>
    <col width="13" customWidth="1" min="10" max="10"/>
    <col width="18" customWidth="1" min="11" max="11"/>
    <col width="12" customWidth="1" min="12" max="12"/>
    <col width="13" customWidth="1" min="13" max="13"/>
    <col width="20" customWidth="1" min="14" max="14"/>
    <col width="20" customWidth="1" min="15" max="15"/>
    <col width="17" customWidth="1" min="16" max="16"/>
    <col width="28" customWidth="1" min="17" max="17"/>
    <col width="22" customWidth="1" min="18" max="18"/>
    <col width="13" customWidth="1" min="19" max="19"/>
    <col width="14" customWidth="1" min="20" max="20"/>
    <col width="22" customWidth="1" min="21" max="21"/>
    <col width="20" customWidth="1" min="22" max="22"/>
    <col width="19" customWidth="1" min="23" max="23"/>
    <col width="20" customWidth="1" min="24" max="24"/>
    <col width="40" customWidth="1" min="25" max="25"/>
    <col width="17" customWidth="1" min="26" max="26"/>
    <col width="13" customWidth="1" min="27" max="27"/>
    <col width="16" customWidth="1" min="28" max="28"/>
    <col width="10" customWidth="1" min="29" max="29"/>
    <col width="21" customWidth="1" min="30" max="30"/>
    <col width="30" customWidth="1" min="31" max="31"/>
    <col width="24" customWidth="1" min="32" max="32"/>
    <col width="30" customWidth="1" min="33" max="33"/>
    <col width="30" customWidth="1" min="34" max="34"/>
    <col width="60" customWidth="1" min="35" max="35"/>
  </cols>
  <sheetData>
    <row r="1" ht="30" customHeight="1">
      <c r="A1" s="6" t="inlineStr">
        <is>
          <t>source_id</t>
        </is>
      </c>
      <c r="B1" s="6" t="inlineStr">
        <is>
          <t>source_type</t>
        </is>
      </c>
      <c r="C1" s="6" t="inlineStr">
        <is>
          <t>assignee</t>
        </is>
      </c>
      <c r="D1" s="6" t="inlineStr">
        <is>
          <t>title</t>
        </is>
      </c>
      <c r="E1" s="6" t="inlineStr">
        <is>
          <t>url</t>
        </is>
      </c>
      <c r="F1" s="6" t="inlineStr">
        <is>
          <t>example_label</t>
        </is>
      </c>
      <c r="G1" s="6" t="inlineStr">
        <is>
          <t>polymer_type</t>
        </is>
      </c>
      <c r="H1" s="6" t="inlineStr">
        <is>
          <t>polymer_grade</t>
        </is>
      </c>
      <c r="I1" s="6" t="inlineStr">
        <is>
          <t>cure_system</t>
        </is>
      </c>
      <c r="J1" s="6" t="inlineStr">
        <is>
          <t>polymer_phr</t>
        </is>
      </c>
      <c r="K1" s="6" t="inlineStr">
        <is>
          <t>carbon_black_phr</t>
        </is>
      </c>
      <c r="L1" s="6" t="inlineStr">
        <is>
          <t>silica_phr</t>
        </is>
      </c>
      <c r="M1" s="6" t="inlineStr">
        <is>
          <t>alumina_phr</t>
        </is>
      </c>
      <c r="N1" s="6" t="inlineStr">
        <is>
          <t>barium_sulfate_phr</t>
        </is>
      </c>
      <c r="O1" s="6" t="inlineStr">
        <is>
          <t>titanium_oxide_phr</t>
        </is>
      </c>
      <c r="P1" s="6" t="inlineStr">
        <is>
          <t>fluororesin_phr</t>
        </is>
      </c>
      <c r="Q1" s="6" t="inlineStr">
        <is>
          <t>other_inorganic_filler_phr</t>
        </is>
      </c>
      <c r="R1" s="6" t="inlineStr">
        <is>
          <t>organic_additive_phr</t>
        </is>
      </c>
      <c r="S1" s="6" t="inlineStr">
        <is>
          <t>coagent_phr</t>
        </is>
      </c>
      <c r="T1" s="6" t="inlineStr">
        <is>
          <t>peroxide_phr</t>
        </is>
      </c>
      <c r="U1" s="6" t="inlineStr">
        <is>
          <t>nitrile_curative_phr</t>
        </is>
      </c>
      <c r="V1" s="6" t="inlineStr">
        <is>
          <t>other_curative_phr</t>
        </is>
      </c>
      <c r="W1" s="6" t="inlineStr">
        <is>
          <t>acid_acceptor_phr</t>
        </is>
      </c>
      <c r="X1" s="6" t="inlineStr">
        <is>
          <t>processing_aid_phr</t>
        </is>
      </c>
      <c r="Y1" s="6" t="inlineStr">
        <is>
          <t>other_ingredients_note</t>
        </is>
      </c>
      <c r="Z1" s="6" t="inlineStr">
        <is>
          <t>hardness_shoreA</t>
        </is>
      </c>
      <c r="AA1" s="6" t="inlineStr">
        <is>
          <t>tensile_MPa</t>
        </is>
      </c>
      <c r="AB1" s="6" t="inlineStr">
        <is>
          <t>elongation_pct</t>
        </is>
      </c>
      <c r="AC1" s="6" t="inlineStr">
        <is>
          <t>m100_MPa</t>
        </is>
      </c>
      <c r="AD1" s="6" t="inlineStr">
        <is>
          <t>compression_set_pct</t>
        </is>
      </c>
      <c r="AE1" s="6" t="inlineStr">
        <is>
          <t>cs_condition</t>
        </is>
      </c>
      <c r="AF1" s="6" t="inlineStr">
        <is>
          <t>plasma_weight_loss_pct</t>
        </is>
      </c>
      <c r="AG1" s="6" t="inlineStr">
        <is>
          <t>plasma_condition</t>
        </is>
      </c>
      <c r="AH1" s="6" t="inlineStr">
        <is>
          <t>units_original</t>
        </is>
      </c>
      <c r="AI1" s="6" t="inlineStr">
        <is>
          <t>extraction_notes</t>
        </is>
      </c>
    </row>
    <row r="2">
      <c r="A2" s="8" t="inlineStr">
        <is>
          <t>US7678858B2</t>
        </is>
      </c>
      <c r="B2" s="8" t="inlineStr">
        <is>
          <t>patent</t>
        </is>
      </c>
      <c r="C2" s="8" t="inlineStr">
        <is>
          <t>Daikin Industries, Ltd.</t>
        </is>
      </c>
      <c r="D2" s="8" t="inlineStr">
        <is>
          <t>Fluorine-containing elastomer composition excellent in plasma-aging prevention effect and shaped article made thereof</t>
        </is>
      </c>
      <c r="E2" s="8" t="inlineStr">
        <is>
          <t>https://patents.google.com/patent/US7678858B2/en</t>
        </is>
      </c>
      <c r="F2" s="8" t="inlineStr">
        <is>
          <t>Example 1</t>
        </is>
      </c>
      <c r="G2" s="8" t="inlineStr">
        <is>
          <t>FFKM</t>
        </is>
      </c>
      <c r="H2" s="8" t="inlineStr">
        <is>
          <t>DAI-EL PERFLO GA-105 (TFE/perfluoro(alkyl vinyl ether), iodine cure site)</t>
        </is>
      </c>
      <c r="I2" s="8" t="inlineStr">
        <is>
          <t>peroxide</t>
        </is>
      </c>
      <c r="J2" s="8" t="n">
        <v>100</v>
      </c>
      <c r="K2" s="8" t="n">
        <v>0</v>
      </c>
      <c r="L2" s="8" t="n">
        <v>0</v>
      </c>
      <c r="M2" s="8" t="n">
        <v>15</v>
      </c>
      <c r="N2" s="8" t="n">
        <v>0</v>
      </c>
      <c r="O2" s="8" t="n">
        <v>0</v>
      </c>
      <c r="P2" s="8" t="n">
        <v>0</v>
      </c>
      <c r="Q2" s="8" t="n">
        <v>0</v>
      </c>
      <c r="R2" s="8" t="n">
        <v>2</v>
      </c>
      <c r="S2" s="8" t="n">
        <v>2</v>
      </c>
      <c r="T2" s="8" t="n">
        <v>1</v>
      </c>
      <c r="U2" s="8" t="n">
        <v>0</v>
      </c>
      <c r="V2" s="8" t="n">
        <v>0</v>
      </c>
      <c r="W2" s="8" t="n">
        <v>0</v>
      </c>
      <c r="X2" s="8" t="n">
        <v>0</v>
      </c>
      <c r="Y2" s="8" t="inlineStr">
        <is>
          <t>CROMOPHTAL Yellow 3RLP (isoindolinone pigment) 2; Al2O3 (0.02 um, 80 m2/g) 15; TAIC 2; PERHEXA 25B 1</t>
        </is>
      </c>
      <c r="Z2" s="8" t="n">
        <v>78</v>
      </c>
      <c r="AA2" s="8" t="n">
        <v>24.52</v>
      </c>
      <c r="AB2" s="8" t="n">
        <v>170</v>
      </c>
      <c r="AC2" s="8" t="n">
        <v>9.02</v>
      </c>
      <c r="AD2" s="8" t="n">
        <v>21</v>
      </c>
      <c r="AE2" s="8" t="inlineStr">
        <is>
          <t>200C x 70h, 25% compression, P-24 O-ring (JIS K6301)</t>
        </is>
      </c>
      <c r="AF2" s="8" t="n">
        <v>0.6899999999999999</v>
      </c>
      <c r="AG2" s="8" t="inlineStr">
        <is>
          <t>O2 plasma, ICP high-density plasma device SAMCO RIE-101iPH, P-24 O-ring</t>
        </is>
      </c>
      <c r="AH2" s="8" t="inlineStr">
        <is>
          <t>M100 and tensile in kgf/cm2 (x0.0980665 -&gt; MPa)</t>
        </is>
      </c>
      <c r="AI2" s="8" t="inlineStr">
        <is>
          <t>Tables 1 and 3. CF4 plasma weight loss 0.72%. Cure: press 160C x 7 min + oven 180C x 4 h.</t>
        </is>
      </c>
    </row>
    <row r="3">
      <c r="A3" s="8" t="inlineStr">
        <is>
          <t>US7678858B2</t>
        </is>
      </c>
      <c r="B3" s="8" t="inlineStr">
        <is>
          <t>patent</t>
        </is>
      </c>
      <c r="C3" s="8" t="inlineStr">
        <is>
          <t>Daikin Industries, Ltd.</t>
        </is>
      </c>
      <c r="D3" s="8" t="inlineStr">
        <is>
          <t>Fluorine-containing elastomer composition excellent in plasma-aging prevention effect and shaped article made thereof</t>
        </is>
      </c>
      <c r="E3" s="8" t="inlineStr">
        <is>
          <t>https://patents.google.com/patent/US7678858B2/en</t>
        </is>
      </c>
      <c r="F3" s="8" t="inlineStr">
        <is>
          <t>Example 2</t>
        </is>
      </c>
      <c r="G3" s="8" t="inlineStr">
        <is>
          <t>FFKM</t>
        </is>
      </c>
      <c r="H3" s="8" t="inlineStr">
        <is>
          <t>DAI-EL PERFLO GA-105 (TFE/perfluoro(alkyl vinyl ether), iodine cure site)</t>
        </is>
      </c>
      <c r="I3" s="8" t="inlineStr">
        <is>
          <t>peroxide</t>
        </is>
      </c>
      <c r="J3" s="8" t="n">
        <v>100</v>
      </c>
      <c r="K3" s="8" t="n">
        <v>0</v>
      </c>
      <c r="L3" s="8" t="n">
        <v>0</v>
      </c>
      <c r="M3" s="8" t="n">
        <v>15</v>
      </c>
      <c r="N3" s="8" t="n">
        <v>0</v>
      </c>
      <c r="O3" s="8" t="n">
        <v>0</v>
      </c>
      <c r="P3" s="8" t="n">
        <v>0</v>
      </c>
      <c r="Q3" s="8" t="n">
        <v>0</v>
      </c>
      <c r="R3" s="8" t="n">
        <v>2</v>
      </c>
      <c r="S3" s="8" t="n">
        <v>2</v>
      </c>
      <c r="T3" s="8" t="n">
        <v>1</v>
      </c>
      <c r="U3" s="8" t="n">
        <v>0</v>
      </c>
      <c r="V3" s="8" t="n">
        <v>0</v>
      </c>
      <c r="W3" s="8" t="n">
        <v>0</v>
      </c>
      <c r="X3" s="8" t="n">
        <v>0</v>
      </c>
      <c r="Y3" s="8" t="inlineStr">
        <is>
          <t>CROMOPHTAL Red 2020 (quinacridone pigment) 2; Al2O3 (0.02 um, 80 m2/g) 15; TAIC 2; PERHEXA 25B 1</t>
        </is>
      </c>
      <c r="Z3" s="8" t="n">
        <v>79</v>
      </c>
      <c r="AA3" s="8" t="n">
        <v>26.18</v>
      </c>
      <c r="AB3" s="8" t="n">
        <v>170</v>
      </c>
      <c r="AC3" s="8" t="n">
        <v>9.32</v>
      </c>
      <c r="AD3" s="8" t="n">
        <v>22</v>
      </c>
      <c r="AE3" s="8" t="inlineStr">
        <is>
          <t>200C x 70h, 25% compression, P-24 O-ring (JIS K6301)</t>
        </is>
      </c>
      <c r="AF3" s="8" t="n">
        <v>0.7</v>
      </c>
      <c r="AG3" s="8" t="inlineStr">
        <is>
          <t>O2 plasma, ICP high-density plasma device SAMCO RIE-101iPH, P-24 O-ring</t>
        </is>
      </c>
      <c r="AH3" s="8" t="inlineStr">
        <is>
          <t>M100 and tensile in kgf/cm2 (x0.0980665 -&gt; MPa)</t>
        </is>
      </c>
      <c r="AI3" s="8" t="inlineStr">
        <is>
          <t>Tables 1 and 3. CF4 plasma weight loss 0.76%. Cure: press 160C x 7 min + oven 180C x 4 h.</t>
        </is>
      </c>
    </row>
    <row r="4">
      <c r="A4" s="8" t="inlineStr">
        <is>
          <t>US7678858B2</t>
        </is>
      </c>
      <c r="B4" s="8" t="inlineStr">
        <is>
          <t>patent</t>
        </is>
      </c>
      <c r="C4" s="8" t="inlineStr">
        <is>
          <t>Daikin Industries, Ltd.</t>
        </is>
      </c>
      <c r="D4" s="8" t="inlineStr">
        <is>
          <t>Fluorine-containing elastomer composition excellent in plasma-aging prevention effect and shaped article made thereof</t>
        </is>
      </c>
      <c r="E4" s="8" t="inlineStr">
        <is>
          <t>https://patents.google.com/patent/US7678858B2/en</t>
        </is>
      </c>
      <c r="F4" s="8" t="inlineStr">
        <is>
          <t>Example 3</t>
        </is>
      </c>
      <c r="G4" s="8" t="inlineStr">
        <is>
          <t>FFKM</t>
        </is>
      </c>
      <c r="H4" s="8" t="inlineStr">
        <is>
          <t>DAI-EL PERFLO GA-105 (TFE/perfluoro(alkyl vinyl ether), iodine cure site)</t>
        </is>
      </c>
      <c r="I4" s="8" t="inlineStr">
        <is>
          <t>peroxide</t>
        </is>
      </c>
      <c r="J4" s="8" t="n">
        <v>100</v>
      </c>
      <c r="K4" s="8" t="n">
        <v>0</v>
      </c>
      <c r="L4" s="8" t="n">
        <v>0</v>
      </c>
      <c r="M4" s="8" t="n">
        <v>15</v>
      </c>
      <c r="N4" s="8" t="n">
        <v>0</v>
      </c>
      <c r="O4" s="8" t="n">
        <v>0</v>
      </c>
      <c r="P4" s="8" t="n">
        <v>0</v>
      </c>
      <c r="Q4" s="8" t="n">
        <v>0</v>
      </c>
      <c r="R4" s="8" t="n">
        <v>2</v>
      </c>
      <c r="S4" s="8" t="n">
        <v>2</v>
      </c>
      <c r="T4" s="8" t="n">
        <v>1</v>
      </c>
      <c r="U4" s="8" t="n">
        <v>0</v>
      </c>
      <c r="V4" s="8" t="n">
        <v>0</v>
      </c>
      <c r="W4" s="8" t="n">
        <v>0</v>
      </c>
      <c r="X4" s="8" t="n">
        <v>0</v>
      </c>
      <c r="Y4" s="8" t="inlineStr">
        <is>
          <t>CROMOPHTAL Red 2030 (diketopyrrolopyrrole pigment) 2; Al2O3 (0.02 um, 80 m2/g) 15; TAIC 2; PERHEXA 25B 1</t>
        </is>
      </c>
      <c r="Z4" s="8" t="n">
        <v>78</v>
      </c>
      <c r="AA4" s="8" t="n">
        <v>24.91</v>
      </c>
      <c r="AB4" s="8" t="n">
        <v>170</v>
      </c>
      <c r="AC4" s="8" t="n">
        <v>9.119999999999999</v>
      </c>
      <c r="AD4" s="8" t="n">
        <v>21</v>
      </c>
      <c r="AE4" s="8" t="inlineStr">
        <is>
          <t>200C x 70h, 25% compression, P-24 O-ring (JIS K6301)</t>
        </is>
      </c>
      <c r="AF4" s="8" t="n">
        <v>0.71</v>
      </c>
      <c r="AG4" s="8" t="inlineStr">
        <is>
          <t>O2 plasma, ICP high-density plasma device SAMCO RIE-101iPH, P-24 O-ring</t>
        </is>
      </c>
      <c r="AH4" s="8" t="inlineStr">
        <is>
          <t>M100 and tensile in kgf/cm2 (x0.0980665 -&gt; MPa)</t>
        </is>
      </c>
      <c r="AI4" s="8" t="inlineStr">
        <is>
          <t>Tables 1 and 3. CF4 plasma weight loss 0.74%. Cure: press 160C x 7 min + oven 180C x 4 h.</t>
        </is>
      </c>
    </row>
    <row r="5">
      <c r="A5" s="8" t="inlineStr">
        <is>
          <t>US7678858B2</t>
        </is>
      </c>
      <c r="B5" s="8" t="inlineStr">
        <is>
          <t>patent</t>
        </is>
      </c>
      <c r="C5" s="8" t="inlineStr">
        <is>
          <t>Daikin Industries, Ltd.</t>
        </is>
      </c>
      <c r="D5" s="8" t="inlineStr">
        <is>
          <t>Fluorine-containing elastomer composition excellent in plasma-aging prevention effect and shaped article made thereof</t>
        </is>
      </c>
      <c r="E5" s="8" t="inlineStr">
        <is>
          <t>https://patents.google.com/patent/US7678858B2/en</t>
        </is>
      </c>
      <c r="F5" s="8" t="inlineStr">
        <is>
          <t>Example 4</t>
        </is>
      </c>
      <c r="G5" s="8" t="inlineStr">
        <is>
          <t>FFKM</t>
        </is>
      </c>
      <c r="H5" s="8" t="inlineStr">
        <is>
          <t>DAI-EL PERFLO GA-105 (TFE/perfluoro(alkyl vinyl ether), iodine cure site)</t>
        </is>
      </c>
      <c r="I5" s="8" t="inlineStr">
        <is>
          <t>peroxide</t>
        </is>
      </c>
      <c r="J5" s="8" t="n">
        <v>100</v>
      </c>
      <c r="K5" s="8" t="n">
        <v>0</v>
      </c>
      <c r="L5" s="8" t="n">
        <v>0</v>
      </c>
      <c r="M5" s="8" t="n">
        <v>15</v>
      </c>
      <c r="N5" s="8" t="n">
        <v>0</v>
      </c>
      <c r="O5" s="8" t="n">
        <v>0</v>
      </c>
      <c r="P5" s="8" t="n">
        <v>0</v>
      </c>
      <c r="Q5" s="8" t="n">
        <v>0</v>
      </c>
      <c r="R5" s="8" t="n">
        <v>2</v>
      </c>
      <c r="S5" s="8" t="n">
        <v>2</v>
      </c>
      <c r="T5" s="8" t="n">
        <v>1</v>
      </c>
      <c r="U5" s="8" t="n">
        <v>0</v>
      </c>
      <c r="V5" s="8" t="n">
        <v>0</v>
      </c>
      <c r="W5" s="8" t="n">
        <v>0</v>
      </c>
      <c r="X5" s="8" t="n">
        <v>0</v>
      </c>
      <c r="Y5" s="8" t="inlineStr">
        <is>
          <t>CROMOPHTAL Magenta P (quinacridone pigment) 2; Al2O3 (0.02 um, 80 m2/g) 15; TAIC 2; PERHEXA 25B 1</t>
        </is>
      </c>
      <c r="Z5" s="8" t="n">
        <v>79</v>
      </c>
      <c r="AA5" s="8" t="n">
        <v>23.54</v>
      </c>
      <c r="AB5" s="8" t="n">
        <v>170</v>
      </c>
      <c r="AC5" s="8" t="n">
        <v>9.32</v>
      </c>
      <c r="AD5" s="8" t="n">
        <v>21</v>
      </c>
      <c r="AE5" s="8" t="inlineStr">
        <is>
          <t>200C x 70h, 25% compression, P-24 O-ring (JIS K6301)</t>
        </is>
      </c>
      <c r="AF5" s="8" t="n">
        <v>0.67</v>
      </c>
      <c r="AG5" s="8" t="inlineStr">
        <is>
          <t>O2 plasma, ICP high-density plasma device SAMCO RIE-101iPH, P-24 O-ring</t>
        </is>
      </c>
      <c r="AH5" s="8" t="inlineStr">
        <is>
          <t>M100 and tensile in kgf/cm2 (x0.0980665 -&gt; MPa)</t>
        </is>
      </c>
      <c r="AI5" s="8" t="inlineStr">
        <is>
          <t>Tables 1 and 3. CF4 plasma weight loss 0.77%. Cure: press 160C x 7 min + oven 180C x 4 h.</t>
        </is>
      </c>
    </row>
    <row r="6">
      <c r="A6" s="8" t="inlineStr">
        <is>
          <t>US7678858B2</t>
        </is>
      </c>
      <c r="B6" s="8" t="inlineStr">
        <is>
          <t>patent</t>
        </is>
      </c>
      <c r="C6" s="8" t="inlineStr">
        <is>
          <t>Daikin Industries, Ltd.</t>
        </is>
      </c>
      <c r="D6" s="8" t="inlineStr">
        <is>
          <t>Fluorine-containing elastomer composition excellent in plasma-aging prevention effect and shaped article made thereof</t>
        </is>
      </c>
      <c r="E6" s="8" t="inlineStr">
        <is>
          <t>https://patents.google.com/patent/US7678858B2/en</t>
        </is>
      </c>
      <c r="F6" s="8" t="inlineStr">
        <is>
          <t>Example 5</t>
        </is>
      </c>
      <c r="G6" s="8" t="inlineStr">
        <is>
          <t>FFKM</t>
        </is>
      </c>
      <c r="H6" s="8" t="inlineStr">
        <is>
          <t>DAI-EL PERFLO GA-105 (TFE/perfluoro(alkyl vinyl ether), iodine cure site)</t>
        </is>
      </c>
      <c r="I6" s="8" t="inlineStr">
        <is>
          <t>peroxide</t>
        </is>
      </c>
      <c r="J6" s="8" t="n">
        <v>100</v>
      </c>
      <c r="K6" s="8" t="n">
        <v>0</v>
      </c>
      <c r="L6" s="8" t="n">
        <v>0</v>
      </c>
      <c r="M6" s="8" t="n">
        <v>15</v>
      </c>
      <c r="N6" s="8" t="n">
        <v>0</v>
      </c>
      <c r="O6" s="8" t="n">
        <v>0</v>
      </c>
      <c r="P6" s="8" t="n">
        <v>0</v>
      </c>
      <c r="Q6" s="8" t="n">
        <v>0</v>
      </c>
      <c r="R6" s="8" t="n">
        <v>2</v>
      </c>
      <c r="S6" s="8" t="n">
        <v>2</v>
      </c>
      <c r="T6" s="8" t="n">
        <v>1</v>
      </c>
      <c r="U6" s="8" t="n">
        <v>0</v>
      </c>
      <c r="V6" s="8" t="n">
        <v>0</v>
      </c>
      <c r="W6" s="8" t="n">
        <v>0</v>
      </c>
      <c r="X6" s="8" t="n">
        <v>0</v>
      </c>
      <c r="Y6" s="8" t="inlineStr">
        <is>
          <t>CROMOPHTAL Blue A3R (anthraquinone pigment) 2; Al2O3 (0.02 um, 80 m2/g) 15; TAIC 2; PERHEXA 25B 1</t>
        </is>
      </c>
      <c r="Z6" s="8" t="n">
        <v>78</v>
      </c>
      <c r="AA6" s="8" t="n">
        <v>23.24</v>
      </c>
      <c r="AB6" s="8" t="n">
        <v>170</v>
      </c>
      <c r="AC6" s="8" t="n">
        <v>9.119999999999999</v>
      </c>
      <c r="AD6" s="8" t="n">
        <v>23</v>
      </c>
      <c r="AE6" s="8" t="inlineStr">
        <is>
          <t>200C x 70h, 25% compression, P-24 O-ring (JIS K6301)</t>
        </is>
      </c>
      <c r="AF6" s="8" t="n">
        <v>0.73</v>
      </c>
      <c r="AG6" s="8" t="inlineStr">
        <is>
          <t>O2 plasma, ICP high-density plasma device SAMCO RIE-101iPH, P-24 O-ring</t>
        </is>
      </c>
      <c r="AH6" s="8" t="inlineStr">
        <is>
          <t>M100 and tensile in kgf/cm2 (x0.0980665 -&gt; MPa)</t>
        </is>
      </c>
      <c r="AI6" s="8" t="inlineStr">
        <is>
          <t>Tables 1 and 3. CF4 plasma weight loss 0.74%. Cure: press 160C x 7 min + oven 180C x 4 h.</t>
        </is>
      </c>
    </row>
    <row r="7">
      <c r="A7" s="8" t="inlineStr">
        <is>
          <t>US7678858B2</t>
        </is>
      </c>
      <c r="B7" s="8" t="inlineStr">
        <is>
          <t>patent</t>
        </is>
      </c>
      <c r="C7" s="8" t="inlineStr">
        <is>
          <t>Daikin Industries, Ltd.</t>
        </is>
      </c>
      <c r="D7" s="8" t="inlineStr">
        <is>
          <t>Fluorine-containing elastomer composition excellent in plasma-aging prevention effect and shaped article made thereof</t>
        </is>
      </c>
      <c r="E7" s="8" t="inlineStr">
        <is>
          <t>https://patents.google.com/patent/US7678858B2/en</t>
        </is>
      </c>
      <c r="F7" s="8" t="inlineStr">
        <is>
          <t>Example 6</t>
        </is>
      </c>
      <c r="G7" s="8" t="inlineStr">
        <is>
          <t>FFKM</t>
        </is>
      </c>
      <c r="H7" s="8" t="inlineStr">
        <is>
          <t>DAI-EL PERFLO GA-105 (TFE/perfluoro(alkyl vinyl ether), iodine cure site)</t>
        </is>
      </c>
      <c r="I7" s="8" t="inlineStr">
        <is>
          <t>peroxide</t>
        </is>
      </c>
      <c r="J7" s="8" t="n">
        <v>100</v>
      </c>
      <c r="K7" s="8" t="n">
        <v>0</v>
      </c>
      <c r="L7" s="8" t="n">
        <v>0</v>
      </c>
      <c r="M7" s="8" t="n">
        <v>15</v>
      </c>
      <c r="N7" s="8" t="n">
        <v>0</v>
      </c>
      <c r="O7" s="8" t="n">
        <v>0</v>
      </c>
      <c r="P7" s="8" t="n">
        <v>0</v>
      </c>
      <c r="Q7" s="8" t="n">
        <v>0</v>
      </c>
      <c r="R7" s="8" t="n">
        <v>2</v>
      </c>
      <c r="S7" s="8" t="n">
        <v>2</v>
      </c>
      <c r="T7" s="8" t="n">
        <v>1</v>
      </c>
      <c r="U7" s="8" t="n">
        <v>0</v>
      </c>
      <c r="V7" s="8" t="n">
        <v>0</v>
      </c>
      <c r="W7" s="8" t="n">
        <v>0</v>
      </c>
      <c r="X7" s="8" t="n">
        <v>0</v>
      </c>
      <c r="Y7" s="8" t="inlineStr">
        <is>
          <t>Antage RD (amine antioxidant) 2; Al2O3 (0.02 um, 80 m2/g) 15; TAIC 2; PERHEXA 25B 1</t>
        </is>
      </c>
      <c r="Z7" s="8" t="n">
        <v>78</v>
      </c>
      <c r="AA7" s="8" t="n">
        <v>23.63</v>
      </c>
      <c r="AB7" s="8" t="n">
        <v>170</v>
      </c>
      <c r="AC7" s="8" t="n">
        <v>8.34</v>
      </c>
      <c r="AD7" s="8" t="n">
        <v>28</v>
      </c>
      <c r="AE7" s="8" t="inlineStr">
        <is>
          <t>200C x 70h, 25% compression, P-24 O-ring (JIS K6301)</t>
        </is>
      </c>
      <c r="AF7" s="8" t="n">
        <v>0.6899999999999999</v>
      </c>
      <c r="AG7" s="8" t="inlineStr">
        <is>
          <t>O2 plasma, ICP high-density plasma device SAMCO RIE-101iPH, P-24 O-ring</t>
        </is>
      </c>
      <c r="AH7" s="8" t="inlineStr">
        <is>
          <t>M100 and tensile in kgf/cm2 (x0.0980665 -&gt; MPa)</t>
        </is>
      </c>
      <c r="AI7" s="8" t="inlineStr">
        <is>
          <t>Tables 1 and 3. CF4 plasma weight loss 0.59%. Cure: press 160C x 7 min + oven 180C x 4 h.</t>
        </is>
      </c>
    </row>
    <row r="8">
      <c r="A8" s="8" t="inlineStr">
        <is>
          <t>US7678858B2</t>
        </is>
      </c>
      <c r="B8" s="8" t="inlineStr">
        <is>
          <t>patent</t>
        </is>
      </c>
      <c r="C8" s="8" t="inlineStr">
        <is>
          <t>Daikin Industries, Ltd.</t>
        </is>
      </c>
      <c r="D8" s="8" t="inlineStr">
        <is>
          <t>Fluorine-containing elastomer composition excellent in plasma-aging prevention effect and shaped article made thereof</t>
        </is>
      </c>
      <c r="E8" s="8" t="inlineStr">
        <is>
          <t>https://patents.google.com/patent/US7678858B2/en</t>
        </is>
      </c>
      <c r="F8" s="8" t="inlineStr">
        <is>
          <t>Example 7</t>
        </is>
      </c>
      <c r="G8" s="8" t="inlineStr">
        <is>
          <t>FFKM</t>
        </is>
      </c>
      <c r="H8" s="8" t="inlineStr">
        <is>
          <t>DAI-EL PERFLO GA-105 (TFE/perfluoro(alkyl vinyl ether), iodine cure site)</t>
        </is>
      </c>
      <c r="I8" s="8" t="inlineStr">
        <is>
          <t>peroxide</t>
        </is>
      </c>
      <c r="J8" s="8" t="n">
        <v>100</v>
      </c>
      <c r="K8" s="8" t="n">
        <v>0</v>
      </c>
      <c r="L8" s="8" t="n">
        <v>0</v>
      </c>
      <c r="M8" s="8" t="n">
        <v>15</v>
      </c>
      <c r="N8" s="8" t="n">
        <v>0</v>
      </c>
      <c r="O8" s="8" t="n">
        <v>0</v>
      </c>
      <c r="P8" s="8" t="n">
        <v>0</v>
      </c>
      <c r="Q8" s="8" t="n">
        <v>0</v>
      </c>
      <c r="R8" s="8" t="n">
        <v>2</v>
      </c>
      <c r="S8" s="8" t="n">
        <v>2</v>
      </c>
      <c r="T8" s="8" t="n">
        <v>1</v>
      </c>
      <c r="U8" s="8" t="n">
        <v>0</v>
      </c>
      <c r="V8" s="8" t="n">
        <v>0</v>
      </c>
      <c r="W8" s="8" t="n">
        <v>0</v>
      </c>
      <c r="X8" s="8" t="n">
        <v>0</v>
      </c>
      <c r="Y8" s="8" t="inlineStr">
        <is>
          <t>Antage W-300 (phenol antioxidant) 2; Al2O3 (0.02 um, 80 m2/g) 15; TAIC 2; PERHEXA 25B 1</t>
        </is>
      </c>
      <c r="Z8" s="8" t="n">
        <v>79</v>
      </c>
      <c r="AA8" s="8" t="n">
        <v>25.11</v>
      </c>
      <c r="AB8" s="8" t="n">
        <v>200</v>
      </c>
      <c r="AC8" s="8" t="n">
        <v>5.98</v>
      </c>
      <c r="AD8" s="8" t="n">
        <v>48</v>
      </c>
      <c r="AE8" s="8" t="inlineStr">
        <is>
          <t>200C x 70h, 25% compression, P-24 O-ring (JIS K6301)</t>
        </is>
      </c>
      <c r="AF8" s="8" t="n">
        <v>0.7</v>
      </c>
      <c r="AG8" s="8" t="inlineStr">
        <is>
          <t>O2 plasma, ICP high-density plasma device SAMCO RIE-101iPH, P-24 O-ring</t>
        </is>
      </c>
      <c r="AH8" s="8" t="inlineStr">
        <is>
          <t>M100 and tensile in kgf/cm2 (x0.0980665 -&gt; MPa)</t>
        </is>
      </c>
      <c r="AI8" s="8" t="inlineStr">
        <is>
          <t>Tables 1 and 3. CF4 plasma weight loss 0.78%. Cure: press 160C x 7 min + oven 180C x 4 h.</t>
        </is>
      </c>
    </row>
    <row r="9">
      <c r="A9" s="8" t="inlineStr">
        <is>
          <t>US7678858B2</t>
        </is>
      </c>
      <c r="B9" s="8" t="inlineStr">
        <is>
          <t>patent</t>
        </is>
      </c>
      <c r="C9" s="8" t="inlineStr">
        <is>
          <t>Daikin Industries, Ltd.</t>
        </is>
      </c>
      <c r="D9" s="8" t="inlineStr">
        <is>
          <t>Fluorine-containing elastomer composition excellent in plasma-aging prevention effect and shaped article made thereof</t>
        </is>
      </c>
      <c r="E9" s="8" t="inlineStr">
        <is>
          <t>https://patents.google.com/patent/US7678858B2/en</t>
        </is>
      </c>
      <c r="F9" s="8" t="inlineStr">
        <is>
          <t>Example 8</t>
        </is>
      </c>
      <c r="G9" s="8" t="inlineStr">
        <is>
          <t>FFKM</t>
        </is>
      </c>
      <c r="H9" s="8" t="inlineStr">
        <is>
          <t>DAI-EL PERFLO GA-105 (TFE/perfluoro(alkyl vinyl ether), iodine cure site)</t>
        </is>
      </c>
      <c r="I9" s="8" t="inlineStr">
        <is>
          <t>peroxide</t>
        </is>
      </c>
      <c r="J9" s="8" t="n">
        <v>100</v>
      </c>
      <c r="K9" s="8" t="n">
        <v>0</v>
      </c>
      <c r="L9" s="8" t="n">
        <v>0</v>
      </c>
      <c r="M9" s="8" t="n">
        <v>15</v>
      </c>
      <c r="N9" s="8" t="n">
        <v>0</v>
      </c>
      <c r="O9" s="8" t="n">
        <v>0</v>
      </c>
      <c r="P9" s="8" t="n">
        <v>0</v>
      </c>
      <c r="Q9" s="8" t="n">
        <v>0</v>
      </c>
      <c r="R9" s="8" t="n">
        <v>2</v>
      </c>
      <c r="S9" s="8" t="n">
        <v>2</v>
      </c>
      <c r="T9" s="8" t="n">
        <v>1</v>
      </c>
      <c r="U9" s="8" t="n">
        <v>0</v>
      </c>
      <c r="V9" s="8" t="n">
        <v>0</v>
      </c>
      <c r="W9" s="8" t="n">
        <v>0</v>
      </c>
      <c r="X9" s="8" t="n">
        <v>0</v>
      </c>
      <c r="Y9" s="8" t="inlineStr">
        <is>
          <t>Antage Crystal (phenol antioxidant) 2; Al2O3 (0.02 um, 80 m2/g) 15; TAIC 2; PERHEXA 25B 1</t>
        </is>
      </c>
      <c r="Z9" s="8" t="n">
        <v>78</v>
      </c>
      <c r="AA9" s="8" t="n">
        <v>24.71</v>
      </c>
      <c r="AB9" s="8" t="n">
        <v>190</v>
      </c>
      <c r="AC9" s="8" t="n">
        <v>6.96</v>
      </c>
      <c r="AD9" s="8" t="n">
        <v>45</v>
      </c>
      <c r="AE9" s="8" t="inlineStr">
        <is>
          <t>200C x 70h, 25% compression, P-24 O-ring (JIS K6301)</t>
        </is>
      </c>
      <c r="AF9" s="8" t="n">
        <v>0.67</v>
      </c>
      <c r="AG9" s="8" t="inlineStr">
        <is>
          <t>O2 plasma, ICP high-density plasma device SAMCO RIE-101iPH, P-24 O-ring</t>
        </is>
      </c>
      <c r="AH9" s="8" t="inlineStr">
        <is>
          <t>M100 and tensile in kgf/cm2 (x0.0980665 -&gt; MPa)</t>
        </is>
      </c>
      <c r="AI9" s="8" t="inlineStr">
        <is>
          <t>Tables 1 and 3. CF4 plasma weight loss 0.73%. Cure: press 160C x 7 min + oven 180C x 4 h.</t>
        </is>
      </c>
    </row>
    <row r="10">
      <c r="A10" s="8" t="inlineStr">
        <is>
          <t>US7678858B2</t>
        </is>
      </c>
      <c r="B10" s="8" t="inlineStr">
        <is>
          <t>patent</t>
        </is>
      </c>
      <c r="C10" s="8" t="inlineStr">
        <is>
          <t>Daikin Industries, Ltd.</t>
        </is>
      </c>
      <c r="D10" s="8" t="inlineStr">
        <is>
          <t>Fluorine-containing elastomer composition excellent in plasma-aging prevention effect and shaped article made thereof</t>
        </is>
      </c>
      <c r="E10" s="8" t="inlineStr">
        <is>
          <t>https://patents.google.com/patent/US7678858B2/en</t>
        </is>
      </c>
      <c r="F10" s="8" t="inlineStr">
        <is>
          <t>Example 9</t>
        </is>
      </c>
      <c r="G10" s="8" t="inlineStr">
        <is>
          <t>FFKM</t>
        </is>
      </c>
      <c r="H10" s="8" t="inlineStr">
        <is>
          <t>DAI-EL PERFLO GA-105 (TFE/perfluoro(alkyl vinyl ether), iodine cure site)</t>
        </is>
      </c>
      <c r="I10" s="8" t="inlineStr">
        <is>
          <t>peroxide</t>
        </is>
      </c>
      <c r="J10" s="8" t="n">
        <v>100</v>
      </c>
      <c r="K10" s="8" t="n">
        <v>0</v>
      </c>
      <c r="L10" s="8" t="n">
        <v>0</v>
      </c>
      <c r="M10" s="8" t="n">
        <v>15</v>
      </c>
      <c r="N10" s="8" t="n">
        <v>0</v>
      </c>
      <c r="O10" s="8" t="n">
        <v>0</v>
      </c>
      <c r="P10" s="8" t="n">
        <v>0</v>
      </c>
      <c r="Q10" s="8" t="n">
        <v>0</v>
      </c>
      <c r="R10" s="8" t="n">
        <v>2</v>
      </c>
      <c r="S10" s="8" t="n">
        <v>2</v>
      </c>
      <c r="T10" s="8" t="n">
        <v>1</v>
      </c>
      <c r="U10" s="8" t="n">
        <v>0</v>
      </c>
      <c r="V10" s="8" t="n">
        <v>0</v>
      </c>
      <c r="W10" s="8" t="n">
        <v>0</v>
      </c>
      <c r="X10" s="8" t="n">
        <v>0</v>
      </c>
      <c r="Y10" s="8" t="inlineStr">
        <is>
          <t>Antage MB (amine/sulfur antioxidant) 2; Al2O3 (0.02 um, 80 m2/g) 15; TAIC 2; PERHEXA 25B 1</t>
        </is>
      </c>
      <c r="Z10" s="8" t="n">
        <v>80</v>
      </c>
      <c r="AA10" s="8" t="n">
        <v>23.14</v>
      </c>
      <c r="AB10" s="8" t="n">
        <v>170</v>
      </c>
      <c r="AC10" s="8" t="n">
        <v>8.92</v>
      </c>
      <c r="AD10" s="8" t="n">
        <v>28</v>
      </c>
      <c r="AE10" s="8" t="inlineStr">
        <is>
          <t>200C x 70h, 25% compression, P-24 O-ring (JIS K6301)</t>
        </is>
      </c>
      <c r="AF10" s="8" t="n">
        <v>0.71</v>
      </c>
      <c r="AG10" s="8" t="inlineStr">
        <is>
          <t>O2 plasma, ICP high-density plasma device SAMCO RIE-101iPH, P-24 O-ring</t>
        </is>
      </c>
      <c r="AH10" s="8" t="inlineStr">
        <is>
          <t>M100 and tensile in kgf/cm2 (x0.0980665 -&gt; MPa)</t>
        </is>
      </c>
      <c r="AI10" s="8" t="inlineStr">
        <is>
          <t>Tables 1 and 3. CF4 plasma weight loss 0.67%. Cure: press 160C x 7 min + oven 180C x 4 h.</t>
        </is>
      </c>
    </row>
    <row r="11">
      <c r="A11" s="8" t="inlineStr">
        <is>
          <t>US7678858B2</t>
        </is>
      </c>
      <c r="B11" s="8" t="inlineStr">
        <is>
          <t>patent</t>
        </is>
      </c>
      <c r="C11" s="8" t="inlineStr">
        <is>
          <t>Daikin Industries, Ltd.</t>
        </is>
      </c>
      <c r="D11" s="8" t="inlineStr">
        <is>
          <t>Fluorine-containing elastomer composition excellent in plasma-aging prevention effect and shaped article made thereof</t>
        </is>
      </c>
      <c r="E11" s="8" t="inlineStr">
        <is>
          <t>https://patents.google.com/patent/US7678858B2/en</t>
        </is>
      </c>
      <c r="F11" s="8" t="inlineStr">
        <is>
          <t>Comparative Example 1</t>
        </is>
      </c>
      <c r="G11" s="8" t="inlineStr">
        <is>
          <t>FFKM</t>
        </is>
      </c>
      <c r="H11" s="8" t="inlineStr">
        <is>
          <t>DAI-EL PERFLO GA-105 (TFE/perfluoro(alkyl vinyl ether), iodine cure site)</t>
        </is>
      </c>
      <c r="I11" s="8" t="inlineStr">
        <is>
          <t>peroxide</t>
        </is>
      </c>
      <c r="J11" s="8" t="n">
        <v>100</v>
      </c>
      <c r="K11" s="8" t="n">
        <v>0</v>
      </c>
      <c r="L11" s="8" t="n">
        <v>0</v>
      </c>
      <c r="M11" s="8" t="n">
        <v>15</v>
      </c>
      <c r="N11" s="8" t="n">
        <v>0</v>
      </c>
      <c r="O11" s="8" t="n">
        <v>0</v>
      </c>
      <c r="P11" s="8" t="n">
        <v>0</v>
      </c>
      <c r="Q11" s="8" t="n">
        <v>0</v>
      </c>
      <c r="R11" s="8" t="n">
        <v>0</v>
      </c>
      <c r="S11" s="8" t="n">
        <v>2</v>
      </c>
      <c r="T11" s="8" t="n">
        <v>1</v>
      </c>
      <c r="U11" s="8" t="n">
        <v>0</v>
      </c>
      <c r="V11" s="8" t="n">
        <v>0</v>
      </c>
      <c r="W11" s="8" t="n">
        <v>0</v>
      </c>
      <c r="X11" s="8" t="n">
        <v>0</v>
      </c>
      <c r="Y11" s="8" t="inlineStr">
        <is>
          <t>no plasma anti-aging compound; Al2O3 (0.02 um, 80 m2/g) 15; TAIC 2; PERHEXA 25B 1</t>
        </is>
      </c>
      <c r="Z11" s="8" t="n">
        <v>75</v>
      </c>
      <c r="AA11" s="8" t="n">
        <v>23.83</v>
      </c>
      <c r="AB11" s="8" t="n">
        <v>160</v>
      </c>
      <c r="AC11" s="8" t="n">
        <v>8.83</v>
      </c>
      <c r="AD11" s="8" t="n">
        <v>21</v>
      </c>
      <c r="AE11" s="8" t="inlineStr">
        <is>
          <t>200C x 70h, 25% compression, P-24 O-ring (JIS K6301)</t>
        </is>
      </c>
      <c r="AF11" s="8" t="n">
        <v>0.78</v>
      </c>
      <c r="AG11" s="8" t="inlineStr">
        <is>
          <t>O2 plasma, ICP high-density plasma device SAMCO RIE-101iPH, P-24 O-ring</t>
        </is>
      </c>
      <c r="AH11" s="8" t="inlineStr">
        <is>
          <t>M100 and tensile in kgf/cm2 (x0.0980665 -&gt; MPa)</t>
        </is>
      </c>
      <c r="AI11" s="8" t="inlineStr">
        <is>
          <t>Tables 1 and 3. CF4 plasma weight loss 0.82%. Cure: press 160C x 7 min + oven 180C x 4 h.</t>
        </is>
      </c>
    </row>
    <row r="12">
      <c r="A12" s="8" t="inlineStr">
        <is>
          <t>US7678858B2</t>
        </is>
      </c>
      <c r="B12" s="8" t="inlineStr">
        <is>
          <t>patent</t>
        </is>
      </c>
      <c r="C12" s="8" t="inlineStr">
        <is>
          <t>Daikin Industries, Ltd.</t>
        </is>
      </c>
      <c r="D12" s="8" t="inlineStr">
        <is>
          <t>Fluorine-containing elastomer composition excellent in plasma-aging prevention effect and shaped article made thereof</t>
        </is>
      </c>
      <c r="E12" s="8" t="inlineStr">
        <is>
          <t>https://patents.google.com/patent/US7678858B2/en</t>
        </is>
      </c>
      <c r="F12" s="8" t="inlineStr">
        <is>
          <t>Example 10</t>
        </is>
      </c>
      <c r="G12" s="8" t="inlineStr">
        <is>
          <t>FFKM</t>
        </is>
      </c>
      <c r="H12" s="8" t="inlineStr">
        <is>
          <t>DAI-EL PERFLO GA-105 (TFE/perfluoro(alkyl vinyl ether), iodine cure site)</t>
        </is>
      </c>
      <c r="I12" s="8" t="inlineStr">
        <is>
          <t>peroxide</t>
        </is>
      </c>
      <c r="J12" s="8" t="n">
        <v>100</v>
      </c>
      <c r="K12" s="8" t="n">
        <v>0</v>
      </c>
      <c r="L12" s="8" t="n">
        <v>0</v>
      </c>
      <c r="M12" s="8" t="n">
        <v>0</v>
      </c>
      <c r="N12" s="8" t="n">
        <v>0</v>
      </c>
      <c r="O12" s="8" t="n">
        <v>0</v>
      </c>
      <c r="P12" s="8" t="n">
        <v>0</v>
      </c>
      <c r="Q12" s="8" t="n">
        <v>0</v>
      </c>
      <c r="R12" s="8" t="n">
        <v>15</v>
      </c>
      <c r="S12" s="8" t="n">
        <v>2</v>
      </c>
      <c r="T12" s="8" t="n">
        <v>1</v>
      </c>
      <c r="U12" s="8" t="n">
        <v>0</v>
      </c>
      <c r="V12" s="8" t="n">
        <v>0</v>
      </c>
      <c r="W12" s="8" t="n">
        <v>0</v>
      </c>
      <c r="X12" s="8" t="n">
        <v>0</v>
      </c>
      <c r="Y12" s="8" t="inlineStr">
        <is>
          <t>CROMOPHTAL Red 2020 15; no filler; TAIC 2; PERHEXA 25B 1</t>
        </is>
      </c>
      <c r="Z12" s="8" t="n">
        <v>82</v>
      </c>
      <c r="AA12" s="8" t="n">
        <v>16.18</v>
      </c>
      <c r="AB12" s="8" t="n">
        <v>190</v>
      </c>
      <c r="AC12" s="8" t="n">
        <v>7.16</v>
      </c>
      <c r="AD12" s="8" t="n">
        <v>17</v>
      </c>
      <c r="AE12" s="8" t="inlineStr">
        <is>
          <t>200C x 70h, 25% compression, P-24 O-ring (JIS K6301)</t>
        </is>
      </c>
      <c r="AF12" s="8" t="n">
        <v>3.49</v>
      </c>
      <c r="AG12" s="8" t="inlineStr">
        <is>
          <t>O2 plasma, ICP high-density plasma device SAMCO RIE-101iPH, P-24 O-ring</t>
        </is>
      </c>
      <c r="AH12" s="8" t="inlineStr">
        <is>
          <t>M100 and tensile in kgf/cm2 (x0.0980665 -&gt; MPa)</t>
        </is>
      </c>
      <c r="AI12" s="8" t="inlineStr">
        <is>
          <t>Tables 2 and 4 (Example 10 has no filler per text). CF4 plasma weight loss 2.01%.</t>
        </is>
      </c>
    </row>
    <row r="13">
      <c r="A13" s="8" t="inlineStr">
        <is>
          <t>US7678858B2</t>
        </is>
      </c>
      <c r="B13" s="8" t="inlineStr">
        <is>
          <t>patent</t>
        </is>
      </c>
      <c r="C13" s="8" t="inlineStr">
        <is>
          <t>Daikin Industries, Ltd.</t>
        </is>
      </c>
      <c r="D13" s="8" t="inlineStr">
        <is>
          <t>Fluorine-containing elastomer composition excellent in plasma-aging prevention effect and shaped article made thereof</t>
        </is>
      </c>
      <c r="E13" s="8" t="inlineStr">
        <is>
          <t>https://patents.google.com/patent/US7678858B2/en</t>
        </is>
      </c>
      <c r="F13" s="8" t="inlineStr">
        <is>
          <t>Example 11</t>
        </is>
      </c>
      <c r="G13" s="8" t="inlineStr">
        <is>
          <t>FFKM</t>
        </is>
      </c>
      <c r="H13" s="8" t="inlineStr">
        <is>
          <t>DAI-EL PERFLO GA-105 (TFE/perfluoro(alkyl vinyl ether), iodine cure site)</t>
        </is>
      </c>
      <c r="I13" s="8" t="inlineStr">
        <is>
          <t>peroxide</t>
        </is>
      </c>
      <c r="J13" s="8" t="n">
        <v>100</v>
      </c>
      <c r="K13" s="8" t="n">
        <v>0</v>
      </c>
      <c r="L13" s="8" t="n">
        <v>0</v>
      </c>
      <c r="M13" s="8" t="n">
        <v>15</v>
      </c>
      <c r="N13" s="8" t="n">
        <v>0</v>
      </c>
      <c r="O13" s="8" t="n">
        <v>0</v>
      </c>
      <c r="P13" s="8" t="n">
        <v>0</v>
      </c>
      <c r="Q13" s="8" t="n">
        <v>0</v>
      </c>
      <c r="R13" s="8" t="n">
        <v>15</v>
      </c>
      <c r="S13" s="8" t="n">
        <v>2</v>
      </c>
      <c r="T13" s="8" t="n">
        <v>1</v>
      </c>
      <c r="U13" s="8" t="n">
        <v>0</v>
      </c>
      <c r="V13" s="8" t="n">
        <v>0</v>
      </c>
      <c r="W13" s="8" t="n">
        <v>0</v>
      </c>
      <c r="X13" s="8" t="n">
        <v>0</v>
      </c>
      <c r="Y13" s="8" t="inlineStr">
        <is>
          <t>CROMOPHTAL Red 2020 15; Al2O3 15; TAIC 2; PERHEXA 25B 1</t>
        </is>
      </c>
      <c r="Z13" s="8" t="n">
        <v>89</v>
      </c>
      <c r="AA13" s="8" t="n">
        <v>19.71</v>
      </c>
      <c r="AB13" s="8" t="n">
        <v>140</v>
      </c>
      <c r="AC13" s="8" t="n">
        <v>13.73</v>
      </c>
      <c r="AD13" s="8" t="n">
        <v>33</v>
      </c>
      <c r="AE13" s="8" t="inlineStr">
        <is>
          <t>200C x 70h, 25% compression, P-24 O-ring (JIS K6301)</t>
        </is>
      </c>
      <c r="AF13" s="8" t="n">
        <v>0.65</v>
      </c>
      <c r="AG13" s="8" t="inlineStr">
        <is>
          <t>O2 plasma, ICP high-density plasma device SAMCO RIE-101iPH, P-24 O-ring</t>
        </is>
      </c>
      <c r="AH13" s="8" t="inlineStr">
        <is>
          <t>M100 and tensile in kgf/cm2 (x0.0980665 -&gt; MPa)</t>
        </is>
      </c>
      <c r="AI13" s="8" t="inlineStr">
        <is>
          <t>Tables 2 and 4 (Example 10 has no filler per text). CF4 plasma weight loss 0.7%.</t>
        </is>
      </c>
    </row>
    <row r="14">
      <c r="A14" s="8" t="inlineStr">
        <is>
          <t>US7678858B2</t>
        </is>
      </c>
      <c r="B14" s="8" t="inlineStr">
        <is>
          <t>patent</t>
        </is>
      </c>
      <c r="C14" s="8" t="inlineStr">
        <is>
          <t>Daikin Industries, Ltd.</t>
        </is>
      </c>
      <c r="D14" s="8" t="inlineStr">
        <is>
          <t>Fluorine-containing elastomer composition excellent in plasma-aging prevention effect and shaped article made thereof</t>
        </is>
      </c>
      <c r="E14" s="8" t="inlineStr">
        <is>
          <t>https://patents.google.com/patent/US7678858B2/en</t>
        </is>
      </c>
      <c r="F14" s="8" t="inlineStr">
        <is>
          <t>Example 12</t>
        </is>
      </c>
      <c r="G14" s="8" t="inlineStr">
        <is>
          <t>FFKM</t>
        </is>
      </c>
      <c r="H14" s="8" t="inlineStr">
        <is>
          <t>DAI-EL PERFLO GA-105 (TFE/perfluoro(alkyl vinyl ether), iodine cure site)</t>
        </is>
      </c>
      <c r="I14" s="8" t="inlineStr">
        <is>
          <t>peroxide</t>
        </is>
      </c>
      <c r="J14" s="8" t="n">
        <v>100</v>
      </c>
      <c r="K14" s="8" t="n">
        <v>0</v>
      </c>
      <c r="L14" s="8" t="n">
        <v>0</v>
      </c>
      <c r="M14" s="8" t="n">
        <v>15</v>
      </c>
      <c r="N14" s="8" t="n">
        <v>0</v>
      </c>
      <c r="O14" s="8" t="n">
        <v>0</v>
      </c>
      <c r="P14" s="8" t="n">
        <v>0</v>
      </c>
      <c r="Q14" s="8" t="n">
        <v>0</v>
      </c>
      <c r="R14" s="8" t="n">
        <v>7.5</v>
      </c>
      <c r="S14" s="8" t="n">
        <v>2</v>
      </c>
      <c r="T14" s="8" t="n">
        <v>1</v>
      </c>
      <c r="U14" s="8" t="n">
        <v>0</v>
      </c>
      <c r="V14" s="8" t="n">
        <v>0</v>
      </c>
      <c r="W14" s="8" t="n">
        <v>0</v>
      </c>
      <c r="X14" s="8" t="n">
        <v>0</v>
      </c>
      <c r="Y14" s="8" t="inlineStr">
        <is>
          <t>CROMOPHTAL Red 2020 7.5; Al2O3 15; TAIC 2; PERHEXA 25B 1</t>
        </is>
      </c>
      <c r="Z14" s="8" t="n">
        <v>86</v>
      </c>
      <c r="AA14" s="8" t="n">
        <v>22.06</v>
      </c>
      <c r="AB14" s="8" t="n">
        <v>150</v>
      </c>
      <c r="AC14" s="8" t="n">
        <v>12.85</v>
      </c>
      <c r="AD14" s="8" t="n">
        <v>27</v>
      </c>
      <c r="AE14" s="8" t="inlineStr">
        <is>
          <t>200C x 70h, 25% compression, P-24 O-ring (JIS K6301)</t>
        </is>
      </c>
      <c r="AF14" s="8" t="n">
        <v>0.66</v>
      </c>
      <c r="AG14" s="8" t="inlineStr">
        <is>
          <t>O2 plasma, ICP high-density plasma device SAMCO RIE-101iPH, P-24 O-ring</t>
        </is>
      </c>
      <c r="AH14" s="8" t="inlineStr">
        <is>
          <t>M100 and tensile in kgf/cm2 (x0.0980665 -&gt; MPa)</t>
        </is>
      </c>
      <c r="AI14" s="8" t="inlineStr">
        <is>
          <t>Tables 2 and 4 (Example 10 has no filler per text). CF4 plasma weight loss 0.66%.</t>
        </is>
      </c>
    </row>
    <row r="15">
      <c r="A15" s="8" t="inlineStr">
        <is>
          <t>US7678858B2</t>
        </is>
      </c>
      <c r="B15" s="8" t="inlineStr">
        <is>
          <t>patent</t>
        </is>
      </c>
      <c r="C15" s="8" t="inlineStr">
        <is>
          <t>Daikin Industries, Ltd.</t>
        </is>
      </c>
      <c r="D15" s="8" t="inlineStr">
        <is>
          <t>Fluorine-containing elastomer composition excellent in plasma-aging prevention effect and shaped article made thereof</t>
        </is>
      </c>
      <c r="E15" s="8" t="inlineStr">
        <is>
          <t>https://patents.google.com/patent/US7678858B2/en</t>
        </is>
      </c>
      <c r="F15" s="8" t="inlineStr">
        <is>
          <t>Example 13</t>
        </is>
      </c>
      <c r="G15" s="8" t="inlineStr">
        <is>
          <t>FFKM</t>
        </is>
      </c>
      <c r="H15" s="8" t="inlineStr">
        <is>
          <t>DAI-EL PERFLO GA-105 (TFE/perfluoro(alkyl vinyl ether), iodine cure site)</t>
        </is>
      </c>
      <c r="I15" s="8" t="inlineStr">
        <is>
          <t>peroxide</t>
        </is>
      </c>
      <c r="J15" s="8" t="n">
        <v>100</v>
      </c>
      <c r="K15" s="8" t="n">
        <v>0</v>
      </c>
      <c r="L15" s="8" t="n">
        <v>0</v>
      </c>
      <c r="M15" s="8" t="n">
        <v>15</v>
      </c>
      <c r="N15" s="8" t="n">
        <v>0</v>
      </c>
      <c r="O15" s="8" t="n">
        <v>0</v>
      </c>
      <c r="P15" s="8" t="n">
        <v>0</v>
      </c>
      <c r="Q15" s="8" t="n">
        <v>0</v>
      </c>
      <c r="R15" s="8" t="n">
        <v>3.75</v>
      </c>
      <c r="S15" s="8" t="n">
        <v>2</v>
      </c>
      <c r="T15" s="8" t="n">
        <v>1</v>
      </c>
      <c r="U15" s="8" t="n">
        <v>0</v>
      </c>
      <c r="V15" s="8" t="n">
        <v>0</v>
      </c>
      <c r="W15" s="8" t="n">
        <v>0</v>
      </c>
      <c r="X15" s="8" t="n">
        <v>0</v>
      </c>
      <c r="Y15" s="8" t="inlineStr">
        <is>
          <t>CROMOPHTAL Red 2020 3.75; Al2O3 15; TAIC 2; PERHEXA 25B 1</t>
        </is>
      </c>
      <c r="Z15" s="8" t="n">
        <v>83</v>
      </c>
      <c r="AA15" s="8" t="n">
        <v>21.97</v>
      </c>
      <c r="AB15" s="8" t="n">
        <v>150</v>
      </c>
      <c r="AC15" s="8" t="n">
        <v>12.06</v>
      </c>
      <c r="AD15" s="8" t="n">
        <v>24</v>
      </c>
      <c r="AE15" s="8" t="inlineStr">
        <is>
          <t>200C x 70h, 25% compression, P-24 O-ring (JIS K6301)</t>
        </is>
      </c>
      <c r="AF15" s="8" t="n">
        <v>0.67</v>
      </c>
      <c r="AG15" s="8" t="inlineStr">
        <is>
          <t>O2 plasma, ICP high-density plasma device SAMCO RIE-101iPH, P-24 O-ring</t>
        </is>
      </c>
      <c r="AH15" s="8" t="inlineStr">
        <is>
          <t>M100 and tensile in kgf/cm2 (x0.0980665 -&gt; MPa)</t>
        </is>
      </c>
      <c r="AI15" s="8" t="inlineStr">
        <is>
          <t>Tables 2 and 4 (Example 10 has no filler per text). CF4 plasma weight loss 0.73%.</t>
        </is>
      </c>
    </row>
    <row r="16">
      <c r="A16" s="8" t="inlineStr">
        <is>
          <t>US7678858B2</t>
        </is>
      </c>
      <c r="B16" s="8" t="inlineStr">
        <is>
          <t>patent</t>
        </is>
      </c>
      <c r="C16" s="8" t="inlineStr">
        <is>
          <t>Daikin Industries, Ltd.</t>
        </is>
      </c>
      <c r="D16" s="8" t="inlineStr">
        <is>
          <t>Fluorine-containing elastomer composition excellent in plasma-aging prevention effect and shaped article made thereof</t>
        </is>
      </c>
      <c r="E16" s="8" t="inlineStr">
        <is>
          <t>https://patents.google.com/patent/US7678858B2/en</t>
        </is>
      </c>
      <c r="F16" s="8" t="inlineStr">
        <is>
          <t>Example 14</t>
        </is>
      </c>
      <c r="G16" s="8" t="inlineStr">
        <is>
          <t>FFKM</t>
        </is>
      </c>
      <c r="H16" s="8" t="inlineStr">
        <is>
          <t>DAI-EL PERFLO GA-105 (TFE/perfluoro(alkyl vinyl ether), iodine cure site)</t>
        </is>
      </c>
      <c r="I16" s="8" t="inlineStr">
        <is>
          <t>peroxide</t>
        </is>
      </c>
      <c r="J16" s="8" t="n">
        <v>100</v>
      </c>
      <c r="K16" s="8" t="n">
        <v>0</v>
      </c>
      <c r="L16" s="8" t="n">
        <v>0</v>
      </c>
      <c r="M16" s="8" t="n">
        <v>15</v>
      </c>
      <c r="N16" s="8" t="n">
        <v>0</v>
      </c>
      <c r="O16" s="8" t="n">
        <v>0</v>
      </c>
      <c r="P16" s="8" t="n">
        <v>0</v>
      </c>
      <c r="Q16" s="8" t="n">
        <v>0</v>
      </c>
      <c r="R16" s="8" t="n">
        <v>2</v>
      </c>
      <c r="S16" s="8" t="n">
        <v>2</v>
      </c>
      <c r="T16" s="8" t="n">
        <v>1</v>
      </c>
      <c r="U16" s="8" t="n">
        <v>0</v>
      </c>
      <c r="V16" s="8" t="n">
        <v>0</v>
      </c>
      <c r="W16" s="8" t="n">
        <v>0</v>
      </c>
      <c r="X16" s="8" t="n">
        <v>0</v>
      </c>
      <c r="Y16" s="8" t="inlineStr">
        <is>
          <t>NONFLEX OD-3 (amine antioxidant) 2; Al2O3 15; TAIC 2; PERHEXA 25B 1</t>
        </is>
      </c>
      <c r="Z16" s="8" t="n">
        <v>78</v>
      </c>
      <c r="AA16" s="8" t="n">
        <v>15.98</v>
      </c>
      <c r="AB16" s="8" t="n">
        <v>170</v>
      </c>
      <c r="AC16" s="8" t="n">
        <v>6.47</v>
      </c>
      <c r="AD16" s="8" t="n">
        <v>28</v>
      </c>
      <c r="AE16" s="8" t="inlineStr">
        <is>
          <t>200C x 70h, 25% compression, P-24 O-ring (JIS K6301)</t>
        </is>
      </c>
      <c r="AF16" s="8" t="n">
        <v>0.65</v>
      </c>
      <c r="AG16" s="8" t="inlineStr">
        <is>
          <t>O2 plasma, ICP high-density plasma device SAMCO RIE-101iPH, P-24 O-ring</t>
        </is>
      </c>
      <c r="AH16" s="8" t="inlineStr">
        <is>
          <t>M100 and tensile in kgf/cm2 (x0.0980665 -&gt; MPa)</t>
        </is>
      </c>
      <c r="AI16" s="8" t="inlineStr">
        <is>
          <t>Tables 2 and 4 (Example 10 has no filler per text). CF4 plasma weight loss 0.67%.</t>
        </is>
      </c>
    </row>
    <row r="17">
      <c r="A17" s="8" t="inlineStr">
        <is>
          <t>US7678858B2</t>
        </is>
      </c>
      <c r="B17" s="8" t="inlineStr">
        <is>
          <t>patent</t>
        </is>
      </c>
      <c r="C17" s="8" t="inlineStr">
        <is>
          <t>Daikin Industries, Ltd.</t>
        </is>
      </c>
      <c r="D17" s="8" t="inlineStr">
        <is>
          <t>Fluorine-containing elastomer composition excellent in plasma-aging prevention effect and shaped article made thereof</t>
        </is>
      </c>
      <c r="E17" s="8" t="inlineStr">
        <is>
          <t>https://patents.google.com/patent/US7678858B2/en</t>
        </is>
      </c>
      <c r="F17" s="8" t="inlineStr">
        <is>
          <t>Example 15</t>
        </is>
      </c>
      <c r="G17" s="8" t="inlineStr">
        <is>
          <t>FFKM</t>
        </is>
      </c>
      <c r="H17" s="8" t="inlineStr">
        <is>
          <t>DAI-EL PERFLO GA-105 (TFE/perfluoro(alkyl vinyl ether), iodine cure site)</t>
        </is>
      </c>
      <c r="I17" s="8" t="inlineStr">
        <is>
          <t>peroxide</t>
        </is>
      </c>
      <c r="J17" s="8" t="n">
        <v>100</v>
      </c>
      <c r="K17" s="8" t="n">
        <v>0</v>
      </c>
      <c r="L17" s="8" t="n">
        <v>0</v>
      </c>
      <c r="M17" s="8" t="n">
        <v>15</v>
      </c>
      <c r="N17" s="8" t="n">
        <v>0</v>
      </c>
      <c r="O17" s="8" t="n">
        <v>0</v>
      </c>
      <c r="P17" s="8" t="n">
        <v>0</v>
      </c>
      <c r="Q17" s="8" t="n">
        <v>0</v>
      </c>
      <c r="R17" s="8" t="n">
        <v>2</v>
      </c>
      <c r="S17" s="8" t="n">
        <v>2</v>
      </c>
      <c r="T17" s="8" t="n">
        <v>1</v>
      </c>
      <c r="U17" s="8" t="n">
        <v>0</v>
      </c>
      <c r="V17" s="8" t="n">
        <v>0</v>
      </c>
      <c r="W17" s="8" t="n">
        <v>0</v>
      </c>
      <c r="X17" s="8" t="n">
        <v>0</v>
      </c>
      <c r="Y17" s="8" t="inlineStr">
        <is>
          <t>PPST-1 (PPS resin powder, 2 um) 2; Al2O3 15; TAIC 2; PERHEXA 25B 1</t>
        </is>
      </c>
      <c r="Z17" s="8" t="n">
        <v>82</v>
      </c>
      <c r="AA17" s="8" t="n">
        <v>18.34</v>
      </c>
      <c r="AB17" s="8" t="n">
        <v>140</v>
      </c>
      <c r="AC17" s="8" t="n">
        <v>10.89</v>
      </c>
      <c r="AD17" s="8" t="n">
        <v>22</v>
      </c>
      <c r="AE17" s="8" t="inlineStr">
        <is>
          <t>200C x 70h, 25% compression, P-24 O-ring (JIS K6301)</t>
        </is>
      </c>
      <c r="AF17" s="8" t="n">
        <v>0.6899999999999999</v>
      </c>
      <c r="AG17" s="8" t="inlineStr">
        <is>
          <t>O2 plasma, ICP high-density plasma device SAMCO RIE-101iPH, P-24 O-ring</t>
        </is>
      </c>
      <c r="AH17" s="8" t="inlineStr">
        <is>
          <t>M100 and tensile in kgf/cm2 (x0.0980665 -&gt; MPa)</t>
        </is>
      </c>
      <c r="AI17" s="8" t="inlineStr">
        <is>
          <t>Tables 2 and 4 (Example 10 has no filler per text). CF4 plasma weight loss 0.58%.</t>
        </is>
      </c>
    </row>
    <row r="18">
      <c r="A18" s="8" t="inlineStr">
        <is>
          <t>US7678858B2</t>
        </is>
      </c>
      <c r="B18" s="8" t="inlineStr">
        <is>
          <t>patent</t>
        </is>
      </c>
      <c r="C18" s="8" t="inlineStr">
        <is>
          <t>Daikin Industries, Ltd.</t>
        </is>
      </c>
      <c r="D18" s="8" t="inlineStr">
        <is>
          <t>Fluorine-containing elastomer composition excellent in plasma-aging prevention effect and shaped article made thereof</t>
        </is>
      </c>
      <c r="E18" s="8" t="inlineStr">
        <is>
          <t>https://patents.google.com/patent/US7678858B2/en</t>
        </is>
      </c>
      <c r="F18" s="8" t="inlineStr">
        <is>
          <t>Example 16</t>
        </is>
      </c>
      <c r="G18" s="8" t="inlineStr">
        <is>
          <t>FFKM</t>
        </is>
      </c>
      <c r="H18" s="8" t="inlineStr">
        <is>
          <t>DAI-EL PERFLO GA-105 (TFE/perfluoro(alkyl vinyl ether), iodine cure site)</t>
        </is>
      </c>
      <c r="I18" s="8" t="inlineStr">
        <is>
          <t>peroxide</t>
        </is>
      </c>
      <c r="J18" s="8" t="n">
        <v>100</v>
      </c>
      <c r="K18" s="8" t="n">
        <v>0</v>
      </c>
      <c r="L18" s="8" t="n">
        <v>0</v>
      </c>
      <c r="M18" s="8" t="n">
        <v>0</v>
      </c>
      <c r="N18" s="8" t="n">
        <v>0</v>
      </c>
      <c r="O18" s="8" t="n">
        <v>0</v>
      </c>
      <c r="P18" s="8" t="n">
        <v>0</v>
      </c>
      <c r="Q18" s="8" t="n">
        <v>0</v>
      </c>
      <c r="R18" s="8" t="n">
        <v>15.5</v>
      </c>
      <c r="S18" s="8" t="n">
        <v>2</v>
      </c>
      <c r="T18" s="8" t="n">
        <v>1</v>
      </c>
      <c r="U18" s="8" t="n">
        <v>0</v>
      </c>
      <c r="V18" s="8" t="n">
        <v>0</v>
      </c>
      <c r="W18" s="8" t="n">
        <v>0</v>
      </c>
      <c r="X18" s="8" t="n">
        <v>0</v>
      </c>
      <c r="Y18" s="8" t="inlineStr">
        <is>
          <t>polyimide UIP-S (pulverized, ~10 m2/g) 15 + CROMOPHTAL Red 2020 0.5; TAIC 2; PERHEXA 25B 1</t>
        </is>
      </c>
      <c r="Z18" s="8" t="n">
        <v>82</v>
      </c>
      <c r="AA18" s="8" t="n">
        <v>16.77</v>
      </c>
      <c r="AB18" s="8" t="n">
        <v>130</v>
      </c>
      <c r="AC18" s="8" t="n">
        <v>15.2</v>
      </c>
      <c r="AD18" s="8" t="n">
        <v>24</v>
      </c>
      <c r="AE18" s="8" t="inlineStr">
        <is>
          <t>200C x 70h, 25% compression, P-24 O-ring (JIS K6301)</t>
        </is>
      </c>
      <c r="AF18" s="8" t="n">
        <v>2.29</v>
      </c>
      <c r="AG18" s="8" t="inlineStr">
        <is>
          <t>O2 plasma, ICP high-density plasma device SAMCO RIE-101iPH, P-24 O-ring</t>
        </is>
      </c>
      <c r="AH18" s="8" t="inlineStr">
        <is>
          <t>M100 and tensile in kgf/cm2 (x0.0980665 -&gt; MPa)</t>
        </is>
      </c>
      <c r="AI18" s="8" t="inlineStr">
        <is>
          <t>Tables 5 and 6; organic_additive = polyimide + pigment sum. CF4 plasma weight loss 0.19%.</t>
        </is>
      </c>
    </row>
    <row r="19">
      <c r="A19" s="8" t="inlineStr">
        <is>
          <t>US7678858B2</t>
        </is>
      </c>
      <c r="B19" s="8" t="inlineStr">
        <is>
          <t>patent</t>
        </is>
      </c>
      <c r="C19" s="8" t="inlineStr">
        <is>
          <t>Daikin Industries, Ltd.</t>
        </is>
      </c>
      <c r="D19" s="8" t="inlineStr">
        <is>
          <t>Fluorine-containing elastomer composition excellent in plasma-aging prevention effect and shaped article made thereof</t>
        </is>
      </c>
      <c r="E19" s="8" t="inlineStr">
        <is>
          <t>https://patents.google.com/patent/US7678858B2/en</t>
        </is>
      </c>
      <c r="F19" s="8" t="inlineStr">
        <is>
          <t>Example 17</t>
        </is>
      </c>
      <c r="G19" s="8" t="inlineStr">
        <is>
          <t>FFKM</t>
        </is>
      </c>
      <c r="H19" s="8" t="inlineStr">
        <is>
          <t>DAI-EL PERFLO GA-105 (TFE/perfluoro(alkyl vinyl ether), iodine cure site)</t>
        </is>
      </c>
      <c r="I19" s="8" t="inlineStr">
        <is>
          <t>peroxide</t>
        </is>
      </c>
      <c r="J19" s="8" t="n">
        <v>100</v>
      </c>
      <c r="K19" s="8" t="n">
        <v>0</v>
      </c>
      <c r="L19" s="8" t="n">
        <v>0</v>
      </c>
      <c r="M19" s="8" t="n">
        <v>0</v>
      </c>
      <c r="N19" s="8" t="n">
        <v>0</v>
      </c>
      <c r="O19" s="8" t="n">
        <v>0</v>
      </c>
      <c r="P19" s="8" t="n">
        <v>0</v>
      </c>
      <c r="Q19" s="8" t="n">
        <v>0</v>
      </c>
      <c r="R19" s="8" t="n">
        <v>16</v>
      </c>
      <c r="S19" s="8" t="n">
        <v>2</v>
      </c>
      <c r="T19" s="8" t="n">
        <v>1</v>
      </c>
      <c r="U19" s="8" t="n">
        <v>0</v>
      </c>
      <c r="V19" s="8" t="n">
        <v>0</v>
      </c>
      <c r="W19" s="8" t="n">
        <v>0</v>
      </c>
      <c r="X19" s="8" t="n">
        <v>0</v>
      </c>
      <c r="Y19" s="8" t="inlineStr">
        <is>
          <t>polyimide UIP-S 15 + CROMOPHTAL Red 2020 1; TAIC 2; PERHEXA 25B 1</t>
        </is>
      </c>
      <c r="Z19" s="8" t="n">
        <v>81</v>
      </c>
      <c r="AA19" s="8" t="n">
        <v>17.26</v>
      </c>
      <c r="AB19" s="8" t="n">
        <v>130</v>
      </c>
      <c r="AC19" s="8" t="n">
        <v>15.2</v>
      </c>
      <c r="AD19" s="8" t="n">
        <v>26</v>
      </c>
      <c r="AE19" s="8" t="inlineStr">
        <is>
          <t>200C x 70h, 25% compression, P-24 O-ring (JIS K6301)</t>
        </is>
      </c>
      <c r="AF19" s="8" t="n">
        <v>2.15</v>
      </c>
      <c r="AG19" s="8" t="inlineStr">
        <is>
          <t>O2 plasma, ICP high-density plasma device SAMCO RIE-101iPH, P-24 O-ring</t>
        </is>
      </c>
      <c r="AH19" s="8" t="inlineStr">
        <is>
          <t>M100 and tensile in kgf/cm2 (x0.0980665 -&gt; MPa)</t>
        </is>
      </c>
      <c r="AI19" s="8" t="inlineStr">
        <is>
          <t>Tables 5 and 6; organic_additive = polyimide + pigment sum. CF4 plasma weight loss 0.19%.</t>
        </is>
      </c>
    </row>
    <row r="20">
      <c r="A20" s="8" t="inlineStr">
        <is>
          <t>US7678858B2</t>
        </is>
      </c>
      <c r="B20" s="8" t="inlineStr">
        <is>
          <t>patent</t>
        </is>
      </c>
      <c r="C20" s="8" t="inlineStr">
        <is>
          <t>Daikin Industries, Ltd.</t>
        </is>
      </c>
      <c r="D20" s="8" t="inlineStr">
        <is>
          <t>Fluorine-containing elastomer composition excellent in plasma-aging prevention effect and shaped article made thereof</t>
        </is>
      </c>
      <c r="E20" s="8" t="inlineStr">
        <is>
          <t>https://patents.google.com/patent/US7678858B2/en</t>
        </is>
      </c>
      <c r="F20" s="8" t="inlineStr">
        <is>
          <t>Example 18</t>
        </is>
      </c>
      <c r="G20" s="8" t="inlineStr">
        <is>
          <t>FFKM</t>
        </is>
      </c>
      <c r="H20" s="8" t="inlineStr">
        <is>
          <t>DAI-EL PERFLO GA-105 (TFE/perfluoro(alkyl vinyl ether), iodine cure site)</t>
        </is>
      </c>
      <c r="I20" s="8" t="inlineStr">
        <is>
          <t>peroxide</t>
        </is>
      </c>
      <c r="J20" s="8" t="n">
        <v>100</v>
      </c>
      <c r="K20" s="8" t="n">
        <v>0</v>
      </c>
      <c r="L20" s="8" t="n">
        <v>0</v>
      </c>
      <c r="M20" s="8" t="n">
        <v>0</v>
      </c>
      <c r="N20" s="8" t="n">
        <v>0</v>
      </c>
      <c r="O20" s="8" t="n">
        <v>0</v>
      </c>
      <c r="P20" s="8" t="n">
        <v>0</v>
      </c>
      <c r="Q20" s="8" t="n">
        <v>0</v>
      </c>
      <c r="R20" s="8" t="n">
        <v>17</v>
      </c>
      <c r="S20" s="8" t="n">
        <v>2</v>
      </c>
      <c r="T20" s="8" t="n">
        <v>1</v>
      </c>
      <c r="U20" s="8" t="n">
        <v>0</v>
      </c>
      <c r="V20" s="8" t="n">
        <v>0</v>
      </c>
      <c r="W20" s="8" t="n">
        <v>0</v>
      </c>
      <c r="X20" s="8" t="n">
        <v>0</v>
      </c>
      <c r="Y20" s="8" t="inlineStr">
        <is>
          <t>polyimide UIP-S 15 + CROMOPHTAL Red 2020 2; TAIC 2; PERHEXA 25B 1</t>
        </is>
      </c>
      <c r="Z20" s="8" t="n">
        <v>82</v>
      </c>
      <c r="AA20" s="8" t="n">
        <v>16.67</v>
      </c>
      <c r="AB20" s="8" t="n">
        <v>130</v>
      </c>
      <c r="AC20" s="8" t="n">
        <v>14.42</v>
      </c>
      <c r="AD20" s="8" t="n">
        <v>25</v>
      </c>
      <c r="AE20" s="8" t="inlineStr">
        <is>
          <t>200C x 70h, 25% compression, P-24 O-ring (JIS K6301)</t>
        </is>
      </c>
      <c r="AF20" s="8" t="n">
        <v>2.09</v>
      </c>
      <c r="AG20" s="8" t="inlineStr">
        <is>
          <t>O2 plasma, ICP high-density plasma device SAMCO RIE-101iPH, P-24 O-ring</t>
        </is>
      </c>
      <c r="AH20" s="8" t="inlineStr">
        <is>
          <t>M100 and tensile in kgf/cm2 (x0.0980665 -&gt; MPa)</t>
        </is>
      </c>
      <c r="AI20" s="8" t="inlineStr">
        <is>
          <t>Tables 5 and 6; organic_additive = polyimide + pigment sum. CF4 plasma weight loss 0.19%.</t>
        </is>
      </c>
    </row>
    <row r="21">
      <c r="A21" s="8" t="inlineStr">
        <is>
          <t>US7678858B2</t>
        </is>
      </c>
      <c r="B21" s="8" t="inlineStr">
        <is>
          <t>patent</t>
        </is>
      </c>
      <c r="C21" s="8" t="inlineStr">
        <is>
          <t>Daikin Industries, Ltd.</t>
        </is>
      </c>
      <c r="D21" s="8" t="inlineStr">
        <is>
          <t>Fluorine-containing elastomer composition excellent in plasma-aging prevention effect and shaped article made thereof</t>
        </is>
      </c>
      <c r="E21" s="8" t="inlineStr">
        <is>
          <t>https://patents.google.com/patent/US7678858B2/en</t>
        </is>
      </c>
      <c r="F21" s="8" t="inlineStr">
        <is>
          <t>Example 19</t>
        </is>
      </c>
      <c r="G21" s="8" t="inlineStr">
        <is>
          <t>FFKM</t>
        </is>
      </c>
      <c r="H21" s="8" t="inlineStr">
        <is>
          <t>DAI-EL PERFLO GA-105 (TFE/perfluoro(alkyl vinyl ether), iodine cure site)</t>
        </is>
      </c>
      <c r="I21" s="8" t="inlineStr">
        <is>
          <t>peroxide</t>
        </is>
      </c>
      <c r="J21" s="8" t="n">
        <v>100</v>
      </c>
      <c r="K21" s="8" t="n">
        <v>0</v>
      </c>
      <c r="L21" s="8" t="n">
        <v>0</v>
      </c>
      <c r="M21" s="8" t="n">
        <v>0</v>
      </c>
      <c r="N21" s="8" t="n">
        <v>0</v>
      </c>
      <c r="O21" s="8" t="n">
        <v>0</v>
      </c>
      <c r="P21" s="8" t="n">
        <v>0</v>
      </c>
      <c r="Q21" s="8" t="n">
        <v>0</v>
      </c>
      <c r="R21" s="8" t="n">
        <v>20</v>
      </c>
      <c r="S21" s="8" t="n">
        <v>2</v>
      </c>
      <c r="T21" s="8" t="n">
        <v>1</v>
      </c>
      <c r="U21" s="8" t="n">
        <v>0</v>
      </c>
      <c r="V21" s="8" t="n">
        <v>0</v>
      </c>
      <c r="W21" s="8" t="n">
        <v>0</v>
      </c>
      <c r="X21" s="8" t="n">
        <v>0</v>
      </c>
      <c r="Y21" s="8" t="inlineStr">
        <is>
          <t>polyimide UIP-S 15 + CROMOPHTAL Red 2020 5; TAIC 2; PERHEXA 25B 1</t>
        </is>
      </c>
      <c r="Z21" s="8" t="n">
        <v>84</v>
      </c>
      <c r="AA21" s="8" t="n">
        <v>16.18</v>
      </c>
      <c r="AB21" s="8" t="n">
        <v>140</v>
      </c>
      <c r="AC21" s="8" t="n">
        <v>13.93</v>
      </c>
      <c r="AD21" s="8" t="n">
        <v>25</v>
      </c>
      <c r="AE21" s="8" t="inlineStr">
        <is>
          <t>200C x 70h, 25% compression, P-24 O-ring (JIS K6301)</t>
        </is>
      </c>
      <c r="AF21" s="8" t="n">
        <v>2.05</v>
      </c>
      <c r="AG21" s="8" t="inlineStr">
        <is>
          <t>O2 plasma, ICP high-density plasma device SAMCO RIE-101iPH, P-24 O-ring</t>
        </is>
      </c>
      <c r="AH21" s="8" t="inlineStr">
        <is>
          <t>M100 and tensile in kgf/cm2 (x0.0980665 -&gt; MPa)</t>
        </is>
      </c>
      <c r="AI21" s="8" t="inlineStr">
        <is>
          <t>Tables 5 and 6; organic_additive = polyimide + pigment sum. CF4 plasma weight loss 0.19%.</t>
        </is>
      </c>
    </row>
    <row r="22">
      <c r="A22" s="8" t="inlineStr">
        <is>
          <t>US7678858B2</t>
        </is>
      </c>
      <c r="B22" s="8" t="inlineStr">
        <is>
          <t>patent</t>
        </is>
      </c>
      <c r="C22" s="8" t="inlineStr">
        <is>
          <t>Daikin Industries, Ltd.</t>
        </is>
      </c>
      <c r="D22" s="8" t="inlineStr">
        <is>
          <t>Fluorine-containing elastomer composition excellent in plasma-aging prevention effect and shaped article made thereof</t>
        </is>
      </c>
      <c r="E22" s="8" t="inlineStr">
        <is>
          <t>https://patents.google.com/patent/US7678858B2/en</t>
        </is>
      </c>
      <c r="F22" s="8" t="inlineStr">
        <is>
          <t>Example 20</t>
        </is>
      </c>
      <c r="G22" s="8" t="inlineStr">
        <is>
          <t>FFKM</t>
        </is>
      </c>
      <c r="H22" s="8" t="inlineStr">
        <is>
          <t>DAI-EL PERFLO GA-105 (TFE/perfluoro(alkyl vinyl ether), iodine cure site)</t>
        </is>
      </c>
      <c r="I22" s="8" t="inlineStr">
        <is>
          <t>peroxide</t>
        </is>
      </c>
      <c r="J22" s="8" t="n">
        <v>100</v>
      </c>
      <c r="K22" s="8" t="n">
        <v>15</v>
      </c>
      <c r="L22" s="8" t="n">
        <v>0</v>
      </c>
      <c r="M22" s="8" t="n">
        <v>0</v>
      </c>
      <c r="N22" s="8" t="n">
        <v>0</v>
      </c>
      <c r="O22" s="8" t="n">
        <v>0</v>
      </c>
      <c r="P22" s="8" t="n">
        <v>0</v>
      </c>
      <c r="Q22" s="8" t="n">
        <v>0</v>
      </c>
      <c r="R22" s="8" t="n">
        <v>2</v>
      </c>
      <c r="S22" s="8" t="n">
        <v>2</v>
      </c>
      <c r="T22" s="8" t="n">
        <v>1</v>
      </c>
      <c r="U22" s="8" t="n">
        <v>0</v>
      </c>
      <c r="V22" s="8" t="n">
        <v>0</v>
      </c>
      <c r="W22" s="8" t="n">
        <v>0</v>
      </c>
      <c r="X22" s="8" t="n">
        <v>0</v>
      </c>
      <c r="Y22" s="8" t="inlineStr">
        <is>
          <t>MT carbon black N-990 15; CROMOPHTAL Red 2020 2; TAIC 2; PERHEXA 25B 1</t>
        </is>
      </c>
      <c r="Z22" s="8" t="n">
        <v>82</v>
      </c>
      <c r="AA22" s="8" t="n">
        <v>20.99</v>
      </c>
      <c r="AB22" s="8" t="n">
        <v>170</v>
      </c>
      <c r="AC22" s="8" t="n">
        <v>10.2</v>
      </c>
      <c r="AD22" s="8" t="n">
        <v>18</v>
      </c>
      <c r="AE22" s="8" t="inlineStr">
        <is>
          <t>200C x 70h, 25% compression, P-24 O-ring (JIS K6301)</t>
        </is>
      </c>
      <c r="AF22" s="8" t="n">
        <v>3.32</v>
      </c>
      <c r="AG22" s="8" t="inlineStr">
        <is>
          <t>O2 plasma, ICP high-density plasma device SAMCO RIE-101iPH, P-24 O-ring</t>
        </is>
      </c>
      <c r="AH22" s="8" t="inlineStr">
        <is>
          <t>M100 and tensile in kgf/cm2 (x0.0980665 -&gt; MPa)</t>
        </is>
      </c>
      <c r="AI22" s="8" t="inlineStr">
        <is>
          <t>Tables 5 and 6; organic_additive = polyimide + pigment sum. CF4 plasma weight loss 0.25%.</t>
        </is>
      </c>
    </row>
    <row r="23">
      <c r="A23" s="8" t="inlineStr">
        <is>
          <t>US7678858B2</t>
        </is>
      </c>
      <c r="B23" s="8" t="inlineStr">
        <is>
          <t>patent</t>
        </is>
      </c>
      <c r="C23" s="8" t="inlineStr">
        <is>
          <t>Daikin Industries, Ltd.</t>
        </is>
      </c>
      <c r="D23" s="8" t="inlineStr">
        <is>
          <t>Fluorine-containing elastomer composition excellent in plasma-aging prevention effect and shaped article made thereof</t>
        </is>
      </c>
      <c r="E23" s="8" t="inlineStr">
        <is>
          <t>https://patents.google.com/patent/US7678858B2/en</t>
        </is>
      </c>
      <c r="F23" s="8" t="inlineStr">
        <is>
          <t>Comparative Example 2</t>
        </is>
      </c>
      <c r="G23" s="8" t="inlineStr">
        <is>
          <t>FFKM</t>
        </is>
      </c>
      <c r="H23" s="8" t="inlineStr">
        <is>
          <t>DAI-EL PERFLO GA-105 (TFE/perfluoro(alkyl vinyl ether), iodine cure site)</t>
        </is>
      </c>
      <c r="I23" s="8" t="inlineStr">
        <is>
          <t>peroxide</t>
        </is>
      </c>
      <c r="J23" s="8" t="n">
        <v>100</v>
      </c>
      <c r="K23" s="8" t="n">
        <v>0</v>
      </c>
      <c r="L23" s="8" t="n">
        <v>0</v>
      </c>
      <c r="M23" s="8" t="n">
        <v>0</v>
      </c>
      <c r="N23" s="8" t="n">
        <v>0</v>
      </c>
      <c r="O23" s="8" t="n">
        <v>0</v>
      </c>
      <c r="P23" s="8" t="n">
        <v>0</v>
      </c>
      <c r="Q23" s="8" t="n">
        <v>0</v>
      </c>
      <c r="R23" s="8" t="n">
        <v>15</v>
      </c>
      <c r="S23" s="8" t="n">
        <v>2</v>
      </c>
      <c r="T23" s="8" t="n">
        <v>1</v>
      </c>
      <c r="U23" s="8" t="n">
        <v>0</v>
      </c>
      <c r="V23" s="8" t="n">
        <v>0</v>
      </c>
      <c r="W23" s="8" t="n">
        <v>0</v>
      </c>
      <c r="X23" s="8" t="n">
        <v>0</v>
      </c>
      <c r="Y23" s="8" t="inlineStr">
        <is>
          <t>polyimide UIP-S 15; no pigment; TAIC 2; PERHEXA 25B 1</t>
        </is>
      </c>
      <c r="Z23" s="8" t="n">
        <v>80</v>
      </c>
      <c r="AA23" s="8" t="n">
        <v>15.49</v>
      </c>
      <c r="AB23" s="8" t="n">
        <v>130</v>
      </c>
      <c r="AC23" s="8" t="n">
        <v>14.51</v>
      </c>
      <c r="AD23" s="8" t="n">
        <v>23</v>
      </c>
      <c r="AE23" s="8" t="inlineStr">
        <is>
          <t>200C x 70h, 25% compression, P-24 O-ring (JIS K6301)</t>
        </is>
      </c>
      <c r="AF23" s="8" t="n">
        <v>2.38</v>
      </c>
      <c r="AG23" s="8" t="inlineStr">
        <is>
          <t>O2 plasma, ICP high-density plasma device SAMCO RIE-101iPH, P-24 O-ring</t>
        </is>
      </c>
      <c r="AH23" s="8" t="inlineStr">
        <is>
          <t>M100 and tensile in kgf/cm2 (x0.0980665 -&gt; MPa)</t>
        </is>
      </c>
      <c r="AI23" s="8" t="inlineStr">
        <is>
          <t>Tables 5 and 6; organic_additive = polyimide + pigment sum. CF4 plasma weight loss 0.19%.</t>
        </is>
      </c>
    </row>
    <row r="24">
      <c r="A24" s="8" t="inlineStr">
        <is>
          <t>US7678858B2</t>
        </is>
      </c>
      <c r="B24" s="8" t="inlineStr">
        <is>
          <t>patent</t>
        </is>
      </c>
      <c r="C24" s="8" t="inlineStr">
        <is>
          <t>Daikin Industries, Ltd.</t>
        </is>
      </c>
      <c r="D24" s="8" t="inlineStr">
        <is>
          <t>Fluorine-containing elastomer composition excellent in plasma-aging prevention effect and shaped article made thereof</t>
        </is>
      </c>
      <c r="E24" s="8" t="inlineStr">
        <is>
          <t>https://patents.google.com/patent/US7678858B2/en</t>
        </is>
      </c>
      <c r="F24" s="8" t="inlineStr">
        <is>
          <t>Comparative Example 3</t>
        </is>
      </c>
      <c r="G24" s="8" t="inlineStr">
        <is>
          <t>FFKM</t>
        </is>
      </c>
      <c r="H24" s="8" t="inlineStr">
        <is>
          <t>DAI-EL PERFLO GA-105 (TFE/perfluoro(alkyl vinyl ether), iodine cure site)</t>
        </is>
      </c>
      <c r="I24" s="8" t="inlineStr">
        <is>
          <t>peroxide</t>
        </is>
      </c>
      <c r="J24" s="8" t="n">
        <v>100</v>
      </c>
      <c r="K24" s="8" t="n">
        <v>15</v>
      </c>
      <c r="L24" s="8" t="n">
        <v>0</v>
      </c>
      <c r="M24" s="8" t="n">
        <v>0</v>
      </c>
      <c r="N24" s="8" t="n">
        <v>0</v>
      </c>
      <c r="O24" s="8" t="n">
        <v>0</v>
      </c>
      <c r="P24" s="8" t="n">
        <v>0</v>
      </c>
      <c r="Q24" s="8" t="n">
        <v>0</v>
      </c>
      <c r="R24" s="8" t="n">
        <v>0</v>
      </c>
      <c r="S24" s="8" t="n">
        <v>2</v>
      </c>
      <c r="T24" s="8" t="n">
        <v>1</v>
      </c>
      <c r="U24" s="8" t="n">
        <v>0</v>
      </c>
      <c r="V24" s="8" t="n">
        <v>0</v>
      </c>
      <c r="W24" s="8" t="n">
        <v>0</v>
      </c>
      <c r="X24" s="8" t="n">
        <v>0</v>
      </c>
      <c r="Y24" s="8" t="inlineStr">
        <is>
          <t>MT carbon black N-990 15; no pigment; TAIC 2; PERHEXA 25B 1</t>
        </is>
      </c>
      <c r="Z24" s="8" t="n">
        <v>81</v>
      </c>
      <c r="AA24" s="8" t="n">
        <v>24.42</v>
      </c>
      <c r="AB24" s="8" t="n">
        <v>200</v>
      </c>
      <c r="AC24" s="8" t="n">
        <v>9.119999999999999</v>
      </c>
      <c r="AD24" s="8" t="n">
        <v>15</v>
      </c>
      <c r="AE24" s="8" t="inlineStr">
        <is>
          <t>200C x 70h, 25% compression, P-24 O-ring (JIS K6301)</t>
        </is>
      </c>
      <c r="AF24" s="8" t="n">
        <v>3.69</v>
      </c>
      <c r="AG24" s="8" t="inlineStr">
        <is>
          <t>O2 plasma, ICP high-density plasma device SAMCO RIE-101iPH, P-24 O-ring</t>
        </is>
      </c>
      <c r="AH24" s="8" t="inlineStr">
        <is>
          <t>M100 and tensile in kgf/cm2 (x0.0980665 -&gt; MPa)</t>
        </is>
      </c>
      <c r="AI24" s="8" t="inlineStr">
        <is>
          <t>Tables 5 and 6; organic_additive = polyimide + pigment sum. CF4 plasma weight loss 0.27%.</t>
        </is>
      </c>
    </row>
    <row r="25">
      <c r="A25" s="8" t="inlineStr">
        <is>
          <t>US6803402B2</t>
        </is>
      </c>
      <c r="B25" s="8" t="inlineStr">
        <is>
          <t>patent</t>
        </is>
      </c>
      <c r="C25" s="8" t="inlineStr">
        <is>
          <t>Daikin Industries, Ltd.</t>
        </is>
      </c>
      <c r="D25" s="8" t="inlineStr">
        <is>
          <t>Elastomer molded article and crosslinkable fluorine-containing elastomer composition for semi-conductor production apparatuses</t>
        </is>
      </c>
      <c r="E25" s="8" t="inlineStr">
        <is>
          <t>https://patents.google.com/patent/US6803402B2/en</t>
        </is>
      </c>
      <c r="F25" s="8" t="inlineStr">
        <is>
          <t>Example 1</t>
        </is>
      </c>
      <c r="G25" s="8" t="inlineStr">
        <is>
          <t>FFKM</t>
        </is>
      </c>
      <c r="H25" s="8" t="inlineStr">
        <is>
          <t>TFE/perfluoro(methyl vinyl ether) copolymer elastomer</t>
        </is>
      </c>
      <c r="I25" s="8" t="inlineStr">
        <is>
          <t>peroxide</t>
        </is>
      </c>
      <c r="J25" s="8" t="n">
        <v>100</v>
      </c>
      <c r="K25" s="8" t="n">
        <v>0</v>
      </c>
      <c r="L25" s="8" t="n">
        <v>0</v>
      </c>
      <c r="M25" s="8" t="n">
        <v>10</v>
      </c>
      <c r="N25" s="8" t="n">
        <v>0</v>
      </c>
      <c r="O25" s="8" t="n">
        <v>0</v>
      </c>
      <c r="P25" s="8" t="n">
        <v>0</v>
      </c>
      <c r="Q25" s="8" t="n">
        <v>0</v>
      </c>
      <c r="R25" s="8" t="n">
        <v>0</v>
      </c>
      <c r="S25" s="8" t="n">
        <v>3</v>
      </c>
      <c r="T25" s="8" t="n">
        <v>1</v>
      </c>
      <c r="U25" s="8" t="n">
        <v>0</v>
      </c>
      <c r="V25" s="8" t="n">
        <v>0</v>
      </c>
      <c r="W25" s="8" t="n">
        <v>0</v>
      </c>
      <c r="X25" s="8" t="n">
        <v>0</v>
      </c>
      <c r="Y25" s="8" t="inlineStr">
        <is>
          <t>Filler 1: theta-Al2O3 AKP-G008 (0.02 um, 80 m2/g) 10; TAIC 3; PERHEXA 2.5B 1</t>
        </is>
      </c>
      <c r="Z25" s="8" t="n">
        <v>63</v>
      </c>
      <c r="AA25" s="8" t="n">
        <v>24.52</v>
      </c>
      <c r="AB25" s="8" t="n">
        <v>165</v>
      </c>
      <c r="AC25" s="8" t="n">
        <v>5.59</v>
      </c>
      <c r="AD25" s="8" t="n">
        <v>20</v>
      </c>
      <c r="AE25" s="8" t="inlineStr">
        <is>
          <t>200C x 70h, 25% compression, AS-568A-214 O-ring (JIS K6301)</t>
        </is>
      </c>
      <c r="AF25" s="8" t="n">
        <v>0.28</v>
      </c>
      <c r="AG25" s="8" t="inlineStr">
        <is>
          <t>O2 plasma 3 h, Samco PX-1000 RIE, 200 sccm, 400 W, 13.56 MHz, cleaned AS-568A-214 O-ring</t>
        </is>
      </c>
      <c r="AH25" s="8" t="inlineStr">
        <is>
          <t>M100 and tensile reported as 'kg.f' (taken as kgf/cm2, x0.0980665 -&gt; MPa); hardness JIS A</t>
        </is>
      </c>
      <c r="AI25" s="8" t="inlineStr">
        <is>
          <t>Table 2. Table rows read 'Crosslinking agent 3 / Crosslinking aid 1'; Example 1 text states 1.0 g PERHEXA 2.5B and 3.0 g TAIC per 100 g polymer, used here. Plasma value from Table 3 (Example 3 = O-ring of Example 1, reported as weight change -0.28% after 3 h O2 plasma). Cure: press 160C x 10 min + oven 180C x 4 h.</t>
        </is>
      </c>
    </row>
    <row r="26">
      <c r="A26" s="8" t="inlineStr">
        <is>
          <t>US6803402B2</t>
        </is>
      </c>
      <c r="B26" s="8" t="inlineStr">
        <is>
          <t>patent</t>
        </is>
      </c>
      <c r="C26" s="8" t="inlineStr">
        <is>
          <t>Daikin Industries, Ltd.</t>
        </is>
      </c>
      <c r="D26" s="8" t="inlineStr">
        <is>
          <t>Elastomer molded article and crosslinkable fluorine-containing elastomer composition for semi-conductor production apparatuses</t>
        </is>
      </c>
      <c r="E26" s="8" t="inlineStr">
        <is>
          <t>https://patents.google.com/patent/US6803402B2/en</t>
        </is>
      </c>
      <c r="F26" s="8" t="inlineStr">
        <is>
          <t>Example 2</t>
        </is>
      </c>
      <c r="G26" s="8" t="inlineStr">
        <is>
          <t>FFKM</t>
        </is>
      </c>
      <c r="H26" s="8" t="inlineStr">
        <is>
          <t>TFE/perfluoro(methyl vinyl ether) copolymer elastomer</t>
        </is>
      </c>
      <c r="I26" s="8" t="inlineStr">
        <is>
          <t>peroxide</t>
        </is>
      </c>
      <c r="J26" s="8" t="n">
        <v>100</v>
      </c>
      <c r="K26" s="8" t="n">
        <v>0</v>
      </c>
      <c r="L26" s="8" t="n">
        <v>0</v>
      </c>
      <c r="M26" s="8" t="n">
        <v>10</v>
      </c>
      <c r="N26" s="8" t="n">
        <v>0</v>
      </c>
      <c r="O26" s="8" t="n">
        <v>0</v>
      </c>
      <c r="P26" s="8" t="n">
        <v>0</v>
      </c>
      <c r="Q26" s="8" t="n">
        <v>0</v>
      </c>
      <c r="R26" s="8" t="n">
        <v>0</v>
      </c>
      <c r="S26" s="8" t="n">
        <v>3</v>
      </c>
      <c r="T26" s="8" t="n">
        <v>1</v>
      </c>
      <c r="U26" s="8" t="n">
        <v>0</v>
      </c>
      <c r="V26" s="8" t="n">
        <v>0</v>
      </c>
      <c r="W26" s="8" t="n">
        <v>0</v>
      </c>
      <c r="X26" s="8" t="n">
        <v>0</v>
      </c>
      <c r="Y26" s="8" t="inlineStr">
        <is>
          <t>Filler 2: gamma-Al2O3 AKP-G015 (0.02 um, 150 m2/g) 10; TAIC 3; PERHEXA 2.5B 1</t>
        </is>
      </c>
      <c r="Z26" s="8" t="n">
        <v>62</v>
      </c>
      <c r="AA26" s="8" t="n">
        <v>19.61</v>
      </c>
      <c r="AB26" s="8" t="n">
        <v>143</v>
      </c>
      <c r="AC26" s="8" t="n">
        <v>7.94</v>
      </c>
      <c r="AD26" s="8" t="n">
        <v>20</v>
      </c>
      <c r="AE26" s="8" t="inlineStr">
        <is>
          <t>200C x 70h, 25% compression, AS-568A-214 O-ring (JIS K6301)</t>
        </is>
      </c>
      <c r="AF26" s="8" t="n">
        <v>0.31</v>
      </c>
      <c r="AG26" s="8" t="inlineStr">
        <is>
          <t>O2 plasma 3 h, Samco PX-1000 RIE, 200 sccm, 400 W, 13.56 MHz, cleaned AS-568A-214 O-ring</t>
        </is>
      </c>
      <c r="AH26" s="8" t="inlineStr">
        <is>
          <t>M100 and tensile reported as 'kg.f' (taken as kgf/cm2, x0.0980665 -&gt; MPa); hardness JIS A</t>
        </is>
      </c>
      <c r="AI26" s="8" t="inlineStr">
        <is>
          <t>Table 2. Table rows read 'Crosslinking agent 3 / Crosslinking aid 1'; Example 1 text states 1.0 g PERHEXA 2.5B and 3.0 g TAIC per 100 g polymer, used here. Plasma value from Table 3 (Example 4 = O-ring of Example 2, reported as weight change -0.31% after 3 h O2 plasma). Cure: press 160C x 10 min + oven 180C x 4 h.</t>
        </is>
      </c>
    </row>
    <row r="27">
      <c r="A27" s="8" t="inlineStr">
        <is>
          <t>US6803402B2</t>
        </is>
      </c>
      <c r="B27" s="8" t="inlineStr">
        <is>
          <t>patent</t>
        </is>
      </c>
      <c r="C27" s="8" t="inlineStr">
        <is>
          <t>Daikin Industries, Ltd.</t>
        </is>
      </c>
      <c r="D27" s="8" t="inlineStr">
        <is>
          <t>Elastomer molded article and crosslinkable fluorine-containing elastomer composition for semi-conductor production apparatuses</t>
        </is>
      </c>
      <c r="E27" s="8" t="inlineStr">
        <is>
          <t>https://patents.google.com/patent/US6803402B2/en</t>
        </is>
      </c>
      <c r="F27" s="8" t="inlineStr">
        <is>
          <t>Comparative Example 1</t>
        </is>
      </c>
      <c r="G27" s="8" t="inlineStr">
        <is>
          <t>FFKM</t>
        </is>
      </c>
      <c r="H27" s="8" t="inlineStr">
        <is>
          <t>TFE/perfluoro(methyl vinyl ether) copolymer elastomer</t>
        </is>
      </c>
      <c r="I27" s="8" t="inlineStr">
        <is>
          <t>peroxide</t>
        </is>
      </c>
      <c r="J27" s="8" t="n">
        <v>100</v>
      </c>
      <c r="K27" s="8" t="n">
        <v>0</v>
      </c>
      <c r="L27" s="8" t="n">
        <v>0</v>
      </c>
      <c r="M27" s="8" t="n">
        <v>10</v>
      </c>
      <c r="N27" s="8" t="n">
        <v>0</v>
      </c>
      <c r="O27" s="8" t="n">
        <v>0</v>
      </c>
      <c r="P27" s="8" t="n">
        <v>0</v>
      </c>
      <c r="Q27" s="8" t="n">
        <v>0</v>
      </c>
      <c r="R27" s="8" t="n">
        <v>0</v>
      </c>
      <c r="S27" s="8" t="n">
        <v>3</v>
      </c>
      <c r="T27" s="8" t="n">
        <v>1</v>
      </c>
      <c r="U27" s="8" t="n">
        <v>0</v>
      </c>
      <c r="V27" s="8" t="n">
        <v>0</v>
      </c>
      <c r="W27" s="8" t="n">
        <v>0</v>
      </c>
      <c r="X27" s="8" t="n">
        <v>0</v>
      </c>
      <c r="Y27" s="8" t="inlineStr">
        <is>
          <t>Filler 3: alpha-Al2O3 Adoma Fine AO-802 (0.7 um) 10; TAIC 3; PERHEXA 2.5B 1</t>
        </is>
      </c>
      <c r="Z27" s="8" t="n">
        <v>59</v>
      </c>
      <c r="AA27" s="8" t="n">
        <v>18.04</v>
      </c>
      <c r="AB27" s="8" t="n">
        <v>160</v>
      </c>
      <c r="AC27" s="8" t="n">
        <v>6.18</v>
      </c>
      <c r="AD27" s="8" t="n">
        <v>12</v>
      </c>
      <c r="AE27" s="8" t="inlineStr">
        <is>
          <t>200C x 70h, 25% compression, AS-568A-214 O-ring (JIS K6301)</t>
        </is>
      </c>
      <c r="AF27" s="8" t="n">
        <v>0.3</v>
      </c>
      <c r="AG27" s="8" t="inlineStr">
        <is>
          <t>O2 plasma 3 h, Samco PX-1000 RIE, 200 sccm, 400 W, 13.56 MHz, cleaned AS-568A-214 O-ring</t>
        </is>
      </c>
      <c r="AH27" s="8" t="inlineStr">
        <is>
          <t>M100 and tensile reported as 'kg.f' (taken as kgf/cm2, x0.0980665 -&gt; MPa); hardness JIS A</t>
        </is>
      </c>
      <c r="AI27" s="8" t="inlineStr">
        <is>
          <t>Table 2. Table rows read 'Crosslinking agent 3 / Crosslinking aid 1'; Example 1 text states 1.0 g PERHEXA 2.5B and 3.0 g TAIC per 100 g polymer, used here. Plasma value from Table 3 (Comparative Example 4 = O-ring of Comparative Example 1, reported as weight change -0.3% after 3 h O2 plasma). Cure: press 160C x 10 min + oven 180C x 4 h.</t>
        </is>
      </c>
    </row>
    <row r="28">
      <c r="A28" s="8" t="inlineStr">
        <is>
          <t>US6803402B2</t>
        </is>
      </c>
      <c r="B28" s="8" t="inlineStr">
        <is>
          <t>patent</t>
        </is>
      </c>
      <c r="C28" s="8" t="inlineStr">
        <is>
          <t>Daikin Industries, Ltd.</t>
        </is>
      </c>
      <c r="D28" s="8" t="inlineStr">
        <is>
          <t>Elastomer molded article and crosslinkable fluorine-containing elastomer composition for semi-conductor production apparatuses</t>
        </is>
      </c>
      <c r="E28" s="8" t="inlineStr">
        <is>
          <t>https://patents.google.com/patent/US6803402B2/en</t>
        </is>
      </c>
      <c r="F28" s="8" t="inlineStr">
        <is>
          <t>Comparative Example 2</t>
        </is>
      </c>
      <c r="G28" s="8" t="inlineStr">
        <is>
          <t>FFKM</t>
        </is>
      </c>
      <c r="H28" s="8" t="inlineStr">
        <is>
          <t>TFE/perfluoro(methyl vinyl ether) copolymer elastomer</t>
        </is>
      </c>
      <c r="I28" s="8" t="inlineStr">
        <is>
          <t>peroxide</t>
        </is>
      </c>
      <c r="J28" s="8" t="n">
        <v>100</v>
      </c>
      <c r="K28" s="8" t="n">
        <v>0</v>
      </c>
      <c r="L28" s="8" t="n">
        <v>10</v>
      </c>
      <c r="M28" s="8" t="n">
        <v>0</v>
      </c>
      <c r="N28" s="8" t="n">
        <v>0</v>
      </c>
      <c r="O28" s="8" t="n">
        <v>0</v>
      </c>
      <c r="P28" s="8" t="n">
        <v>0</v>
      </c>
      <c r="Q28" s="8" t="n">
        <v>0</v>
      </c>
      <c r="R28" s="8" t="n">
        <v>0</v>
      </c>
      <c r="S28" s="8" t="n">
        <v>3</v>
      </c>
      <c r="T28" s="8" t="n">
        <v>1</v>
      </c>
      <c r="U28" s="8" t="n">
        <v>0</v>
      </c>
      <c r="V28" s="8" t="n">
        <v>0</v>
      </c>
      <c r="W28" s="8" t="n">
        <v>0</v>
      </c>
      <c r="X28" s="8" t="n">
        <v>0</v>
      </c>
      <c r="Y28" s="8" t="inlineStr">
        <is>
          <t>Filler 4: SiO2 1-FX (0.38 um) 10; TAIC 3; PERHEXA 2.5B 1</t>
        </is>
      </c>
      <c r="Z28" s="8" t="n">
        <v>65</v>
      </c>
      <c r="AA28" s="8" t="n">
        <v>16.67</v>
      </c>
      <c r="AB28" s="8" t="n">
        <v>155</v>
      </c>
      <c r="AC28" s="8" t="n">
        <v>7.75</v>
      </c>
      <c r="AD28" s="8" t="n">
        <v>12</v>
      </c>
      <c r="AE28" s="8" t="inlineStr">
        <is>
          <t>200C x 70h, 25% compression, AS-568A-214 O-ring (JIS K6301)</t>
        </is>
      </c>
      <c r="AF28" s="8" t="n">
        <v>0.34</v>
      </c>
      <c r="AG28" s="8" t="inlineStr">
        <is>
          <t>O2 plasma 3 h, Samco PX-1000 RIE, 200 sccm, 400 W, 13.56 MHz, cleaned AS-568A-214 O-ring</t>
        </is>
      </c>
      <c r="AH28" s="8" t="inlineStr">
        <is>
          <t>M100 and tensile reported as 'kg.f' (taken as kgf/cm2, x0.0980665 -&gt; MPa); hardness JIS A</t>
        </is>
      </c>
      <c r="AI28" s="8" t="inlineStr">
        <is>
          <t>Table 2. Table rows read 'Crosslinking agent 3 / Crosslinking aid 1'; Example 1 text states 1.0 g PERHEXA 2.5B and 3.0 g TAIC per 100 g polymer, used here. Plasma value from Table 3 (Comparative Example 5 = O-ring of Comparative Example 2, reported as weight change -0.34% after 3 h O2 plasma). Cure: press 160C x 10 min + oven 180C x 4 h.</t>
        </is>
      </c>
    </row>
    <row r="29">
      <c r="A29" s="8" t="inlineStr">
        <is>
          <t>US6803402B2</t>
        </is>
      </c>
      <c r="B29" s="8" t="inlineStr">
        <is>
          <t>patent</t>
        </is>
      </c>
      <c r="C29" s="8" t="inlineStr">
        <is>
          <t>Daikin Industries, Ltd.</t>
        </is>
      </c>
      <c r="D29" s="8" t="inlineStr">
        <is>
          <t>Elastomer molded article and crosslinkable fluorine-containing elastomer composition for semi-conductor production apparatuses</t>
        </is>
      </c>
      <c r="E29" s="8" t="inlineStr">
        <is>
          <t>https://patents.google.com/patent/US6803402B2/en</t>
        </is>
      </c>
      <c r="F29" s="8" t="inlineStr">
        <is>
          <t>Comparative Example 3</t>
        </is>
      </c>
      <c r="G29" s="8" t="inlineStr">
        <is>
          <t>FFKM</t>
        </is>
      </c>
      <c r="H29" s="8" t="inlineStr">
        <is>
          <t>TFE/perfluoro(methyl vinyl ether) copolymer elastomer</t>
        </is>
      </c>
      <c r="I29" s="8" t="inlineStr">
        <is>
          <t>peroxide</t>
        </is>
      </c>
      <c r="J29" s="8" t="n">
        <v>100</v>
      </c>
      <c r="K29" s="8" t="n">
        <v>0</v>
      </c>
      <c r="L29" s="8" t="n">
        <v>0</v>
      </c>
      <c r="M29" s="8" t="n">
        <v>0</v>
      </c>
      <c r="N29" s="8" t="n">
        <v>0</v>
      </c>
      <c r="O29" s="8" t="n">
        <v>10</v>
      </c>
      <c r="P29" s="8" t="n">
        <v>0</v>
      </c>
      <c r="Q29" s="8" t="n">
        <v>0</v>
      </c>
      <c r="R29" s="8" t="n">
        <v>0</v>
      </c>
      <c r="S29" s="8" t="n">
        <v>3</v>
      </c>
      <c r="T29" s="8" t="n">
        <v>1</v>
      </c>
      <c r="U29" s="8" t="n">
        <v>0</v>
      </c>
      <c r="V29" s="8" t="n">
        <v>0</v>
      </c>
      <c r="W29" s="8" t="n">
        <v>0</v>
      </c>
      <c r="X29" s="8" t="n">
        <v>0</v>
      </c>
      <c r="Y29" s="8" t="inlineStr">
        <is>
          <t>Filler 5: TiO2 P-25 (0.021 um) 10; TAIC 3; PERHEXA 2.5B 1</t>
        </is>
      </c>
      <c r="Z29" s="8" t="n">
        <v>59</v>
      </c>
      <c r="AA29" s="8" t="n">
        <v>19.71</v>
      </c>
      <c r="AB29" s="8" t="n">
        <v>153</v>
      </c>
      <c r="AC29" s="8" t="n">
        <v>5.88</v>
      </c>
      <c r="AD29" s="8" t="n">
        <v>20</v>
      </c>
      <c r="AE29" s="8" t="inlineStr">
        <is>
          <t>200C x 70h, 25% compression, AS-568A-214 O-ring (JIS K6301)</t>
        </is>
      </c>
      <c r="AF29" s="8" t="n">
        <v>0.35</v>
      </c>
      <c r="AG29" s="8" t="inlineStr">
        <is>
          <t>O2 plasma 3 h, Samco PX-1000 RIE, 200 sccm, 400 W, 13.56 MHz, cleaned AS-568A-214 O-ring</t>
        </is>
      </c>
      <c r="AH29" s="8" t="inlineStr">
        <is>
          <t>M100 and tensile reported as 'kg.f' (taken as kgf/cm2, x0.0980665 -&gt; MPa); hardness JIS A</t>
        </is>
      </c>
      <c r="AI29" s="8" t="inlineStr">
        <is>
          <t>Table 2. Table rows read 'Crosslinking agent 3 / Crosslinking aid 1'; Example 1 text states 1.0 g PERHEXA 2.5B and 3.0 g TAIC per 100 g polymer, used here. Plasma value from Table 3 (Comparative Example 6 = O-ring of Comparative Example 3, reported as weight change -0.35% after 3 h O2 plasma). Cure: press 160C x 10 min + oven 180C x 4 h.</t>
        </is>
      </c>
    </row>
    <row r="30">
      <c r="A30" s="8" t="inlineStr">
        <is>
          <t>US8173727B2</t>
        </is>
      </c>
      <c r="B30" s="8" t="inlineStr">
        <is>
          <t>patent</t>
        </is>
      </c>
      <c r="C30" s="8" t="inlineStr">
        <is>
          <t>Daikin Industries, Ltd.</t>
        </is>
      </c>
      <c r="D30" s="8" t="inlineStr">
        <is>
          <t>Crosslinkable elastomer composition and molded article using the same</t>
        </is>
      </c>
      <c r="E30" s="8" t="inlineStr">
        <is>
          <t>https://patents.google.com/patent/US8173727B2/en</t>
        </is>
      </c>
      <c r="F30" s="8" t="inlineStr">
        <is>
          <t>Example 1</t>
        </is>
      </c>
      <c r="G30" s="8" t="inlineStr">
        <is>
          <t>FFKM</t>
        </is>
      </c>
      <c r="H30" s="8" t="inlineStr">
        <is>
          <t>TFE/PMVE copolymer (67/33 mol%)</t>
        </is>
      </c>
      <c r="I30" s="8" t="inlineStr">
        <is>
          <t>peroxide</t>
        </is>
      </c>
      <c r="J30" s="8" t="n">
        <v>100</v>
      </c>
      <c r="K30" s="8" t="n">
        <v>0</v>
      </c>
      <c r="L30" s="8" t="n">
        <v>0</v>
      </c>
      <c r="M30" s="8" t="n">
        <v>0</v>
      </c>
      <c r="N30" s="8" t="n">
        <v>0</v>
      </c>
      <c r="O30" s="8" t="n">
        <v>0</v>
      </c>
      <c r="P30" s="8" t="n">
        <v>0</v>
      </c>
      <c r="Q30" s="8" t="n">
        <v>0</v>
      </c>
      <c r="R30" s="8" t="n">
        <v>15</v>
      </c>
      <c r="S30" s="8" t="n">
        <v>2</v>
      </c>
      <c r="T30" s="8" t="n">
        <v>1</v>
      </c>
      <c r="U30" s="8" t="n">
        <v>0</v>
      </c>
      <c r="V30" s="8" t="n">
        <v>0</v>
      </c>
      <c r="W30" s="8" t="n">
        <v>0</v>
      </c>
      <c r="X30" s="8" t="n">
        <v>0</v>
      </c>
      <c r="Y30" s="8" t="inlineStr">
        <is>
          <t>polyimide UIP-S pulverized (~2 m2/g) 15; Perhexa 25B 1; TAIC 2</t>
        </is>
      </c>
      <c r="Z30" s="8" t="n">
        <v>80</v>
      </c>
      <c r="AA30" s="8" t="n">
        <v>15.69</v>
      </c>
      <c r="AB30" s="8" t="n">
        <v>170</v>
      </c>
      <c r="AC30" s="8" t="n">
        <v>9.81</v>
      </c>
      <c r="AD30" s="8" t="n"/>
      <c r="AE30" s="8" t="n"/>
      <c r="AF30" s="8" t="n">
        <v>0.2</v>
      </c>
      <c r="AG30" s="8" t="inlineStr">
        <is>
          <t>high-density F radical (NF3/Ar 1/1 SLM, 5 torr, ASTRON generator), 200C, 2 h</t>
        </is>
      </c>
      <c r="AH30" s="8" t="inlineStr">
        <is>
          <t>M100 and tensile in kg/cm2 (x0.0980665 -&gt; MPa)</t>
        </is>
      </c>
      <c r="AI30" s="8" t="inlineStr">
        <is>
          <t>Formulation from text (polymer/Perhexa 25B/TAIC/filler = 100/1/2/15); props Table 5, F-radical Table 4. O3 water exposure weight loss 2.8%. No compression set reported. Cure: press 160C x 10 min + oven 180C x 4 h.</t>
        </is>
      </c>
    </row>
    <row r="31">
      <c r="A31" s="8" t="inlineStr">
        <is>
          <t>US8173727B2</t>
        </is>
      </c>
      <c r="B31" s="8" t="inlineStr">
        <is>
          <t>patent</t>
        </is>
      </c>
      <c r="C31" s="8" t="inlineStr">
        <is>
          <t>Daikin Industries, Ltd.</t>
        </is>
      </c>
      <c r="D31" s="8" t="inlineStr">
        <is>
          <t>Crosslinkable elastomer composition and molded article using the same</t>
        </is>
      </c>
      <c r="E31" s="8" t="inlineStr">
        <is>
          <t>https://patents.google.com/patent/US8173727B2/en</t>
        </is>
      </c>
      <c r="F31" s="8" t="inlineStr">
        <is>
          <t>Example 2</t>
        </is>
      </c>
      <c r="G31" s="8" t="inlineStr">
        <is>
          <t>FFKM</t>
        </is>
      </c>
      <c r="H31" s="8" t="inlineStr">
        <is>
          <t>TFE/PMVE copolymer (67/33 mol%)</t>
        </is>
      </c>
      <c r="I31" s="8" t="inlineStr">
        <is>
          <t>peroxide</t>
        </is>
      </c>
      <c r="J31" s="8" t="n">
        <v>100</v>
      </c>
      <c r="K31" s="8" t="n">
        <v>0</v>
      </c>
      <c r="L31" s="8" t="n">
        <v>0</v>
      </c>
      <c r="M31" s="8" t="n">
        <v>0</v>
      </c>
      <c r="N31" s="8" t="n">
        <v>0</v>
      </c>
      <c r="O31" s="8" t="n">
        <v>0</v>
      </c>
      <c r="P31" s="8" t="n">
        <v>0</v>
      </c>
      <c r="Q31" s="8" t="n">
        <v>0</v>
      </c>
      <c r="R31" s="8" t="n">
        <v>15</v>
      </c>
      <c r="S31" s="8" t="n">
        <v>2</v>
      </c>
      <c r="T31" s="8" t="n">
        <v>1</v>
      </c>
      <c r="U31" s="8" t="n">
        <v>0</v>
      </c>
      <c r="V31" s="8" t="n">
        <v>0</v>
      </c>
      <c r="W31" s="8" t="n">
        <v>0</v>
      </c>
      <c r="X31" s="8" t="n">
        <v>0</v>
      </c>
      <c r="Y31" s="8" t="inlineStr">
        <is>
          <t>polyimide UIP-S pulverized (~5 m2/g) 15; Perhexa 25B 1; TAIC 2</t>
        </is>
      </c>
      <c r="Z31" s="8" t="n">
        <v>80</v>
      </c>
      <c r="AA31" s="8" t="n">
        <v>16.67</v>
      </c>
      <c r="AB31" s="8" t="n">
        <v>160</v>
      </c>
      <c r="AC31" s="8" t="n">
        <v>12.75</v>
      </c>
      <c r="AD31" s="8" t="n"/>
      <c r="AE31" s="8" t="n"/>
      <c r="AF31" s="8" t="n">
        <v>0.2</v>
      </c>
      <c r="AG31" s="8" t="inlineStr">
        <is>
          <t>high-density F radical (NF3/Ar 1/1 SLM, 5 torr, ASTRON generator), 200C, 2 h</t>
        </is>
      </c>
      <c r="AH31" s="8" t="inlineStr">
        <is>
          <t>M100 and tensile in kg/cm2 (x0.0980665 -&gt; MPa)</t>
        </is>
      </c>
      <c r="AI31" s="8" t="inlineStr">
        <is>
          <t>Formulation from text (polymer/Perhexa 25B/TAIC/filler = 100/1/2/15); props Table 5, F-radical Table 4. O3 water exposure weight loss 2.9%. No compression set reported. Cure: press 160C x 10 min + oven 180C x 4 h.</t>
        </is>
      </c>
    </row>
    <row r="32">
      <c r="A32" s="8" t="inlineStr">
        <is>
          <t>US8173727B2</t>
        </is>
      </c>
      <c r="B32" s="8" t="inlineStr">
        <is>
          <t>patent</t>
        </is>
      </c>
      <c r="C32" s="8" t="inlineStr">
        <is>
          <t>Daikin Industries, Ltd.</t>
        </is>
      </c>
      <c r="D32" s="8" t="inlineStr">
        <is>
          <t>Crosslinkable elastomer composition and molded article using the same</t>
        </is>
      </c>
      <c r="E32" s="8" t="inlineStr">
        <is>
          <t>https://patents.google.com/patent/US8173727B2/en</t>
        </is>
      </c>
      <c r="F32" s="8" t="inlineStr">
        <is>
          <t>Example 3</t>
        </is>
      </c>
      <c r="G32" s="8" t="inlineStr">
        <is>
          <t>FFKM</t>
        </is>
      </c>
      <c r="H32" s="8" t="inlineStr">
        <is>
          <t>TFE/PMVE copolymer (67/33 mol%)</t>
        </is>
      </c>
      <c r="I32" s="8" t="inlineStr">
        <is>
          <t>peroxide</t>
        </is>
      </c>
      <c r="J32" s="8" t="n">
        <v>100</v>
      </c>
      <c r="K32" s="8" t="n">
        <v>0</v>
      </c>
      <c r="L32" s="8" t="n">
        <v>0</v>
      </c>
      <c r="M32" s="8" t="n">
        <v>0</v>
      </c>
      <c r="N32" s="8" t="n">
        <v>0</v>
      </c>
      <c r="O32" s="8" t="n">
        <v>0</v>
      </c>
      <c r="P32" s="8" t="n">
        <v>0</v>
      </c>
      <c r="Q32" s="8" t="n">
        <v>0</v>
      </c>
      <c r="R32" s="8" t="n">
        <v>15</v>
      </c>
      <c r="S32" s="8" t="n">
        <v>2</v>
      </c>
      <c r="T32" s="8" t="n">
        <v>1</v>
      </c>
      <c r="U32" s="8" t="n">
        <v>0</v>
      </c>
      <c r="V32" s="8" t="n">
        <v>0</v>
      </c>
      <c r="W32" s="8" t="n">
        <v>0</v>
      </c>
      <c r="X32" s="8" t="n">
        <v>0</v>
      </c>
      <c r="Y32" s="8" t="inlineStr">
        <is>
          <t>polyimide UIP-S pulverized (~10 m2/g) 15; Perhexa 25B 1; TAIC 2</t>
        </is>
      </c>
      <c r="Z32" s="8" t="n">
        <v>81</v>
      </c>
      <c r="AA32" s="8" t="n">
        <v>18.14</v>
      </c>
      <c r="AB32" s="8" t="n">
        <v>140</v>
      </c>
      <c r="AC32" s="8" t="n">
        <v>15.2</v>
      </c>
      <c r="AD32" s="8" t="n"/>
      <c r="AE32" s="8" t="n"/>
      <c r="AF32" s="8" t="n">
        <v>0.2</v>
      </c>
      <c r="AG32" s="8" t="inlineStr">
        <is>
          <t>high-density F radical (NF3/Ar 1/1 SLM, 5 torr, ASTRON generator), 200C, 2 h</t>
        </is>
      </c>
      <c r="AH32" s="8" t="inlineStr">
        <is>
          <t>M100 and tensile in kg/cm2 (x0.0980665 -&gt; MPa)</t>
        </is>
      </c>
      <c r="AI32" s="8" t="inlineStr">
        <is>
          <t>Formulation from text (polymer/Perhexa 25B/TAIC/filler = 100/1/2/15); props Table 5, F-radical Table 4. O3 water exposure weight loss 2.8%. No compression set reported. Cure: press 160C x 10 min + oven 180C x 4 h.</t>
        </is>
      </c>
    </row>
    <row r="33">
      <c r="A33" s="8" t="inlineStr">
        <is>
          <t>US8173727B2</t>
        </is>
      </c>
      <c r="B33" s="8" t="inlineStr">
        <is>
          <t>patent</t>
        </is>
      </c>
      <c r="C33" s="8" t="inlineStr">
        <is>
          <t>Daikin Industries, Ltd.</t>
        </is>
      </c>
      <c r="D33" s="8" t="inlineStr">
        <is>
          <t>Crosslinkable elastomer composition and molded article using the same</t>
        </is>
      </c>
      <c r="E33" s="8" t="inlineStr">
        <is>
          <t>https://patents.google.com/patent/US8173727B2/en</t>
        </is>
      </c>
      <c r="F33" s="8" t="inlineStr">
        <is>
          <t>Example 4</t>
        </is>
      </c>
      <c r="G33" s="8" t="inlineStr">
        <is>
          <t>FFKM</t>
        </is>
      </c>
      <c r="H33" s="8" t="inlineStr">
        <is>
          <t>TFE/PMVE copolymer (67/33 mol%)</t>
        </is>
      </c>
      <c r="I33" s="8" t="inlineStr">
        <is>
          <t>peroxide</t>
        </is>
      </c>
      <c r="J33" s="8" t="n">
        <v>100</v>
      </c>
      <c r="K33" s="8" t="n">
        <v>0</v>
      </c>
      <c r="L33" s="8" t="n">
        <v>0</v>
      </c>
      <c r="M33" s="8" t="n">
        <v>0</v>
      </c>
      <c r="N33" s="8" t="n">
        <v>0</v>
      </c>
      <c r="O33" s="8" t="n">
        <v>0</v>
      </c>
      <c r="P33" s="8" t="n">
        <v>0</v>
      </c>
      <c r="Q33" s="8" t="n">
        <v>0</v>
      </c>
      <c r="R33" s="8" t="n">
        <v>15</v>
      </c>
      <c r="S33" s="8" t="n">
        <v>2</v>
      </c>
      <c r="T33" s="8" t="n">
        <v>1</v>
      </c>
      <c r="U33" s="8" t="n">
        <v>0</v>
      </c>
      <c r="V33" s="8" t="n">
        <v>0</v>
      </c>
      <c r="W33" s="8" t="n">
        <v>0</v>
      </c>
      <c r="X33" s="8" t="n">
        <v>0</v>
      </c>
      <c r="Y33" s="8" t="inlineStr">
        <is>
          <t>polyimide UIP-S pulverized (~15 m2/g) 15; Perhexa 25B 1; TAIC 2</t>
        </is>
      </c>
      <c r="Z33" s="8" t="n">
        <v>81</v>
      </c>
      <c r="AA33" s="8" t="n">
        <v>19.12</v>
      </c>
      <c r="AB33" s="8" t="n">
        <v>120</v>
      </c>
      <c r="AC33" s="8" t="n">
        <v>16.18</v>
      </c>
      <c r="AD33" s="8" t="n"/>
      <c r="AE33" s="8" t="n"/>
      <c r="AF33" s="8" t="n">
        <v>0.2</v>
      </c>
      <c r="AG33" s="8" t="inlineStr">
        <is>
          <t>high-density F radical (NF3/Ar 1/1 SLM, 5 torr, ASTRON generator), 200C, 2 h</t>
        </is>
      </c>
      <c r="AH33" s="8" t="inlineStr">
        <is>
          <t>M100 and tensile in kg/cm2 (x0.0980665 -&gt; MPa)</t>
        </is>
      </c>
      <c r="AI33" s="8" t="inlineStr">
        <is>
          <t>Formulation from text (polymer/Perhexa 25B/TAIC/filler = 100/1/2/15); props Table 5, F-radical Table 4. O3 water exposure weight loss 2.7%. No compression set reported. Cure: press 160C x 10 min + oven 180C x 4 h.</t>
        </is>
      </c>
    </row>
    <row r="34">
      <c r="A34" s="8" t="inlineStr">
        <is>
          <t>US8173727B2</t>
        </is>
      </c>
      <c r="B34" s="8" t="inlineStr">
        <is>
          <t>patent</t>
        </is>
      </c>
      <c r="C34" s="8" t="inlineStr">
        <is>
          <t>Daikin Industries, Ltd.</t>
        </is>
      </c>
      <c r="D34" s="8" t="inlineStr">
        <is>
          <t>Crosslinkable elastomer composition and molded article using the same</t>
        </is>
      </c>
      <c r="E34" s="8" t="inlineStr">
        <is>
          <t>https://patents.google.com/patent/US8173727B2/en</t>
        </is>
      </c>
      <c r="F34" s="8" t="inlineStr">
        <is>
          <t>Example 5</t>
        </is>
      </c>
      <c r="G34" s="8" t="inlineStr">
        <is>
          <t>FFKM</t>
        </is>
      </c>
      <c r="H34" s="8" t="inlineStr">
        <is>
          <t>TFE/PMVE copolymer (67/33 mol%)</t>
        </is>
      </c>
      <c r="I34" s="8" t="inlineStr">
        <is>
          <t>peroxide</t>
        </is>
      </c>
      <c r="J34" s="8" t="n">
        <v>100</v>
      </c>
      <c r="K34" s="8" t="n">
        <v>0</v>
      </c>
      <c r="L34" s="8" t="n">
        <v>0</v>
      </c>
      <c r="M34" s="8" t="n">
        <v>0</v>
      </c>
      <c r="N34" s="8" t="n">
        <v>0</v>
      </c>
      <c r="O34" s="8" t="n">
        <v>0</v>
      </c>
      <c r="P34" s="8" t="n">
        <v>0</v>
      </c>
      <c r="Q34" s="8" t="n">
        <v>0</v>
      </c>
      <c r="R34" s="8" t="n">
        <v>15</v>
      </c>
      <c r="S34" s="8" t="n">
        <v>2</v>
      </c>
      <c r="T34" s="8" t="n">
        <v>1</v>
      </c>
      <c r="U34" s="8" t="n">
        <v>0</v>
      </c>
      <c r="V34" s="8" t="n">
        <v>0</v>
      </c>
      <c r="W34" s="8" t="n">
        <v>0</v>
      </c>
      <c r="X34" s="8" t="n">
        <v>0</v>
      </c>
      <c r="Y34" s="8" t="inlineStr">
        <is>
          <t>polyimide UIP-S not pulverized (~0.6 m2/g, 7 um) 15; Perhexa 25B 1; TAIC 2</t>
        </is>
      </c>
      <c r="Z34" s="8" t="n">
        <v>79</v>
      </c>
      <c r="AA34" s="8" t="n">
        <v>10.79</v>
      </c>
      <c r="AB34" s="8" t="n">
        <v>190</v>
      </c>
      <c r="AC34" s="8" t="n">
        <v>5.88</v>
      </c>
      <c r="AD34" s="8" t="n"/>
      <c r="AE34" s="8" t="n"/>
      <c r="AF34" s="8" t="n">
        <v>0.2</v>
      </c>
      <c r="AG34" s="8" t="inlineStr">
        <is>
          <t>high-density F radical (NF3/Ar 1/1 SLM, 5 torr, ASTRON generator), 200C, 2 h</t>
        </is>
      </c>
      <c r="AH34" s="8" t="inlineStr">
        <is>
          <t>M100 and tensile in kg/cm2 (x0.0980665 -&gt; MPa)</t>
        </is>
      </c>
      <c r="AI34" s="8" t="inlineStr">
        <is>
          <t>Formulation from text (polymer/Perhexa 25B/TAIC/filler = 100/1/2/15); props Table 5, F-radical Table 4. O3 water exposure weight loss 2.8%. No compression set reported. Cure: press 160C x 10 min + oven 180C x 4 h.</t>
        </is>
      </c>
    </row>
    <row r="35">
      <c r="A35" s="8" t="inlineStr">
        <is>
          <t>US8173727B2</t>
        </is>
      </c>
      <c r="B35" s="8" t="inlineStr">
        <is>
          <t>patent</t>
        </is>
      </c>
      <c r="C35" s="8" t="inlineStr">
        <is>
          <t>Daikin Industries, Ltd.</t>
        </is>
      </c>
      <c r="D35" s="8" t="inlineStr">
        <is>
          <t>Crosslinkable elastomer composition and molded article using the same</t>
        </is>
      </c>
      <c r="E35" s="8" t="inlineStr">
        <is>
          <t>https://patents.google.com/patent/US8173727B2/en</t>
        </is>
      </c>
      <c r="F35" s="8" t="inlineStr">
        <is>
          <t>Example 6</t>
        </is>
      </c>
      <c r="G35" s="8" t="inlineStr">
        <is>
          <t>FFKM</t>
        </is>
      </c>
      <c r="H35" s="8" t="inlineStr">
        <is>
          <t>TFE/PMVE copolymer (67/33 mol%)</t>
        </is>
      </c>
      <c r="I35" s="8" t="inlineStr">
        <is>
          <t>peroxide</t>
        </is>
      </c>
      <c r="J35" s="8" t="n">
        <v>100</v>
      </c>
      <c r="K35" s="8" t="n">
        <v>0</v>
      </c>
      <c r="L35" s="8" t="n">
        <v>0</v>
      </c>
      <c r="M35" s="8" t="n">
        <v>15</v>
      </c>
      <c r="N35" s="8" t="n">
        <v>0</v>
      </c>
      <c r="O35" s="8" t="n">
        <v>0</v>
      </c>
      <c r="P35" s="8" t="n">
        <v>0</v>
      </c>
      <c r="Q35" s="8" t="n">
        <v>0</v>
      </c>
      <c r="R35" s="8" t="n">
        <v>0</v>
      </c>
      <c r="S35" s="8" t="n">
        <v>2</v>
      </c>
      <c r="T35" s="8" t="n">
        <v>1</v>
      </c>
      <c r="U35" s="8" t="n">
        <v>0</v>
      </c>
      <c r="V35" s="8" t="n">
        <v>0</v>
      </c>
      <c r="W35" s="8" t="n">
        <v>0</v>
      </c>
      <c r="X35" s="8" t="n">
        <v>0</v>
      </c>
      <c r="Y35" s="8" t="inlineStr">
        <is>
          <t>theta-alumina AKP-G008 15; Perhexa 25B 1; TAIC 2</t>
        </is>
      </c>
      <c r="Z35" s="8" t="n">
        <v>75</v>
      </c>
      <c r="AA35" s="8" t="n">
        <v>23.54</v>
      </c>
      <c r="AB35" s="8" t="n">
        <v>160</v>
      </c>
      <c r="AC35" s="8" t="n">
        <v>9.81</v>
      </c>
      <c r="AD35" s="8" t="n"/>
      <c r="AE35" s="8" t="n"/>
      <c r="AF35" s="8" t="n">
        <v>6.9</v>
      </c>
      <c r="AG35" s="8" t="inlineStr">
        <is>
          <t>high-density F radical (NF3/Ar 1/1 SLM, 5 torr, ASTRON generator), 200C, 2 h</t>
        </is>
      </c>
      <c r="AH35" s="8" t="inlineStr">
        <is>
          <t>M100 and tensile in kg/cm2 (x0.0980665 -&gt; MPa)</t>
        </is>
      </c>
      <c r="AI35" s="8" t="inlineStr">
        <is>
          <t>Formulation from text (polymer/Perhexa 25B/TAIC/filler = 100/1/2/15); props Table 5, F-radical Table 4. O3 water exposure weight loss 2.6%. No compression set reported. Cure: press 160C x 10 min + oven 180C x 4 h.</t>
        </is>
      </c>
    </row>
    <row r="36">
      <c r="A36" s="8" t="inlineStr">
        <is>
          <t>US8173727B2</t>
        </is>
      </c>
      <c r="B36" s="8" t="inlineStr">
        <is>
          <t>patent</t>
        </is>
      </c>
      <c r="C36" s="8" t="inlineStr">
        <is>
          <t>Daikin Industries, Ltd.</t>
        </is>
      </c>
      <c r="D36" s="8" t="inlineStr">
        <is>
          <t>Crosslinkable elastomer composition and molded article using the same</t>
        </is>
      </c>
      <c r="E36" s="8" t="inlineStr">
        <is>
          <t>https://patents.google.com/patent/US8173727B2/en</t>
        </is>
      </c>
      <c r="F36" s="8" t="inlineStr">
        <is>
          <t>Example 7</t>
        </is>
      </c>
      <c r="G36" s="8" t="inlineStr">
        <is>
          <t>FFKM</t>
        </is>
      </c>
      <c r="H36" s="8" t="inlineStr">
        <is>
          <t>TFE/PMVE copolymer (67/33 mol%)</t>
        </is>
      </c>
      <c r="I36" s="8" t="inlineStr">
        <is>
          <t>peroxide</t>
        </is>
      </c>
      <c r="J36" s="8" t="n">
        <v>100</v>
      </c>
      <c r="K36" s="8" t="n">
        <v>15</v>
      </c>
      <c r="L36" s="8" t="n">
        <v>0</v>
      </c>
      <c r="M36" s="8" t="n">
        <v>0</v>
      </c>
      <c r="N36" s="8" t="n">
        <v>0</v>
      </c>
      <c r="O36" s="8" t="n">
        <v>0</v>
      </c>
      <c r="P36" s="8" t="n">
        <v>0</v>
      </c>
      <c r="Q36" s="8" t="n">
        <v>0</v>
      </c>
      <c r="R36" s="8" t="n">
        <v>0</v>
      </c>
      <c r="S36" s="8" t="n">
        <v>2</v>
      </c>
      <c r="T36" s="8" t="n">
        <v>1</v>
      </c>
      <c r="U36" s="8" t="n">
        <v>0</v>
      </c>
      <c r="V36" s="8" t="n">
        <v>0</v>
      </c>
      <c r="W36" s="8" t="n">
        <v>0</v>
      </c>
      <c r="X36" s="8" t="n">
        <v>0</v>
      </c>
      <c r="Y36" s="8" t="inlineStr">
        <is>
          <t>carbon black N-990 15; Perhexa 25B 1; TAIC 2</t>
        </is>
      </c>
      <c r="Z36" s="8" t="n">
        <v>80</v>
      </c>
      <c r="AA36" s="8" t="n">
        <v>19.61</v>
      </c>
      <c r="AB36" s="8" t="n">
        <v>180</v>
      </c>
      <c r="AC36" s="8" t="n">
        <v>9.81</v>
      </c>
      <c r="AD36" s="8" t="n"/>
      <c r="AE36" s="8" t="n"/>
      <c r="AF36" s="8" t="n">
        <v>0.3</v>
      </c>
      <c r="AG36" s="8" t="inlineStr">
        <is>
          <t>high-density F radical (NF3/Ar 1/1 SLM, 5 torr, ASTRON generator), 200C, 2 h</t>
        </is>
      </c>
      <c r="AH36" s="8" t="inlineStr">
        <is>
          <t>M100 and tensile in kg/cm2 (x0.0980665 -&gt; MPa)</t>
        </is>
      </c>
      <c r="AI36" s="8" t="inlineStr">
        <is>
          <t>Formulation from text (polymer/Perhexa 25B/TAIC/filler = 100/1/2/15); props Table 5, F-radical Table 4. O3 water exposure weight loss 14.7%. No compression set reported. Cure: press 160C x 10 min + oven 180C x 4 h.</t>
        </is>
      </c>
    </row>
    <row r="37">
      <c r="A37" s="8" t="inlineStr">
        <is>
          <t>US8173727B2</t>
        </is>
      </c>
      <c r="B37" s="8" t="inlineStr">
        <is>
          <t>patent</t>
        </is>
      </c>
      <c r="C37" s="8" t="inlineStr">
        <is>
          <t>Daikin Industries, Ltd.</t>
        </is>
      </c>
      <c r="D37" s="8" t="inlineStr">
        <is>
          <t>Crosslinkable elastomer composition and molded article using the same</t>
        </is>
      </c>
      <c r="E37" s="8" t="inlineStr">
        <is>
          <t>https://patents.google.com/patent/US8173727B2/en</t>
        </is>
      </c>
      <c r="F37" s="8" t="inlineStr">
        <is>
          <t>Example 8</t>
        </is>
      </c>
      <c r="G37" s="8" t="inlineStr">
        <is>
          <t>FFKM</t>
        </is>
      </c>
      <c r="H37" s="8" t="inlineStr">
        <is>
          <t>TFE/PMVE copolymer (67/33 mol%)</t>
        </is>
      </c>
      <c r="I37" s="8" t="inlineStr">
        <is>
          <t>peroxide</t>
        </is>
      </c>
      <c r="J37" s="8" t="n">
        <v>100</v>
      </c>
      <c r="K37" s="8" t="n">
        <v>0</v>
      </c>
      <c r="L37" s="8" t="n">
        <v>0</v>
      </c>
      <c r="M37" s="8" t="n">
        <v>0</v>
      </c>
      <c r="N37" s="8" t="n">
        <v>0</v>
      </c>
      <c r="O37" s="8" t="n">
        <v>0</v>
      </c>
      <c r="P37" s="8" t="n">
        <v>0</v>
      </c>
      <c r="Q37" s="8" t="n">
        <v>0</v>
      </c>
      <c r="R37" s="8" t="n">
        <v>0</v>
      </c>
      <c r="S37" s="8" t="n">
        <v>1</v>
      </c>
      <c r="T37" s="8" t="n">
        <v>2</v>
      </c>
      <c r="U37" s="8" t="n">
        <v>0</v>
      </c>
      <c r="V37" s="8" t="n">
        <v>0</v>
      </c>
      <c r="W37" s="8" t="n">
        <v>0</v>
      </c>
      <c r="X37" s="8" t="n">
        <v>0</v>
      </c>
      <c r="Y37" s="8" t="inlineStr">
        <is>
          <t>no filler; Perhexa 25B 2; TAIC 1 (as stated)</t>
        </is>
      </c>
      <c r="Z37" s="8" t="n">
        <v>65</v>
      </c>
      <c r="AA37" s="8" t="n">
        <v>13.73</v>
      </c>
      <c r="AB37" s="8" t="n">
        <v>210</v>
      </c>
      <c r="AC37" s="8" t="n">
        <v>2.94</v>
      </c>
      <c r="AD37" s="8" t="n"/>
      <c r="AE37" s="8" t="n"/>
      <c r="AF37" s="8" t="n">
        <v>0.4</v>
      </c>
      <c r="AG37" s="8" t="inlineStr">
        <is>
          <t>high-density F radical (NF3/Ar 1/1 SLM, 5 torr, ASTRON generator), 200C, 2 h</t>
        </is>
      </c>
      <c r="AH37" s="8" t="inlineStr">
        <is>
          <t>M100 and tensile in kg/cm2 (x0.0980665 -&gt; MPa)</t>
        </is>
      </c>
      <c r="AI37" s="8" t="inlineStr">
        <is>
          <t>Text: polymer, Perhexa 25B and TAIC mixed at weight ratio 100/2/1 (note Example 1 used 100/1/2); recorded as stated. Props Table 5. No compression set reported.</t>
        </is>
      </c>
    </row>
    <row r="38">
      <c r="A38" s="8" t="inlineStr">
        <is>
          <t>US8173727B2</t>
        </is>
      </c>
      <c r="B38" s="8" t="inlineStr">
        <is>
          <t>patent</t>
        </is>
      </c>
      <c r="C38" s="8" t="inlineStr">
        <is>
          <t>Daikin Industries, Ltd.</t>
        </is>
      </c>
      <c r="D38" s="8" t="inlineStr">
        <is>
          <t>Crosslinkable elastomer composition and molded article using the same</t>
        </is>
      </c>
      <c r="E38" s="8" t="inlineStr">
        <is>
          <t>https://patents.google.com/patent/US8173727B2/en</t>
        </is>
      </c>
      <c r="F38" s="8" t="inlineStr">
        <is>
          <t>Example 9</t>
        </is>
      </c>
      <c r="G38" s="8" t="inlineStr">
        <is>
          <t>FFKM</t>
        </is>
      </c>
      <c r="H38" s="8" t="inlineStr">
        <is>
          <t>TFE/perfluoroalkyl vinyl ether/cyano-group monomer 59.4/40.1/0.5 mol (Daikin)</t>
        </is>
      </c>
      <c r="I38" s="8" t="inlineStr">
        <is>
          <t>nitrile_other</t>
        </is>
      </c>
      <c r="J38" s="8" t="n">
        <v>100</v>
      </c>
      <c r="K38" s="8" t="n">
        <v>0</v>
      </c>
      <c r="L38" s="8" t="n">
        <v>0</v>
      </c>
      <c r="M38" s="8" t="n">
        <v>0</v>
      </c>
      <c r="N38" s="8" t="n">
        <v>0</v>
      </c>
      <c r="O38" s="8" t="n">
        <v>0</v>
      </c>
      <c r="P38" s="8" t="n">
        <v>0</v>
      </c>
      <c r="Q38" s="8" t="n">
        <v>15</v>
      </c>
      <c r="R38" s="8" t="n">
        <v>0</v>
      </c>
      <c r="S38" s="8" t="n">
        <v>0</v>
      </c>
      <c r="T38" s="8" t="n">
        <v>0</v>
      </c>
      <c r="U38" s="8" t="n">
        <v>1.2</v>
      </c>
      <c r="V38" s="8" t="n">
        <v>0</v>
      </c>
      <c r="W38" s="8" t="n">
        <v>0</v>
      </c>
      <c r="X38" s="8" t="n">
        <v>0</v>
      </c>
      <c r="Y38" s="8" t="inlineStr">
        <is>
          <t>AlN MAN-10 (200 nm) 15; crosslinker 6,6'-dianilino-3,3'-[2,2,2-trifluoro-1-(trifluoromethyl)ethylidene]dianiline 1.2</t>
        </is>
      </c>
      <c r="Z38" s="8" t="n"/>
      <c r="AA38" s="8" t="n">
        <v>14.42</v>
      </c>
      <c r="AB38" s="8" t="n">
        <v>335</v>
      </c>
      <c r="AC38" s="8" t="n">
        <v>2.26</v>
      </c>
      <c r="AD38" s="8" t="n">
        <v>42</v>
      </c>
      <c r="AE38" s="8" t="inlineStr">
        <is>
          <t>300C x 70h, AS-568A-214 O-ring (JIS K6262)</t>
        </is>
      </c>
      <c r="AF38" s="8" t="n">
        <v>0.11</v>
      </c>
      <c r="AG38" s="8" t="inlineStr">
        <is>
          <t>high-density F radical (NF3/Ar 1/1 SLM, 5 torr, ASTRON generator), 200C, 2 h</t>
        </is>
      </c>
      <c r="AH38" s="8" t="inlineStr">
        <is>
          <t>M100 and tensile in kgf/cm2 (x0.0980665 -&gt; MPa); hardness reported as IRHD (not stored)</t>
        </is>
      </c>
      <c r="AI38" s="8" t="inlineStr">
        <is>
          <t>Formulation from text; props Table 7 (hardness IRHD 69, not Shore A). F-radical weight loss at 300C 1.08%; O3 weight loss 2.7%. Cure: press 180C x 10 min + oven 290C x 18 h.</t>
        </is>
      </c>
    </row>
    <row r="39">
      <c r="A39" s="8" t="inlineStr">
        <is>
          <t>US8173727B2</t>
        </is>
      </c>
      <c r="B39" s="8" t="inlineStr">
        <is>
          <t>patent</t>
        </is>
      </c>
      <c r="C39" s="8" t="inlineStr">
        <is>
          <t>Daikin Industries, Ltd.</t>
        </is>
      </c>
      <c r="D39" s="8" t="inlineStr">
        <is>
          <t>Crosslinkable elastomer composition and molded article using the same</t>
        </is>
      </c>
      <c r="E39" s="8" t="inlineStr">
        <is>
          <t>https://patents.google.com/patent/US8173727B2/en</t>
        </is>
      </c>
      <c r="F39" s="8" t="inlineStr">
        <is>
          <t>Example 10</t>
        </is>
      </c>
      <c r="G39" s="8" t="inlineStr">
        <is>
          <t>FFKM</t>
        </is>
      </c>
      <c r="H39" s="8" t="inlineStr">
        <is>
          <t>TFE/perfluoroalkyl vinyl ether/cyano-group monomer 59.4/40.1/0.5 mol (Daikin)</t>
        </is>
      </c>
      <c r="I39" s="8" t="inlineStr">
        <is>
          <t>nitrile_other</t>
        </is>
      </c>
      <c r="J39" s="8" t="n">
        <v>100</v>
      </c>
      <c r="K39" s="8" t="n">
        <v>0</v>
      </c>
      <c r="L39" s="8" t="n">
        <v>0</v>
      </c>
      <c r="M39" s="8" t="n">
        <v>0</v>
      </c>
      <c r="N39" s="8" t="n">
        <v>0</v>
      </c>
      <c r="O39" s="8" t="n">
        <v>0</v>
      </c>
      <c r="P39" s="8" t="n">
        <v>0</v>
      </c>
      <c r="Q39" s="8" t="n">
        <v>15</v>
      </c>
      <c r="R39" s="8" t="n">
        <v>0</v>
      </c>
      <c r="S39" s="8" t="n">
        <v>0</v>
      </c>
      <c r="T39" s="8" t="n">
        <v>0</v>
      </c>
      <c r="U39" s="8" t="n">
        <v>1.2</v>
      </c>
      <c r="V39" s="8" t="n">
        <v>0</v>
      </c>
      <c r="W39" s="8" t="n">
        <v>0</v>
      </c>
      <c r="X39" s="8" t="n">
        <v>0</v>
      </c>
      <c r="Y39" s="8" t="inlineStr">
        <is>
          <t>Si3N4 SN-E10 (500 nm) 15; crosslinker 6,6'-dianilino-3,3'-[2,2,2-trifluoro-1-(trifluoromethyl)ethylidene]dianiline 1.2</t>
        </is>
      </c>
      <c r="Z39" s="8" t="n"/>
      <c r="AA39" s="8" t="n">
        <v>12.85</v>
      </c>
      <c r="AB39" s="8" t="n">
        <v>25</v>
      </c>
      <c r="AC39" s="8" t="n">
        <v>2.94</v>
      </c>
      <c r="AD39" s="8" t="n">
        <v>27</v>
      </c>
      <c r="AE39" s="8" t="inlineStr">
        <is>
          <t>300C x 70h, AS-568A-214 O-ring (JIS K6262)</t>
        </is>
      </c>
      <c r="AF39" s="8" t="n">
        <v>0.2</v>
      </c>
      <c r="AG39" s="8" t="inlineStr">
        <is>
          <t>high-density F radical (NF3/Ar 1/1 SLM, 5 torr, ASTRON generator), 200C, 2 h</t>
        </is>
      </c>
      <c r="AH39" s="8" t="inlineStr">
        <is>
          <t>M100 and tensile in kgf/cm2 (x0.0980665 -&gt; MPa); hardness reported as IRHD (not stored)</t>
        </is>
      </c>
      <c r="AI39" s="8" t="inlineStr">
        <is>
          <t>Formulation from text; props Table 7 (hardness IRHD 70, not Shore A). F-radical weight loss at 300C 0.4%; O3 weight loss 2.6%. Cure: press 180C x 10 min + oven 290C x 18 h. Elongation 25% as printed (inconsistent with M100 value; possible typo in source).</t>
        </is>
      </c>
    </row>
    <row r="40">
      <c r="A40" s="8" t="inlineStr">
        <is>
          <t>US8173727B2</t>
        </is>
      </c>
      <c r="B40" s="8" t="inlineStr">
        <is>
          <t>patent</t>
        </is>
      </c>
      <c r="C40" s="8" t="inlineStr">
        <is>
          <t>Daikin Industries, Ltd.</t>
        </is>
      </c>
      <c r="D40" s="8" t="inlineStr">
        <is>
          <t>Crosslinkable elastomer composition and molded article using the same</t>
        </is>
      </c>
      <c r="E40" s="8" t="inlineStr">
        <is>
          <t>https://patents.google.com/patent/US8173727B2/en</t>
        </is>
      </c>
      <c r="F40" s="8" t="inlineStr">
        <is>
          <t>Example 11</t>
        </is>
      </c>
      <c r="G40" s="8" t="inlineStr">
        <is>
          <t>FFKM</t>
        </is>
      </c>
      <c r="H40" s="8" t="inlineStr">
        <is>
          <t>TFE/perfluoroalkyl vinyl ether/cyano-group monomer 59.4/40.1/0.5 mol (Daikin)</t>
        </is>
      </c>
      <c r="I40" s="8" t="inlineStr">
        <is>
          <t>nitrile_other</t>
        </is>
      </c>
      <c r="J40" s="8" t="n">
        <v>100</v>
      </c>
      <c r="K40" s="8" t="n">
        <v>0</v>
      </c>
      <c r="L40" s="8" t="n">
        <v>0</v>
      </c>
      <c r="M40" s="8" t="n">
        <v>0</v>
      </c>
      <c r="N40" s="8" t="n">
        <v>0</v>
      </c>
      <c r="O40" s="8" t="n">
        <v>0</v>
      </c>
      <c r="P40" s="8" t="n">
        <v>0</v>
      </c>
      <c r="Q40" s="8" t="n">
        <v>15</v>
      </c>
      <c r="R40" s="8" t="n">
        <v>0</v>
      </c>
      <c r="S40" s="8" t="n">
        <v>0</v>
      </c>
      <c r="T40" s="8" t="n">
        <v>0</v>
      </c>
      <c r="U40" s="8" t="n">
        <v>1.2</v>
      </c>
      <c r="V40" s="8" t="n">
        <v>0</v>
      </c>
      <c r="W40" s="8" t="n">
        <v>0</v>
      </c>
      <c r="X40" s="8" t="n">
        <v>0</v>
      </c>
      <c r="Y40" s="8" t="inlineStr">
        <is>
          <t>SiC DU A-1 (450 nm) 15; crosslinker 6,6'-dianilino-3,3'-[2,2,2-trifluoro-1-(trifluoromethyl)ethylidene]dianiline 1.2</t>
        </is>
      </c>
      <c r="Z40" s="8" t="n"/>
      <c r="AA40" s="8" t="n">
        <v>14.91</v>
      </c>
      <c r="AB40" s="8" t="n">
        <v>288</v>
      </c>
      <c r="AC40" s="8" t="n">
        <v>2.45</v>
      </c>
      <c r="AD40" s="8" t="n">
        <v>32</v>
      </c>
      <c r="AE40" s="8" t="inlineStr">
        <is>
          <t>300C x 70h, AS-568A-214 O-ring (JIS K6262)</t>
        </is>
      </c>
      <c r="AF40" s="8" t="n">
        <v>0.2</v>
      </c>
      <c r="AG40" s="8" t="inlineStr">
        <is>
          <t>high-density F radical (NF3/Ar 1/1 SLM, 5 torr, ASTRON generator), 200C, 2 h</t>
        </is>
      </c>
      <c r="AH40" s="8" t="inlineStr">
        <is>
          <t>M100 and tensile in kgf/cm2 (x0.0980665 -&gt; MPa); hardness reported as IRHD (not stored)</t>
        </is>
      </c>
      <c r="AI40" s="8" t="inlineStr">
        <is>
          <t>Formulation from text; props Table 7 (hardness IRHD 67, not Shore A). F-radical weight loss at 300C 0.42%; O3 weight loss 2.6%. Cure: press 180C x 10 min + oven 290C x 18 h.</t>
        </is>
      </c>
    </row>
    <row r="41">
      <c r="A41" s="8" t="inlineStr">
        <is>
          <t>US8173727B2</t>
        </is>
      </c>
      <c r="B41" s="8" t="inlineStr">
        <is>
          <t>patent</t>
        </is>
      </c>
      <c r="C41" s="8" t="inlineStr">
        <is>
          <t>Daikin Industries, Ltd.</t>
        </is>
      </c>
      <c r="D41" s="8" t="inlineStr">
        <is>
          <t>Crosslinkable elastomer composition and molded article using the same</t>
        </is>
      </c>
      <c r="E41" s="8" t="inlineStr">
        <is>
          <t>https://patents.google.com/patent/US8173727B2/en</t>
        </is>
      </c>
      <c r="F41" s="8" t="inlineStr">
        <is>
          <t>Example 12</t>
        </is>
      </c>
      <c r="G41" s="8" t="inlineStr">
        <is>
          <t>FFKM</t>
        </is>
      </c>
      <c r="H41" s="8" t="inlineStr">
        <is>
          <t>TFE/perfluoroalkyl vinyl ether/cyano-group monomer 59.4/40.1/0.5 mol (Daikin)</t>
        </is>
      </c>
      <c r="I41" s="8" t="inlineStr">
        <is>
          <t>nitrile_other</t>
        </is>
      </c>
      <c r="J41" s="8" t="n">
        <v>100</v>
      </c>
      <c r="K41" s="8" t="n">
        <v>20</v>
      </c>
      <c r="L41" s="8" t="n">
        <v>0</v>
      </c>
      <c r="M41" s="8" t="n">
        <v>0</v>
      </c>
      <c r="N41" s="8" t="n">
        <v>0</v>
      </c>
      <c r="O41" s="8" t="n">
        <v>0</v>
      </c>
      <c r="P41" s="8" t="n">
        <v>0</v>
      </c>
      <c r="Q41" s="8" t="n">
        <v>0</v>
      </c>
      <c r="R41" s="8" t="n">
        <v>0</v>
      </c>
      <c r="S41" s="8" t="n">
        <v>0</v>
      </c>
      <c r="T41" s="8" t="n">
        <v>0</v>
      </c>
      <c r="U41" s="8" t="n">
        <v>0.8</v>
      </c>
      <c r="V41" s="8" t="n">
        <v>0</v>
      </c>
      <c r="W41" s="8" t="n">
        <v>0</v>
      </c>
      <c r="X41" s="8" t="n">
        <v>0</v>
      </c>
      <c r="Y41" s="8" t="inlineStr">
        <is>
          <t>carbon black Thermax N-990 20; crosslinker 6,6'-dianilino-3,3'-[2,2,2-trifluoro-1-(trifluoromethyl)ethylidene]dianiline 0.8</t>
        </is>
      </c>
      <c r="Z41" s="8" t="n"/>
      <c r="AA41" s="8" t="n">
        <v>19.52</v>
      </c>
      <c r="AB41" s="8" t="n">
        <v>273</v>
      </c>
      <c r="AC41" s="8" t="n">
        <v>5</v>
      </c>
      <c r="AD41" s="8" t="n">
        <v>38</v>
      </c>
      <c r="AE41" s="8" t="inlineStr">
        <is>
          <t>300C x 70h, AS-568A-214 O-ring (JIS K6262)</t>
        </is>
      </c>
      <c r="AF41" s="8" t="n">
        <v>0.15</v>
      </c>
      <c r="AG41" s="8" t="inlineStr">
        <is>
          <t>high-density F radical (NF3/Ar 1/1 SLM, 5 torr, ASTRON generator), 200C, 2 h</t>
        </is>
      </c>
      <c r="AH41" s="8" t="inlineStr">
        <is>
          <t>M100 and tensile in kgf/cm2 (x0.0980665 -&gt; MPa); hardness reported as IRHD (not stored)</t>
        </is>
      </c>
      <c r="AI41" s="8" t="inlineStr">
        <is>
          <t>Formulation from text; props Table 7 (hardness IRHD 75, not Shore A). F-radical weight loss at 300C 0.17%; O3 weight loss 4.6%. Cure: press 180C x 10 min + oven 290C x 18 h.</t>
        </is>
      </c>
    </row>
    <row r="42">
      <c r="A42" s="8" t="inlineStr">
        <is>
          <t>US8173727B2</t>
        </is>
      </c>
      <c r="B42" s="8" t="inlineStr">
        <is>
          <t>patent</t>
        </is>
      </c>
      <c r="C42" s="8" t="inlineStr">
        <is>
          <t>Daikin Industries, Ltd.</t>
        </is>
      </c>
      <c r="D42" s="8" t="inlineStr">
        <is>
          <t>Crosslinkable elastomer composition and molded article using the same</t>
        </is>
      </c>
      <c r="E42" s="8" t="inlineStr">
        <is>
          <t>https://patents.google.com/patent/US8173727B2/en</t>
        </is>
      </c>
      <c r="F42" s="8" t="inlineStr">
        <is>
          <t>Example 13</t>
        </is>
      </c>
      <c r="G42" s="8" t="inlineStr">
        <is>
          <t>FFKM</t>
        </is>
      </c>
      <c r="H42" s="8" t="inlineStr">
        <is>
          <t>TFE/perfluoroalkyl vinyl ether/cyano-group monomer 59.4/40.1/0.5 mol (Daikin)</t>
        </is>
      </c>
      <c r="I42" s="8" t="inlineStr">
        <is>
          <t>nitrile_other</t>
        </is>
      </c>
      <c r="J42" s="8" t="n">
        <v>100</v>
      </c>
      <c r="K42" s="8" t="n">
        <v>0</v>
      </c>
      <c r="L42" s="8" t="n">
        <v>15</v>
      </c>
      <c r="M42" s="8" t="n">
        <v>0</v>
      </c>
      <c r="N42" s="8" t="n">
        <v>0</v>
      </c>
      <c r="O42" s="8" t="n">
        <v>0</v>
      </c>
      <c r="P42" s="8" t="n">
        <v>0</v>
      </c>
      <c r="Q42" s="8" t="n">
        <v>0</v>
      </c>
      <c r="R42" s="8" t="n">
        <v>0</v>
      </c>
      <c r="S42" s="8" t="n">
        <v>0</v>
      </c>
      <c r="T42" s="8" t="n">
        <v>0</v>
      </c>
      <c r="U42" s="8" t="n">
        <v>1.2</v>
      </c>
      <c r="V42" s="8" t="n">
        <v>0</v>
      </c>
      <c r="W42" s="8" t="n">
        <v>0</v>
      </c>
      <c r="X42" s="8" t="n">
        <v>0</v>
      </c>
      <c r="Y42" s="8" t="inlineStr">
        <is>
          <t>SiO2 M-7D (15 nm) 15; crosslinker 6,6'-dianilino-3,3'-[2,2,2-trifluoro-1-(trifluoromethyl)ethylidene]dianiline 1.2</t>
        </is>
      </c>
      <c r="Z42" s="8" t="n"/>
      <c r="AA42" s="8" t="n">
        <v>13.34</v>
      </c>
      <c r="AB42" s="8" t="n">
        <v>275</v>
      </c>
      <c r="AC42" s="8" t="n">
        <v>4.9</v>
      </c>
      <c r="AD42" s="8" t="n"/>
      <c r="AE42" s="8" t="inlineStr">
        <is>
          <t>300C x 70h, AS-568A-214 O-ring (JIS K6262)</t>
        </is>
      </c>
      <c r="AF42" s="8" t="n">
        <v>0.23</v>
      </c>
      <c r="AG42" s="8" t="inlineStr">
        <is>
          <t>high-density F radical (NF3/Ar 1/1 SLM, 5 torr, ASTRON generator), 200C, 2 h</t>
        </is>
      </c>
      <c r="AH42" s="8" t="inlineStr">
        <is>
          <t>M100 and tensile in kgf/cm2 (x0.0980665 -&gt; MPa); hardness reported as IRHD (not stored)</t>
        </is>
      </c>
      <c r="AI42" s="8" t="inlineStr">
        <is>
          <t>Formulation from text; props Table 7 (hardness IRHD 74, not Shore A). F-radical weight loss at 300C 0.51%; O3 weight loss 2.9%. Cure: press 180C x 10 min + oven 290C x 18 h.</t>
        </is>
      </c>
    </row>
    <row r="43">
      <c r="A43" s="8" t="inlineStr">
        <is>
          <t>US8173727B2</t>
        </is>
      </c>
      <c r="B43" s="8" t="inlineStr">
        <is>
          <t>patent</t>
        </is>
      </c>
      <c r="C43" s="8" t="inlineStr">
        <is>
          <t>Daikin Industries, Ltd.</t>
        </is>
      </c>
      <c r="D43" s="8" t="inlineStr">
        <is>
          <t>Crosslinkable elastomer composition and molded article using the same</t>
        </is>
      </c>
      <c r="E43" s="8" t="inlineStr">
        <is>
          <t>https://patents.google.com/patent/US8173727B2/en</t>
        </is>
      </c>
      <c r="F43" s="8" t="inlineStr">
        <is>
          <t>Example 14</t>
        </is>
      </c>
      <c r="G43" s="8" t="inlineStr">
        <is>
          <t>FFKM</t>
        </is>
      </c>
      <c r="H43" s="8" t="inlineStr">
        <is>
          <t>TFE/perfluoroalkyl vinyl ether/cyano-group monomer 59.4/40.1/0.5 mol (Daikin)</t>
        </is>
      </c>
      <c r="I43" s="8" t="inlineStr">
        <is>
          <t>nitrile_other</t>
        </is>
      </c>
      <c r="J43" s="8" t="n">
        <v>100</v>
      </c>
      <c r="K43" s="8" t="n">
        <v>0</v>
      </c>
      <c r="L43" s="8" t="n">
        <v>0</v>
      </c>
      <c r="M43" s="8" t="n">
        <v>15</v>
      </c>
      <c r="N43" s="8" t="n">
        <v>0</v>
      </c>
      <c r="O43" s="8" t="n">
        <v>0</v>
      </c>
      <c r="P43" s="8" t="n">
        <v>0</v>
      </c>
      <c r="Q43" s="8" t="n">
        <v>0</v>
      </c>
      <c r="R43" s="8" t="n">
        <v>0</v>
      </c>
      <c r="S43" s="8" t="n">
        <v>0</v>
      </c>
      <c r="T43" s="8" t="n">
        <v>0</v>
      </c>
      <c r="U43" s="8" t="n">
        <v>1.2</v>
      </c>
      <c r="V43" s="8" t="n">
        <v>0</v>
      </c>
      <c r="W43" s="8" t="n">
        <v>0</v>
      </c>
      <c r="X43" s="8" t="n">
        <v>0</v>
      </c>
      <c r="Y43" s="8" t="inlineStr">
        <is>
          <t>alpha-Al2O3 AKP-53 (200 nm) 15; crosslinker 6,6'-dianilino-3,3'-[2,2,2-trifluoro-1-(trifluoromethyl)ethylidene]dianiline 1.2</t>
        </is>
      </c>
      <c r="Z43" s="8" t="n"/>
      <c r="AA43" s="8" t="n">
        <v>15.79</v>
      </c>
      <c r="AB43" s="8" t="n">
        <v>307</v>
      </c>
      <c r="AC43" s="8" t="n">
        <v>2.26</v>
      </c>
      <c r="AD43" s="8" t="n">
        <v>45</v>
      </c>
      <c r="AE43" s="8" t="inlineStr">
        <is>
          <t>300C x 70h, AS-568A-214 O-ring (JIS K6262)</t>
        </is>
      </c>
      <c r="AF43" s="8" t="n">
        <v>3.21</v>
      </c>
      <c r="AG43" s="8" t="inlineStr">
        <is>
          <t>high-density F radical (NF3/Ar 1/1 SLM, 5 torr, ASTRON generator), 200C, 2 h</t>
        </is>
      </c>
      <c r="AH43" s="8" t="inlineStr">
        <is>
          <t>M100 and tensile in kgf/cm2 (x0.0980665 -&gt; MPa); hardness reported as IRHD (not stored)</t>
        </is>
      </c>
      <c r="AI43" s="8" t="inlineStr">
        <is>
          <t>Formulation from text; props Table 7 (hardness IRHD 66, not Shore A). F-radical weight loss at 300C 5.66%; O3 weight loss 2.6%. Cure: press 180C x 10 min + oven 290C x 18 h.</t>
        </is>
      </c>
    </row>
    <row r="44">
      <c r="A44" s="8" t="inlineStr">
        <is>
          <t>US8211964B2</t>
        </is>
      </c>
      <c r="B44" s="8" t="inlineStr">
        <is>
          <t>patent</t>
        </is>
      </c>
      <c r="C44" s="8" t="inlineStr">
        <is>
          <t>Daikin Industries, Ltd.</t>
        </is>
      </c>
      <c r="D44" s="8" t="inlineStr">
        <is>
          <t>Curable composition, molded article obtained from same and process for production of molded article</t>
        </is>
      </c>
      <c r="E44" s="8" t="inlineStr">
        <is>
          <t>https://patents.google.com/patent/US8211964B2/en</t>
        </is>
      </c>
      <c r="F44" s="8" t="inlineStr">
        <is>
          <t>Example 2</t>
        </is>
      </c>
      <c r="G44" s="8" t="inlineStr">
        <is>
          <t>FFKM</t>
        </is>
      </c>
      <c r="H44" s="8" t="inlineStr">
        <is>
          <t>TFE/PMVE/CNVE (CF2=CFOCF2CF(CF3)OCF2CF2CN) elastomer with cyano end groups (Preparation Example 1)</t>
        </is>
      </c>
      <c r="I44" s="8" t="inlineStr">
        <is>
          <t>nitrile_triazine</t>
        </is>
      </c>
      <c r="J44" s="8" t="n">
        <v>100</v>
      </c>
      <c r="K44" s="8" t="n">
        <v>0</v>
      </c>
      <c r="L44" s="8" t="n">
        <v>0</v>
      </c>
      <c r="M44" s="8" t="n">
        <v>0</v>
      </c>
      <c r="N44" s="8" t="n">
        <v>0</v>
      </c>
      <c r="O44" s="8" t="n">
        <v>0</v>
      </c>
      <c r="P44" s="8" t="n">
        <v>0</v>
      </c>
      <c r="Q44" s="8" t="n">
        <v>0</v>
      </c>
      <c r="R44" s="8" t="n">
        <v>0</v>
      </c>
      <c r="S44" s="8" t="n">
        <v>0</v>
      </c>
      <c r="T44" s="8" t="n">
        <v>0</v>
      </c>
      <c r="U44" s="8" t="n">
        <v>0.35</v>
      </c>
      <c r="V44" s="8" t="n">
        <v>0</v>
      </c>
      <c r="W44" s="8" t="n">
        <v>0</v>
      </c>
      <c r="X44" s="8" t="n">
        <v>0</v>
      </c>
      <c r="Y44" s="8" t="inlineStr">
        <is>
          <t>Si3N4 SN-A00 (30 nm) 0.35 as sole curing catalyst</t>
        </is>
      </c>
      <c r="Z44" s="8" t="n">
        <v>57.2</v>
      </c>
      <c r="AA44" s="8" t="n">
        <v>9.32</v>
      </c>
      <c r="AB44" s="8" t="n">
        <v>295</v>
      </c>
      <c r="AC44" s="8" t="n">
        <v>1.18</v>
      </c>
      <c r="AD44" s="8" t="n">
        <v>18</v>
      </c>
      <c r="AE44" s="8" t="inlineStr">
        <is>
          <t>200C x 72h, AS-568A-214 O-ring</t>
        </is>
      </c>
      <c r="AF44" s="8" t="n"/>
      <c r="AG44" s="8" t="n"/>
      <c r="AH44" s="8" t="inlineStr">
        <is>
          <t>M100 and Tb in kgf/cm2 (x0.0980665 -&gt; MPa)</t>
        </is>
      </c>
      <c r="AI44" s="8" t="inlineStr">
        <is>
          <t>Table 1; AFTA-Ph = 2,2-bis[3-amino-4-(N-phenylamino)phenyl]hexafluoropropane; nitrile_curative = sum of curatives. CS 250C x 72h 18%; 300C x 72h 33%. Cure: press 180C for T90 + oven 290C x 18 h. CS per JIS K6301 on AS-568A-214 O-ring. Example 1 (Si3N4 0.20) omitted: no properties reported.</t>
        </is>
      </c>
    </row>
    <row r="45">
      <c r="A45" s="8" t="inlineStr">
        <is>
          <t>US8211964B2</t>
        </is>
      </c>
      <c r="B45" s="8" t="inlineStr">
        <is>
          <t>patent</t>
        </is>
      </c>
      <c r="C45" s="8" t="inlineStr">
        <is>
          <t>Daikin Industries, Ltd.</t>
        </is>
      </c>
      <c r="D45" s="8" t="inlineStr">
        <is>
          <t>Curable composition, molded article obtained from same and process for production of molded article</t>
        </is>
      </c>
      <c r="E45" s="8" t="inlineStr">
        <is>
          <t>https://patents.google.com/patent/US8211964B2/en</t>
        </is>
      </c>
      <c r="F45" s="8" t="inlineStr">
        <is>
          <t>Example 3</t>
        </is>
      </c>
      <c r="G45" s="8" t="inlineStr">
        <is>
          <t>FFKM</t>
        </is>
      </c>
      <c r="H45" s="8" t="inlineStr">
        <is>
          <t>TFE/PMVE/CNVE (CF2=CFOCF2CF(CF3)OCF2CF2CN) elastomer with cyano end groups (Preparation Example 1)</t>
        </is>
      </c>
      <c r="I45" s="8" t="inlineStr">
        <is>
          <t>nitrile_triazine</t>
        </is>
      </c>
      <c r="J45" s="8" t="n">
        <v>100</v>
      </c>
      <c r="K45" s="8" t="n">
        <v>0</v>
      </c>
      <c r="L45" s="8" t="n">
        <v>0</v>
      </c>
      <c r="M45" s="8" t="n">
        <v>0</v>
      </c>
      <c r="N45" s="8" t="n">
        <v>0</v>
      </c>
      <c r="O45" s="8" t="n">
        <v>0</v>
      </c>
      <c r="P45" s="8" t="n">
        <v>0</v>
      </c>
      <c r="Q45" s="8" t="n">
        <v>0</v>
      </c>
      <c r="R45" s="8" t="n">
        <v>0</v>
      </c>
      <c r="S45" s="8" t="n">
        <v>0</v>
      </c>
      <c r="T45" s="8" t="n">
        <v>0</v>
      </c>
      <c r="U45" s="8" t="n">
        <v>0.4</v>
      </c>
      <c r="V45" s="8" t="n">
        <v>0</v>
      </c>
      <c r="W45" s="8" t="n">
        <v>0</v>
      </c>
      <c r="X45" s="8" t="n">
        <v>0</v>
      </c>
      <c r="Y45" s="8" t="inlineStr">
        <is>
          <t>Si3N4 SN-A00 (30 nm) 0.40 as sole curing catalyst</t>
        </is>
      </c>
      <c r="Z45" s="8" t="n">
        <v>58</v>
      </c>
      <c r="AA45" s="8" t="n">
        <v>10</v>
      </c>
      <c r="AB45" s="8" t="n">
        <v>265</v>
      </c>
      <c r="AC45" s="8" t="n">
        <v>1.37</v>
      </c>
      <c r="AD45" s="8" t="n">
        <v>17</v>
      </c>
      <c r="AE45" s="8" t="inlineStr">
        <is>
          <t>200C x 72h, AS-568A-214 O-ring</t>
        </is>
      </c>
      <c r="AF45" s="8" t="n"/>
      <c r="AG45" s="8" t="n"/>
      <c r="AH45" s="8" t="inlineStr">
        <is>
          <t>M100 and Tb in kgf/cm2 (x0.0980665 -&gt; MPa)</t>
        </is>
      </c>
      <c r="AI45" s="8" t="inlineStr">
        <is>
          <t>Table 1; AFTA-Ph = 2,2-bis[3-amino-4-(N-phenylamino)phenyl]hexafluoropropane; nitrile_curative = sum of curatives. CS 250C x 72h 17%; 300C x 72h 30%. Cure: press 180C for T90 + oven 290C x 18 h. CS per JIS K6301 on AS-568A-214 O-ring. Example 1 (Si3N4 0.20) omitted: no properties reported.</t>
        </is>
      </c>
    </row>
    <row r="46">
      <c r="A46" s="8" t="inlineStr">
        <is>
          <t>US8211964B2</t>
        </is>
      </c>
      <c r="B46" s="8" t="inlineStr">
        <is>
          <t>patent</t>
        </is>
      </c>
      <c r="C46" s="8" t="inlineStr">
        <is>
          <t>Daikin Industries, Ltd.</t>
        </is>
      </c>
      <c r="D46" s="8" t="inlineStr">
        <is>
          <t>Curable composition, molded article obtained from same and process for production of molded article</t>
        </is>
      </c>
      <c r="E46" s="8" t="inlineStr">
        <is>
          <t>https://patents.google.com/patent/US8211964B2/en</t>
        </is>
      </c>
      <c r="F46" s="8" t="inlineStr">
        <is>
          <t>Example 4</t>
        </is>
      </c>
      <c r="G46" s="8" t="inlineStr">
        <is>
          <t>FFKM</t>
        </is>
      </c>
      <c r="H46" s="8" t="inlineStr">
        <is>
          <t>TFE/PMVE/CNVE (CF2=CFOCF2CF(CF3)OCF2CF2CN) elastomer with cyano end groups (Preparation Example 1)</t>
        </is>
      </c>
      <c r="I46" s="8" t="inlineStr">
        <is>
          <t>nitrile_triazine</t>
        </is>
      </c>
      <c r="J46" s="8" t="n">
        <v>100</v>
      </c>
      <c r="K46" s="8" t="n">
        <v>0</v>
      </c>
      <c r="L46" s="8" t="n">
        <v>0</v>
      </c>
      <c r="M46" s="8" t="n">
        <v>0</v>
      </c>
      <c r="N46" s="8" t="n">
        <v>0</v>
      </c>
      <c r="O46" s="8" t="n">
        <v>0</v>
      </c>
      <c r="P46" s="8" t="n">
        <v>0</v>
      </c>
      <c r="Q46" s="8" t="n">
        <v>20</v>
      </c>
      <c r="R46" s="8" t="n">
        <v>0</v>
      </c>
      <c r="S46" s="8" t="n">
        <v>0</v>
      </c>
      <c r="T46" s="8" t="n">
        <v>0</v>
      </c>
      <c r="U46" s="8" t="n">
        <v>0</v>
      </c>
      <c r="V46" s="8" t="n">
        <v>0</v>
      </c>
      <c r="W46" s="8" t="n">
        <v>0</v>
      </c>
      <c r="X46" s="8" t="n">
        <v>0</v>
      </c>
      <c r="Y46" s="8" t="inlineStr">
        <is>
          <t>Si3N4 SN-E10 pulverized (&lt;=300 nm) 20; acts as both filler and sole curing catalyst (no separate curative)</t>
        </is>
      </c>
      <c r="Z46" s="8" t="n">
        <v>76</v>
      </c>
      <c r="AA46" s="8" t="n">
        <v>12.75</v>
      </c>
      <c r="AB46" s="8" t="n">
        <v>180</v>
      </c>
      <c r="AC46" s="8" t="n">
        <v>5</v>
      </c>
      <c r="AD46" s="8" t="n">
        <v>42</v>
      </c>
      <c r="AE46" s="8" t="inlineStr">
        <is>
          <t>250C x 72h, AS-568A-214 O-ring</t>
        </is>
      </c>
      <c r="AF46" s="8" t="n"/>
      <c r="AG46" s="8" t="n"/>
      <c r="AH46" s="8" t="inlineStr">
        <is>
          <t>M100 and Tb in kgf/cm2 (x0.0980665 -&gt; MPa)</t>
        </is>
      </c>
      <c r="AI46" s="8" t="inlineStr">
        <is>
          <t>Table 1; AFTA-Ph = 2,2-bis[3-amino-4-(N-phenylamino)phenyl]hexafluoropropane; nitrile_curative = sum of curatives. Only 250C CS reported. Cure: press 180C for T90 + oven 290C x 18 h. CS per JIS K6301 on AS-568A-214 O-ring. Example 1 (Si3N4 0.20) omitted: no properties reported.</t>
        </is>
      </c>
    </row>
    <row r="47">
      <c r="A47" s="8" t="inlineStr">
        <is>
          <t>US8211964B2</t>
        </is>
      </c>
      <c r="B47" s="8" t="inlineStr">
        <is>
          <t>patent</t>
        </is>
      </c>
      <c r="C47" s="8" t="inlineStr">
        <is>
          <t>Daikin Industries, Ltd.</t>
        </is>
      </c>
      <c r="D47" s="8" t="inlineStr">
        <is>
          <t>Curable composition, molded article obtained from same and process for production of molded article</t>
        </is>
      </c>
      <c r="E47" s="8" t="inlineStr">
        <is>
          <t>https://patents.google.com/patent/US8211964B2/en</t>
        </is>
      </c>
      <c r="F47" s="8" t="inlineStr">
        <is>
          <t>Example 5</t>
        </is>
      </c>
      <c r="G47" s="8" t="inlineStr">
        <is>
          <t>FFKM</t>
        </is>
      </c>
      <c r="H47" s="8" t="inlineStr">
        <is>
          <t>TFE/PMVE/CNVE (CF2=CFOCF2CF(CF3)OCF2CF2CN) elastomer with cyano end groups (Preparation Example 1)</t>
        </is>
      </c>
      <c r="I47" s="8" t="inlineStr">
        <is>
          <t>nitrile_triazine</t>
        </is>
      </c>
      <c r="J47" s="8" t="n">
        <v>100</v>
      </c>
      <c r="K47" s="8" t="n">
        <v>0</v>
      </c>
      <c r="L47" s="8" t="n">
        <v>0</v>
      </c>
      <c r="M47" s="8" t="n">
        <v>0</v>
      </c>
      <c r="N47" s="8" t="n">
        <v>0</v>
      </c>
      <c r="O47" s="8" t="n">
        <v>0</v>
      </c>
      <c r="P47" s="8" t="n">
        <v>0</v>
      </c>
      <c r="Q47" s="8" t="n">
        <v>20</v>
      </c>
      <c r="R47" s="8" t="n">
        <v>0</v>
      </c>
      <c r="S47" s="8" t="n">
        <v>0</v>
      </c>
      <c r="T47" s="8" t="n">
        <v>0</v>
      </c>
      <c r="U47" s="8" t="n">
        <v>0</v>
      </c>
      <c r="V47" s="8" t="n">
        <v>0</v>
      </c>
      <c r="W47" s="8" t="n">
        <v>0</v>
      </c>
      <c r="X47" s="8" t="n">
        <v>0</v>
      </c>
      <c r="Y47" s="8" t="inlineStr">
        <is>
          <t>AlN pulverized (Tokuyama H grade) 20; acts as both filler and sole curing catalyst (no separate curative)</t>
        </is>
      </c>
      <c r="Z47" s="8" t="n">
        <v>78</v>
      </c>
      <c r="AA47" s="8" t="n">
        <v>11.77</v>
      </c>
      <c r="AB47" s="8" t="n">
        <v>170</v>
      </c>
      <c r="AC47" s="8" t="n">
        <v>4.9</v>
      </c>
      <c r="AD47" s="8" t="n">
        <v>48</v>
      </c>
      <c r="AE47" s="8" t="inlineStr">
        <is>
          <t>250C x 72h, AS-568A-214 O-ring</t>
        </is>
      </c>
      <c r="AF47" s="8" t="n"/>
      <c r="AG47" s="8" t="n"/>
      <c r="AH47" s="8" t="inlineStr">
        <is>
          <t>M100 and Tb in kgf/cm2 (x0.0980665 -&gt; MPa)</t>
        </is>
      </c>
      <c r="AI47" s="8" t="inlineStr">
        <is>
          <t>Table 1; AFTA-Ph = 2,2-bis[3-amino-4-(N-phenylamino)phenyl]hexafluoropropane; nitrile_curative = sum of curatives. Only 250C CS reported. Cure: press 180C for T90 + oven 290C x 18 h. CS per JIS K6301 on AS-568A-214 O-ring. Example 1 (Si3N4 0.20) omitted: no properties reported.</t>
        </is>
      </c>
    </row>
    <row r="48">
      <c r="A48" s="8" t="inlineStr">
        <is>
          <t>US8211964B2</t>
        </is>
      </c>
      <c r="B48" s="8" t="inlineStr">
        <is>
          <t>patent</t>
        </is>
      </c>
      <c r="C48" s="8" t="inlineStr">
        <is>
          <t>Daikin Industries, Ltd.</t>
        </is>
      </c>
      <c r="D48" s="8" t="inlineStr">
        <is>
          <t>Curable composition, molded article obtained from same and process for production of molded article</t>
        </is>
      </c>
      <c r="E48" s="8" t="inlineStr">
        <is>
          <t>https://patents.google.com/patent/US8211964B2/en</t>
        </is>
      </c>
      <c r="F48" s="8" t="inlineStr">
        <is>
          <t>Example 6</t>
        </is>
      </c>
      <c r="G48" s="8" t="inlineStr">
        <is>
          <t>FFKM</t>
        </is>
      </c>
      <c r="H48" s="8" t="inlineStr">
        <is>
          <t>TFE/PMVE/CNVE (CF2=CFOCF2CF(CF3)OCF2CF2CN) elastomer with cyano end groups (Preparation Example 1)</t>
        </is>
      </c>
      <c r="I48" s="8" t="inlineStr">
        <is>
          <t>nitrile_other</t>
        </is>
      </c>
      <c r="J48" s="8" t="n">
        <v>100</v>
      </c>
      <c r="K48" s="8" t="n">
        <v>0</v>
      </c>
      <c r="L48" s="8" t="n">
        <v>0</v>
      </c>
      <c r="M48" s="8" t="n">
        <v>0</v>
      </c>
      <c r="N48" s="8" t="n">
        <v>0</v>
      </c>
      <c r="O48" s="8" t="n">
        <v>0</v>
      </c>
      <c r="P48" s="8" t="n">
        <v>0</v>
      </c>
      <c r="Q48" s="8" t="n">
        <v>0</v>
      </c>
      <c r="R48" s="8" t="n">
        <v>15</v>
      </c>
      <c r="S48" s="8" t="n">
        <v>0</v>
      </c>
      <c r="T48" s="8" t="n">
        <v>0</v>
      </c>
      <c r="U48" s="8" t="n">
        <v>1.3</v>
      </c>
      <c r="V48" s="8" t="n">
        <v>0</v>
      </c>
      <c r="W48" s="8" t="n">
        <v>0</v>
      </c>
      <c r="X48" s="8" t="n">
        <v>0</v>
      </c>
      <c r="Y48" s="8" t="inlineStr">
        <is>
          <t>AFTA-Ph 1.2 + Si3N4 SN-A00 (30 nm) 0.1; polyimide UIP-S 15</t>
        </is>
      </c>
      <c r="Z48" s="8" t="n">
        <v>73</v>
      </c>
      <c r="AA48" s="8" t="n">
        <v>13.04</v>
      </c>
      <c r="AB48" s="8" t="n">
        <v>234</v>
      </c>
      <c r="AC48" s="8" t="n">
        <v>5.2</v>
      </c>
      <c r="AD48" s="8" t="n">
        <v>24</v>
      </c>
      <c r="AE48" s="8" t="inlineStr">
        <is>
          <t>300C x 72h, AS-568A-214 O-ring</t>
        </is>
      </c>
      <c r="AF48" s="8" t="n"/>
      <c r="AG48" s="8" t="n"/>
      <c r="AH48" s="8" t="inlineStr">
        <is>
          <t>M100 and Tb in kgf/cm2 (x0.0980665 -&gt; MPa)</t>
        </is>
      </c>
      <c r="AI48" s="8" t="inlineStr">
        <is>
          <t>Table 2; AFTA-Ph = 2,2-bis[3-amino-4-(N-phenylamino)phenyl]hexafluoropropane; nitrile_curative = sum of curatives. CS 275C x 72h 10%, 275C x 168h 14%, 300C x 168h 35%. Cure: press 180C for T90 + oven 290C x 18 h. CS per JIS K6301 on AS-568A-214 O-ring. Example 1 (Si3N4 0.20) omitted: no properties reported.</t>
        </is>
      </c>
    </row>
    <row r="49">
      <c r="A49" s="8" t="inlineStr">
        <is>
          <t>US8211964B2</t>
        </is>
      </c>
      <c r="B49" s="8" t="inlineStr">
        <is>
          <t>patent</t>
        </is>
      </c>
      <c r="C49" s="8" t="inlineStr">
        <is>
          <t>Daikin Industries, Ltd.</t>
        </is>
      </c>
      <c r="D49" s="8" t="inlineStr">
        <is>
          <t>Curable composition, molded article obtained from same and process for production of molded article</t>
        </is>
      </c>
      <c r="E49" s="8" t="inlineStr">
        <is>
          <t>https://patents.google.com/patent/US8211964B2/en</t>
        </is>
      </c>
      <c r="F49" s="8" t="inlineStr">
        <is>
          <t>Comparative Example 1</t>
        </is>
      </c>
      <c r="G49" s="8" t="inlineStr">
        <is>
          <t>FFKM</t>
        </is>
      </c>
      <c r="H49" s="8" t="inlineStr">
        <is>
          <t>TFE/PMVE/CNVE (CF2=CFOCF2CF(CF3)OCF2CF2CN) elastomer with cyano end groups (Preparation Example 1)</t>
        </is>
      </c>
      <c r="I49" s="8" t="inlineStr">
        <is>
          <t>nitrile_other</t>
        </is>
      </c>
      <c r="J49" s="8" t="n">
        <v>100</v>
      </c>
      <c r="K49" s="8" t="n">
        <v>0</v>
      </c>
      <c r="L49" s="8" t="n">
        <v>0</v>
      </c>
      <c r="M49" s="8" t="n">
        <v>0</v>
      </c>
      <c r="N49" s="8" t="n">
        <v>0</v>
      </c>
      <c r="O49" s="8" t="n">
        <v>0</v>
      </c>
      <c r="P49" s="8" t="n">
        <v>0</v>
      </c>
      <c r="Q49" s="8" t="n">
        <v>0</v>
      </c>
      <c r="R49" s="8" t="n">
        <v>15</v>
      </c>
      <c r="S49" s="8" t="n">
        <v>0</v>
      </c>
      <c r="T49" s="8" t="n">
        <v>0</v>
      </c>
      <c r="U49" s="8" t="n">
        <v>1.2</v>
      </c>
      <c r="V49" s="8" t="n">
        <v>0</v>
      </c>
      <c r="W49" s="8" t="n">
        <v>0</v>
      </c>
      <c r="X49" s="8" t="n">
        <v>0</v>
      </c>
      <c r="Y49" s="8" t="inlineStr">
        <is>
          <t>AFTA-Ph 1.2; polyimide UIP-S 15</t>
        </is>
      </c>
      <c r="Z49" s="8" t="n">
        <v>73</v>
      </c>
      <c r="AA49" s="8" t="n">
        <v>12.85</v>
      </c>
      <c r="AB49" s="8" t="n">
        <v>256</v>
      </c>
      <c r="AC49" s="8" t="n">
        <v>4.9</v>
      </c>
      <c r="AD49" s="8" t="n">
        <v>31</v>
      </c>
      <c r="AE49" s="8" t="inlineStr">
        <is>
          <t>300C x 72h, AS-568A-214 O-ring</t>
        </is>
      </c>
      <c r="AF49" s="8" t="n"/>
      <c r="AG49" s="8" t="n"/>
      <c r="AH49" s="8" t="inlineStr">
        <is>
          <t>M100 and Tb in kgf/cm2 (x0.0980665 -&gt; MPa)</t>
        </is>
      </c>
      <c r="AI49" s="8" t="inlineStr">
        <is>
          <t>Table 2; AFTA-Ph = 2,2-bis[3-amino-4-(N-phenylamino)phenyl]hexafluoropropane; nitrile_curative = sum of curatives. CS 275C x 72h 18%, 275C x 168h 26%, 300C x 168h 44%. Cure: press 180C for T90 + oven 290C x 18 h. CS per JIS K6301 on AS-568A-214 O-ring. Example 1 (Si3N4 0.20) omitted: no properties reported.</t>
        </is>
      </c>
    </row>
    <row r="50">
      <c r="A50" s="8" t="inlineStr">
        <is>
          <t>US8211964B2</t>
        </is>
      </c>
      <c r="B50" s="8" t="inlineStr">
        <is>
          <t>patent</t>
        </is>
      </c>
      <c r="C50" s="8" t="inlineStr">
        <is>
          <t>Daikin Industries, Ltd.</t>
        </is>
      </c>
      <c r="D50" s="8" t="inlineStr">
        <is>
          <t>Curable composition, molded article obtained from same and process for production of molded article</t>
        </is>
      </c>
      <c r="E50" s="8" t="inlineStr">
        <is>
          <t>https://patents.google.com/patent/US8211964B2/en</t>
        </is>
      </c>
      <c r="F50" s="8" t="inlineStr">
        <is>
          <t>Example 7</t>
        </is>
      </c>
      <c r="G50" s="8" t="inlineStr">
        <is>
          <t>FFKM</t>
        </is>
      </c>
      <c r="H50" s="8" t="inlineStr">
        <is>
          <t>TFE/PMVE/CNVE (CF2=CFOCF2CF(CF3)OCF2CF2CN) elastomer with cyano end groups (Preparation Example 1)</t>
        </is>
      </c>
      <c r="I50" s="8" t="inlineStr">
        <is>
          <t>nitrile_other</t>
        </is>
      </c>
      <c r="J50" s="8" t="n">
        <v>100</v>
      </c>
      <c r="K50" s="8" t="n">
        <v>0</v>
      </c>
      <c r="L50" s="8" t="n">
        <v>10</v>
      </c>
      <c r="M50" s="8" t="n">
        <v>0</v>
      </c>
      <c r="N50" s="8" t="n">
        <v>0</v>
      </c>
      <c r="O50" s="8" t="n">
        <v>0</v>
      </c>
      <c r="P50" s="8" t="n">
        <v>0</v>
      </c>
      <c r="Q50" s="8" t="n">
        <v>0</v>
      </c>
      <c r="R50" s="8" t="n">
        <v>0</v>
      </c>
      <c r="S50" s="8" t="n">
        <v>0</v>
      </c>
      <c r="T50" s="8" t="n">
        <v>0</v>
      </c>
      <c r="U50" s="8" t="n">
        <v>1.3</v>
      </c>
      <c r="V50" s="8" t="n">
        <v>0</v>
      </c>
      <c r="W50" s="8" t="n">
        <v>0</v>
      </c>
      <c r="X50" s="8" t="n">
        <v>0</v>
      </c>
      <c r="Y50" s="8" t="inlineStr">
        <is>
          <t>AFTA-Ph 1.2 + Si3N4 SN-A00 (30 nm) 0.1; SiO2 M-7D 10</t>
        </is>
      </c>
      <c r="Z50" s="8" t="n">
        <v>77</v>
      </c>
      <c r="AA50" s="8" t="n">
        <v>17.65</v>
      </c>
      <c r="AB50" s="8" t="n">
        <v>310</v>
      </c>
      <c r="AC50" s="8" t="n">
        <v>5</v>
      </c>
      <c r="AD50" s="8" t="n">
        <v>53</v>
      </c>
      <c r="AE50" s="8" t="inlineStr">
        <is>
          <t>300C x 72h, AS-568A-214 O-ring</t>
        </is>
      </c>
      <c r="AF50" s="8" t="n"/>
      <c r="AG50" s="8" t="n"/>
      <c r="AH50" s="8" t="inlineStr">
        <is>
          <t>M100 and Tb in kgf/cm2 (x0.0980665 -&gt; MPa)</t>
        </is>
      </c>
      <c r="AI50" s="8" t="inlineStr">
        <is>
          <t>Table 2; AFTA-Ph = 2,2-bis[3-amino-4-(N-phenylamino)phenyl]hexafluoropropane; nitrile_curative = sum of curatives. CS 275C x 72h 43%, 275C x 168h 50%, 300C x 168h 71%. Cure: press 180C for T90 + oven 290C x 18 h. CS per JIS K6301 on AS-568A-214 O-ring. Example 1 (Si3N4 0.20) omitted: no properties reported.</t>
        </is>
      </c>
    </row>
    <row r="51">
      <c r="A51" s="8" t="inlineStr">
        <is>
          <t>US8211964B2</t>
        </is>
      </c>
      <c r="B51" s="8" t="inlineStr">
        <is>
          <t>patent</t>
        </is>
      </c>
      <c r="C51" s="8" t="inlineStr">
        <is>
          <t>Daikin Industries, Ltd.</t>
        </is>
      </c>
      <c r="D51" s="8" t="inlineStr">
        <is>
          <t>Curable composition, molded article obtained from same and process for production of molded article</t>
        </is>
      </c>
      <c r="E51" s="8" t="inlineStr">
        <is>
          <t>https://patents.google.com/patent/US8211964B2/en</t>
        </is>
      </c>
      <c r="F51" s="8" t="inlineStr">
        <is>
          <t>Comparative Example 2</t>
        </is>
      </c>
      <c r="G51" s="8" t="inlineStr">
        <is>
          <t>FFKM</t>
        </is>
      </c>
      <c r="H51" s="8" t="inlineStr">
        <is>
          <t>TFE/PMVE/CNVE (CF2=CFOCF2CF(CF3)OCF2CF2CN) elastomer with cyano end groups (Preparation Example 1)</t>
        </is>
      </c>
      <c r="I51" s="8" t="inlineStr">
        <is>
          <t>nitrile_other</t>
        </is>
      </c>
      <c r="J51" s="8" t="n">
        <v>100</v>
      </c>
      <c r="K51" s="8" t="n">
        <v>0</v>
      </c>
      <c r="L51" s="8" t="n">
        <v>10</v>
      </c>
      <c r="M51" s="8" t="n">
        <v>0</v>
      </c>
      <c r="N51" s="8" t="n">
        <v>0</v>
      </c>
      <c r="O51" s="8" t="n">
        <v>0</v>
      </c>
      <c r="P51" s="8" t="n">
        <v>0</v>
      </c>
      <c r="Q51" s="8" t="n">
        <v>0</v>
      </c>
      <c r="R51" s="8" t="n">
        <v>0</v>
      </c>
      <c r="S51" s="8" t="n">
        <v>0</v>
      </c>
      <c r="T51" s="8" t="n">
        <v>0</v>
      </c>
      <c r="U51" s="8" t="n">
        <v>1.2</v>
      </c>
      <c r="V51" s="8" t="n">
        <v>0</v>
      </c>
      <c r="W51" s="8" t="n">
        <v>0</v>
      </c>
      <c r="X51" s="8" t="n">
        <v>0</v>
      </c>
      <c r="Y51" s="8" t="inlineStr">
        <is>
          <t>AFTA-Ph 1.2; SiO2 M-7D 10</t>
        </is>
      </c>
      <c r="Z51" s="8" t="n">
        <v>75</v>
      </c>
      <c r="AA51" s="8" t="n">
        <v>17.06</v>
      </c>
      <c r="AB51" s="8" t="n">
        <v>288</v>
      </c>
      <c r="AC51" s="8" t="n">
        <v>5.1</v>
      </c>
      <c r="AD51" s="8" t="n">
        <v>72</v>
      </c>
      <c r="AE51" s="8" t="inlineStr">
        <is>
          <t>300C x 72h, AS-568A-214 O-ring</t>
        </is>
      </c>
      <c r="AF51" s="8" t="n"/>
      <c r="AG51" s="8" t="n"/>
      <c r="AH51" s="8" t="inlineStr">
        <is>
          <t>M100 and Tb in kgf/cm2 (x0.0980665 -&gt; MPa)</t>
        </is>
      </c>
      <c r="AI51" s="8" t="inlineStr">
        <is>
          <t>Table 2; AFTA-Ph = 2,2-bis[3-amino-4-(N-phenylamino)phenyl]hexafluoropropane; nitrile_curative = sum of curatives. CS 275C x 72h 58%, 275C x 168h 67%, 300C x 168h 88%. Cure: press 180C for T90 + oven 290C x 18 h. CS per JIS K6301 on AS-568A-214 O-ring. Example 1 (Si3N4 0.20) omitted: no properties reported.</t>
        </is>
      </c>
    </row>
    <row r="52">
      <c r="A52" s="8" t="inlineStr">
        <is>
          <t>US8211964B2</t>
        </is>
      </c>
      <c r="B52" s="8" t="inlineStr">
        <is>
          <t>patent</t>
        </is>
      </c>
      <c r="C52" s="8" t="inlineStr">
        <is>
          <t>Daikin Industries, Ltd.</t>
        </is>
      </c>
      <c r="D52" s="8" t="inlineStr">
        <is>
          <t>Curable composition, molded article obtained from same and process for production of molded article</t>
        </is>
      </c>
      <c r="E52" s="8" t="inlineStr">
        <is>
          <t>https://patents.google.com/patent/US8211964B2/en</t>
        </is>
      </c>
      <c r="F52" s="8" t="inlineStr">
        <is>
          <t>Example 8</t>
        </is>
      </c>
      <c r="G52" s="8" t="inlineStr">
        <is>
          <t>FFKM</t>
        </is>
      </c>
      <c r="H52" s="8" t="inlineStr">
        <is>
          <t>TFE/PMVE/CNVE (CF2=CFOCF2CF(CF3)OCF2CF2CN) elastomer with cyano end groups (Preparation Example 1)</t>
        </is>
      </c>
      <c r="I52" s="8" t="inlineStr">
        <is>
          <t>nitrile_other</t>
        </is>
      </c>
      <c r="J52" s="8" t="n">
        <v>100</v>
      </c>
      <c r="K52" s="8" t="n">
        <v>20</v>
      </c>
      <c r="L52" s="8" t="n">
        <v>0</v>
      </c>
      <c r="M52" s="8" t="n">
        <v>0</v>
      </c>
      <c r="N52" s="8" t="n">
        <v>0</v>
      </c>
      <c r="O52" s="8" t="n">
        <v>0</v>
      </c>
      <c r="P52" s="8" t="n">
        <v>0</v>
      </c>
      <c r="Q52" s="8" t="n">
        <v>5</v>
      </c>
      <c r="R52" s="8" t="n">
        <v>0</v>
      </c>
      <c r="S52" s="8" t="n">
        <v>0</v>
      </c>
      <c r="T52" s="8" t="n">
        <v>0</v>
      </c>
      <c r="U52" s="8" t="n">
        <v>1</v>
      </c>
      <c r="V52" s="8" t="n">
        <v>0</v>
      </c>
      <c r="W52" s="8" t="n">
        <v>0</v>
      </c>
      <c r="X52" s="8" t="n">
        <v>0</v>
      </c>
      <c r="Y52" s="8" t="inlineStr">
        <is>
          <t>AFTA-Ph 1.0; Si3N4 SN-E10 (&lt;=300 nm) 5 (curing accelerator, counted as inorganic filler); carbon Thermax N990 20</t>
        </is>
      </c>
      <c r="Z52" s="8" t="n">
        <v>83</v>
      </c>
      <c r="AA52" s="8" t="n">
        <v>18.63</v>
      </c>
      <c r="AB52" s="8" t="n">
        <v>205</v>
      </c>
      <c r="AC52" s="8" t="n">
        <v>6.37</v>
      </c>
      <c r="AD52" s="8" t="n">
        <v>32</v>
      </c>
      <c r="AE52" s="8" t="inlineStr">
        <is>
          <t>300C x 72h, AS-568A-214 O-ring</t>
        </is>
      </c>
      <c r="AF52" s="8" t="n"/>
      <c r="AG52" s="8" t="n"/>
      <c r="AH52" s="8" t="inlineStr">
        <is>
          <t>M100 and Tb in kgf/cm2 (x0.0980665 -&gt; MPa)</t>
        </is>
      </c>
      <c r="AI52" s="8" t="inlineStr">
        <is>
          <t>Table 2; AFTA-Ph = 2,2-bis[3-amino-4-(N-phenylamino)phenyl]hexafluoropropane; nitrile_curative = sum of curatives. CS 275C x 72h 22%, 275C x 168h 25%, 300C x 168h 39%. Cure: press 180C for T90 + oven 290C x 18 h. CS per JIS K6301 on AS-568A-214 O-ring. Example 1 (Si3N4 0.20) omitted: no properties reported.</t>
        </is>
      </c>
    </row>
    <row r="53">
      <c r="A53" s="8" t="inlineStr">
        <is>
          <t>US8211964B2</t>
        </is>
      </c>
      <c r="B53" s="8" t="inlineStr">
        <is>
          <t>patent</t>
        </is>
      </c>
      <c r="C53" s="8" t="inlineStr">
        <is>
          <t>Daikin Industries, Ltd.</t>
        </is>
      </c>
      <c r="D53" s="8" t="inlineStr">
        <is>
          <t>Curable composition, molded article obtained from same and process for production of molded article</t>
        </is>
      </c>
      <c r="E53" s="8" t="inlineStr">
        <is>
          <t>https://patents.google.com/patent/US8211964B2/en</t>
        </is>
      </c>
      <c r="F53" s="8" t="inlineStr">
        <is>
          <t>Comparative Example 3</t>
        </is>
      </c>
      <c r="G53" s="8" t="inlineStr">
        <is>
          <t>FFKM</t>
        </is>
      </c>
      <c r="H53" s="8" t="inlineStr">
        <is>
          <t>TFE/PMVE/CNVE (CF2=CFOCF2CF(CF3)OCF2CF2CN) elastomer with cyano end groups (Preparation Example 1)</t>
        </is>
      </c>
      <c r="I53" s="8" t="inlineStr">
        <is>
          <t>nitrile_other</t>
        </is>
      </c>
      <c r="J53" s="8" t="n">
        <v>100</v>
      </c>
      <c r="K53" s="8" t="n">
        <v>20</v>
      </c>
      <c r="L53" s="8" t="n">
        <v>0</v>
      </c>
      <c r="M53" s="8" t="n">
        <v>0</v>
      </c>
      <c r="N53" s="8" t="n">
        <v>0</v>
      </c>
      <c r="O53" s="8" t="n">
        <v>0</v>
      </c>
      <c r="P53" s="8" t="n">
        <v>0</v>
      </c>
      <c r="Q53" s="8" t="n">
        <v>0</v>
      </c>
      <c r="R53" s="8" t="n">
        <v>0</v>
      </c>
      <c r="S53" s="8" t="n">
        <v>0</v>
      </c>
      <c r="T53" s="8" t="n">
        <v>0</v>
      </c>
      <c r="U53" s="8" t="n">
        <v>1</v>
      </c>
      <c r="V53" s="8" t="n">
        <v>0</v>
      </c>
      <c r="W53" s="8" t="n">
        <v>0</v>
      </c>
      <c r="X53" s="8" t="n">
        <v>0</v>
      </c>
      <c r="Y53" s="8" t="inlineStr">
        <is>
          <t>AFTA-Ph 1.0; carbon Thermax N990 20</t>
        </is>
      </c>
      <c r="Z53" s="8" t="n">
        <v>73</v>
      </c>
      <c r="AA53" s="8" t="n">
        <v>22.56</v>
      </c>
      <c r="AB53" s="8" t="n">
        <v>200</v>
      </c>
      <c r="AC53" s="8" t="n">
        <v>5.88</v>
      </c>
      <c r="AD53" s="8" t="n">
        <v>30</v>
      </c>
      <c r="AE53" s="8" t="inlineStr">
        <is>
          <t>300C x 72h, AS-568A-214 O-ring</t>
        </is>
      </c>
      <c r="AF53" s="8" t="n"/>
      <c r="AG53" s="8" t="n"/>
      <c r="AH53" s="8" t="inlineStr">
        <is>
          <t>M100 and Tb in kgf/cm2 (x0.0980665 -&gt; MPa)</t>
        </is>
      </c>
      <c r="AI53" s="8" t="inlineStr">
        <is>
          <t>Table 2; AFTA-Ph = 2,2-bis[3-amino-4-(N-phenylamino)phenyl]hexafluoropropane; nitrile_curative = sum of curatives. CS 275C x 72h 22%, 275C x 168h 25%, 300C x 168h 38%. Cure: press 180C for T90 + oven 290C x 18 h. CS per JIS K6301 on AS-568A-214 O-ring. Example 1 (Si3N4 0.20) omitted: no properties reported.</t>
        </is>
      </c>
    </row>
    <row r="54">
      <c r="A54" s="8" t="inlineStr">
        <is>
          <t>US11753523B2</t>
        </is>
      </c>
      <c r="B54" s="8" t="inlineStr">
        <is>
          <t>patent</t>
        </is>
      </c>
      <c r="C54" s="8" t="inlineStr">
        <is>
          <t>Daikin Industries, Ltd.</t>
        </is>
      </c>
      <c r="D54" s="8" t="inlineStr">
        <is>
          <t>Crosslinkable elastomer composition and fluororubber molded article</t>
        </is>
      </c>
      <c r="E54" s="8" t="inlineStr">
        <is>
          <t>https://patents.google.com/patent/US11753523B2/en</t>
        </is>
      </c>
      <c r="F54" s="8" t="inlineStr">
        <is>
          <t>Example 1</t>
        </is>
      </c>
      <c r="G54" s="8" t="inlineStr">
        <is>
          <t>FFKM</t>
        </is>
      </c>
      <c r="H54" s="8" t="inlineStr">
        <is>
          <t>TFE/PMVE/CNVE 59.4/40.1/0.5 mol</t>
        </is>
      </c>
      <c r="I54" s="8" t="inlineStr">
        <is>
          <t>nitrile_other</t>
        </is>
      </c>
      <c r="J54" s="8" t="n">
        <v>100</v>
      </c>
      <c r="K54" s="8" t="n">
        <v>0</v>
      </c>
      <c r="L54" s="8" t="n">
        <v>0</v>
      </c>
      <c r="M54" s="8" t="n">
        <v>0</v>
      </c>
      <c r="N54" s="8" t="n">
        <v>0</v>
      </c>
      <c r="O54" s="8" t="n">
        <v>0</v>
      </c>
      <c r="P54" s="8" t="n">
        <v>0</v>
      </c>
      <c r="Q54" s="8" t="n">
        <v>10</v>
      </c>
      <c r="R54" s="8" t="n">
        <v>0</v>
      </c>
      <c r="S54" s="8" t="n">
        <v>0</v>
      </c>
      <c r="T54" s="8" t="n">
        <v>0</v>
      </c>
      <c r="U54" s="8" t="n">
        <v>0.9</v>
      </c>
      <c r="V54" s="8" t="n">
        <v>0</v>
      </c>
      <c r="W54" s="8" t="n">
        <v>0</v>
      </c>
      <c r="X54" s="8" t="n">
        <v>0</v>
      </c>
      <c r="Y54" s="8" t="inlineStr">
        <is>
          <t>surface-oxidized SiC (NM-SiC 30 nm heat-treated 800C x 1 h in air) 10; NphAF 0.9 (2,2-bis[3-amino-4-(N-phenylamino)phenyl]hexafluoropropane)</t>
        </is>
      </c>
      <c r="Z54" s="8" t="n">
        <v>72</v>
      </c>
      <c r="AA54" s="8" t="n"/>
      <c r="AB54" s="8" t="n"/>
      <c r="AC54" s="8" t="n"/>
      <c r="AD54" s="8" t="n">
        <v>33</v>
      </c>
      <c r="AE54" s="8" t="inlineStr">
        <is>
          <t>300C x 70h, AS-568A-214 O-ring (JIS K6262)</t>
        </is>
      </c>
      <c r="AF54" s="8" t="n">
        <v>1.9</v>
      </c>
      <c r="AG54" s="8" t="inlineStr">
        <is>
          <t>O2 plasma, ICP RIE-101iPH, 16 sccm, 400 W, 2.66 Pa, 30 min, 100C, P-24 O-ring</t>
        </is>
      </c>
      <c r="AH54" s="8" t="inlineStr">
        <is>
          <t>as reported (Shore A, %)</t>
        </is>
      </c>
      <c r="AI54" s="8" t="inlineStr">
        <is>
          <t>Table 1 (US11753523B2). CS 300C x 168h: n/r%. NF3 plasma weight loss: 1.79%. Cure: press 180C x 30 min + oven (200-)290C x 18 h.</t>
        </is>
      </c>
    </row>
    <row r="55">
      <c r="A55" s="8" t="inlineStr">
        <is>
          <t>US11753523B2</t>
        </is>
      </c>
      <c r="B55" s="8" t="inlineStr">
        <is>
          <t>patent</t>
        </is>
      </c>
      <c r="C55" s="8" t="inlineStr">
        <is>
          <t>Daikin Industries, Ltd.</t>
        </is>
      </c>
      <c r="D55" s="8" t="inlineStr">
        <is>
          <t>Crosslinkable elastomer composition and fluororubber molded article</t>
        </is>
      </c>
      <c r="E55" s="8" t="inlineStr">
        <is>
          <t>https://patents.google.com/patent/US11753523B2/en</t>
        </is>
      </c>
      <c r="F55" s="8" t="inlineStr">
        <is>
          <t>Example 2</t>
        </is>
      </c>
      <c r="G55" s="8" t="inlineStr">
        <is>
          <t>FFKM</t>
        </is>
      </c>
      <c r="H55" s="8" t="inlineStr">
        <is>
          <t>TFE/PMVE/CNVE 59.4/40.1/0.5 mol</t>
        </is>
      </c>
      <c r="I55" s="8" t="inlineStr">
        <is>
          <t>nitrile_triazine</t>
        </is>
      </c>
      <c r="J55" s="8" t="n">
        <v>100</v>
      </c>
      <c r="K55" s="8" t="n">
        <v>0</v>
      </c>
      <c r="L55" s="8" t="n">
        <v>0</v>
      </c>
      <c r="M55" s="8" t="n">
        <v>0</v>
      </c>
      <c r="N55" s="8" t="n">
        <v>0</v>
      </c>
      <c r="O55" s="8" t="n">
        <v>0</v>
      </c>
      <c r="P55" s="8" t="n">
        <v>0</v>
      </c>
      <c r="Q55" s="8" t="n">
        <v>10</v>
      </c>
      <c r="R55" s="8" t="n">
        <v>0</v>
      </c>
      <c r="S55" s="8" t="n">
        <v>0</v>
      </c>
      <c r="T55" s="8" t="n">
        <v>0</v>
      </c>
      <c r="U55" s="8" t="n">
        <v>0.4</v>
      </c>
      <c r="V55" s="8" t="n">
        <v>0</v>
      </c>
      <c r="W55" s="8" t="n">
        <v>0</v>
      </c>
      <c r="X55" s="8" t="n">
        <v>0</v>
      </c>
      <c r="Y55" s="8" t="inlineStr">
        <is>
          <t>surface-oxidized SiC (NM-SiC 30 nm heat-treated 800C x 1 h in air) 10; Si3N4 (0.03 um) 0.4 (triazine-cure catalyst)</t>
        </is>
      </c>
      <c r="Z55" s="8" t="n">
        <v>71</v>
      </c>
      <c r="AA55" s="8" t="n"/>
      <c r="AB55" s="8" t="n"/>
      <c r="AC55" s="8" t="n"/>
      <c r="AD55" s="8" t="n">
        <v>33</v>
      </c>
      <c r="AE55" s="8" t="inlineStr">
        <is>
          <t>300C x 70h, AS-568A-214 O-ring (JIS K6262)</t>
        </is>
      </c>
      <c r="AF55" s="8" t="n">
        <v>1.89</v>
      </c>
      <c r="AG55" s="8" t="inlineStr">
        <is>
          <t>O2 plasma, ICP RIE-101iPH, 16 sccm, 400 W, 2.66 Pa, 30 min, 100C, P-24 O-ring</t>
        </is>
      </c>
      <c r="AH55" s="8" t="inlineStr">
        <is>
          <t>as reported (Shore A, %)</t>
        </is>
      </c>
      <c r="AI55" s="8" t="inlineStr">
        <is>
          <t>Table 1 (US11753523B2). CS 300C x 168h: n/r%. NF3 plasma weight loss: 1.78%. Cure: press 180C x 30 min + oven (200-)290C x 18 h.</t>
        </is>
      </c>
    </row>
    <row r="56">
      <c r="A56" s="8" t="inlineStr">
        <is>
          <t>US11753523B2</t>
        </is>
      </c>
      <c r="B56" s="8" t="inlineStr">
        <is>
          <t>patent</t>
        </is>
      </c>
      <c r="C56" s="8" t="inlineStr">
        <is>
          <t>Daikin Industries, Ltd.</t>
        </is>
      </c>
      <c r="D56" s="8" t="inlineStr">
        <is>
          <t>Crosslinkable elastomer composition and fluororubber molded article</t>
        </is>
      </c>
      <c r="E56" s="8" t="inlineStr">
        <is>
          <t>https://patents.google.com/patent/US11753523B2/en</t>
        </is>
      </c>
      <c r="F56" s="8" t="inlineStr">
        <is>
          <t>Example 3</t>
        </is>
      </c>
      <c r="G56" s="8" t="inlineStr">
        <is>
          <t>FFKM</t>
        </is>
      </c>
      <c r="H56" s="8" t="inlineStr">
        <is>
          <t>TFE/PMVE/CNVE 59.4/40.1/0.5 mol</t>
        </is>
      </c>
      <c r="I56" s="8" t="inlineStr">
        <is>
          <t>nitrile_other</t>
        </is>
      </c>
      <c r="J56" s="8" t="n">
        <v>100</v>
      </c>
      <c r="K56" s="8" t="n">
        <v>0</v>
      </c>
      <c r="L56" s="8" t="n">
        <v>0</v>
      </c>
      <c r="M56" s="8" t="n">
        <v>0</v>
      </c>
      <c r="N56" s="8" t="n">
        <v>0</v>
      </c>
      <c r="O56" s="8" t="n">
        <v>0</v>
      </c>
      <c r="P56" s="8" t="n">
        <v>0</v>
      </c>
      <c r="Q56" s="8" t="n">
        <v>15</v>
      </c>
      <c r="R56" s="8" t="n">
        <v>0</v>
      </c>
      <c r="S56" s="8" t="n">
        <v>0</v>
      </c>
      <c r="T56" s="8" t="n">
        <v>0</v>
      </c>
      <c r="U56" s="8" t="n">
        <v>0.9</v>
      </c>
      <c r="V56" s="8" t="n">
        <v>0</v>
      </c>
      <c r="W56" s="8" t="n">
        <v>0</v>
      </c>
      <c r="X56" s="8" t="n">
        <v>0</v>
      </c>
      <c r="Y56" s="8" t="inlineStr">
        <is>
          <t>surface-oxidized SiC (NM-SiC 30 nm heat-treated 800C x 1 h in air) 15; NphAF 0.9 (2,2-bis[3-amino-4-(N-phenylamino)phenyl]hexafluoropropane)</t>
        </is>
      </c>
      <c r="Z56" s="8" t="n">
        <v>75</v>
      </c>
      <c r="AA56" s="8" t="n"/>
      <c r="AB56" s="8" t="n"/>
      <c r="AC56" s="8" t="n"/>
      <c r="AD56" s="8" t="n">
        <v>42</v>
      </c>
      <c r="AE56" s="8" t="inlineStr">
        <is>
          <t>300C x 70h, AS-568A-214 O-ring (JIS K6262)</t>
        </is>
      </c>
      <c r="AF56" s="8" t="n">
        <v>1.42</v>
      </c>
      <c r="AG56" s="8" t="inlineStr">
        <is>
          <t>O2 plasma, ICP RIE-101iPH, 16 sccm, 400 W, 2.66 Pa, 30 min, 100C, P-24 O-ring</t>
        </is>
      </c>
      <c r="AH56" s="8" t="inlineStr">
        <is>
          <t>as reported (Shore A, %)</t>
        </is>
      </c>
      <c r="AI56" s="8" t="inlineStr">
        <is>
          <t>Table 1 (US11753523B2). CS 300C x 168h: 58%. NF3 plasma weight loss: 1.34%. Cure: press 180C x 30 min + oven (200-)290C x 18 h.</t>
        </is>
      </c>
    </row>
    <row r="57">
      <c r="A57" s="8" t="inlineStr">
        <is>
          <t>US11753523B2</t>
        </is>
      </c>
      <c r="B57" s="8" t="inlineStr">
        <is>
          <t>patent</t>
        </is>
      </c>
      <c r="C57" s="8" t="inlineStr">
        <is>
          <t>Daikin Industries, Ltd.</t>
        </is>
      </c>
      <c r="D57" s="8" t="inlineStr">
        <is>
          <t>Crosslinkable elastomer composition and fluororubber molded article</t>
        </is>
      </c>
      <c r="E57" s="8" t="inlineStr">
        <is>
          <t>https://patents.google.com/patent/US11753523B2/en</t>
        </is>
      </c>
      <c r="F57" s="8" t="inlineStr">
        <is>
          <t>Example 4</t>
        </is>
      </c>
      <c r="G57" s="8" t="inlineStr">
        <is>
          <t>FFKM</t>
        </is>
      </c>
      <c r="H57" s="8" t="inlineStr">
        <is>
          <t>TFE/PMVE/CNVE 59.4/40.1/0.5 mol</t>
        </is>
      </c>
      <c r="I57" s="8" t="inlineStr">
        <is>
          <t>nitrile_triazine</t>
        </is>
      </c>
      <c r="J57" s="8" t="n">
        <v>100</v>
      </c>
      <c r="K57" s="8" t="n">
        <v>0</v>
      </c>
      <c r="L57" s="8" t="n">
        <v>0</v>
      </c>
      <c r="M57" s="8" t="n">
        <v>0</v>
      </c>
      <c r="N57" s="8" t="n">
        <v>0</v>
      </c>
      <c r="O57" s="8" t="n">
        <v>0</v>
      </c>
      <c r="P57" s="8" t="n">
        <v>0</v>
      </c>
      <c r="Q57" s="8" t="n">
        <v>15</v>
      </c>
      <c r="R57" s="8" t="n">
        <v>0</v>
      </c>
      <c r="S57" s="8" t="n">
        <v>0</v>
      </c>
      <c r="T57" s="8" t="n">
        <v>0</v>
      </c>
      <c r="U57" s="8" t="n">
        <v>0.4</v>
      </c>
      <c r="V57" s="8" t="n">
        <v>0</v>
      </c>
      <c r="W57" s="8" t="n">
        <v>0</v>
      </c>
      <c r="X57" s="8" t="n">
        <v>0</v>
      </c>
      <c r="Y57" s="8" t="inlineStr">
        <is>
          <t>surface-oxidized SiC (NM-SiC 30 nm heat-treated 800C x 1 h in air) 15; Si3N4 (0.03 um) 0.4 (triazine-cure catalyst)</t>
        </is>
      </c>
      <c r="Z57" s="8" t="n">
        <v>75</v>
      </c>
      <c r="AA57" s="8" t="n"/>
      <c r="AB57" s="8" t="n"/>
      <c r="AC57" s="8" t="n"/>
      <c r="AD57" s="8" t="n">
        <v>36</v>
      </c>
      <c r="AE57" s="8" t="inlineStr">
        <is>
          <t>300C x 70h, AS-568A-214 O-ring (JIS K6262)</t>
        </is>
      </c>
      <c r="AF57" s="8" t="n">
        <v>1.4</v>
      </c>
      <c r="AG57" s="8" t="inlineStr">
        <is>
          <t>O2 plasma, ICP RIE-101iPH, 16 sccm, 400 W, 2.66 Pa, 30 min, 100C, P-24 O-ring</t>
        </is>
      </c>
      <c r="AH57" s="8" t="inlineStr">
        <is>
          <t>as reported (Shore A, %)</t>
        </is>
      </c>
      <c r="AI57" s="8" t="inlineStr">
        <is>
          <t>Table 1 (US11753523B2). CS 300C x 168h: 46%. NF3 plasma weight loss: 1.43%. Cure: press 180C x 30 min + oven (200-)290C x 18 h.</t>
        </is>
      </c>
    </row>
    <row r="58">
      <c r="A58" s="8" t="inlineStr">
        <is>
          <t>US11753523B2</t>
        </is>
      </c>
      <c r="B58" s="8" t="inlineStr">
        <is>
          <t>patent</t>
        </is>
      </c>
      <c r="C58" s="8" t="inlineStr">
        <is>
          <t>Daikin Industries, Ltd.</t>
        </is>
      </c>
      <c r="D58" s="8" t="inlineStr">
        <is>
          <t>Crosslinkable elastomer composition and fluororubber molded article</t>
        </is>
      </c>
      <c r="E58" s="8" t="inlineStr">
        <is>
          <t>https://patents.google.com/patent/US11753523B2/en</t>
        </is>
      </c>
      <c r="F58" s="8" t="inlineStr">
        <is>
          <t>Example 5</t>
        </is>
      </c>
      <c r="G58" s="8" t="inlineStr">
        <is>
          <t>FFKM</t>
        </is>
      </c>
      <c r="H58" s="8" t="inlineStr">
        <is>
          <t>TFE/PMVE/CNVE 59.4/40.1/0.5 mol</t>
        </is>
      </c>
      <c r="I58" s="8" t="inlineStr">
        <is>
          <t>nitrile_triazine</t>
        </is>
      </c>
      <c r="J58" s="8" t="n">
        <v>100</v>
      </c>
      <c r="K58" s="8" t="n">
        <v>0</v>
      </c>
      <c r="L58" s="8" t="n">
        <v>0</v>
      </c>
      <c r="M58" s="8" t="n">
        <v>0</v>
      </c>
      <c r="N58" s="8" t="n">
        <v>0</v>
      </c>
      <c r="O58" s="8" t="n">
        <v>0</v>
      </c>
      <c r="P58" s="8" t="n">
        <v>0</v>
      </c>
      <c r="Q58" s="8" t="n">
        <v>20</v>
      </c>
      <c r="R58" s="8" t="n">
        <v>0</v>
      </c>
      <c r="S58" s="8" t="n">
        <v>0</v>
      </c>
      <c r="T58" s="8" t="n">
        <v>0</v>
      </c>
      <c r="U58" s="8" t="n">
        <v>0.4</v>
      </c>
      <c r="V58" s="8" t="n">
        <v>0</v>
      </c>
      <c r="W58" s="8" t="n">
        <v>0</v>
      </c>
      <c r="X58" s="8" t="n">
        <v>0</v>
      </c>
      <c r="Y58" s="8" t="inlineStr">
        <is>
          <t>surface-oxidized SiC (NM-SiC 30 nm heat-treated 800C x 1 h in air) 20; Si3N4 (0.03 um) 0.4 (triazine-cure catalyst)</t>
        </is>
      </c>
      <c r="Z58" s="8" t="n">
        <v>80</v>
      </c>
      <c r="AA58" s="8" t="n"/>
      <c r="AB58" s="8" t="n"/>
      <c r="AC58" s="8" t="n"/>
      <c r="AD58" s="8" t="n">
        <v>47</v>
      </c>
      <c r="AE58" s="8" t="inlineStr">
        <is>
          <t>300C x 70h, AS-568A-214 O-ring (JIS K6262)</t>
        </is>
      </c>
      <c r="AF58" s="8" t="n">
        <v>0.98</v>
      </c>
      <c r="AG58" s="8" t="inlineStr">
        <is>
          <t>O2 plasma, ICP RIE-101iPH, 16 sccm, 400 W, 2.66 Pa, 30 min, 100C, P-24 O-ring</t>
        </is>
      </c>
      <c r="AH58" s="8" t="inlineStr">
        <is>
          <t>as reported (Shore A, %)</t>
        </is>
      </c>
      <c r="AI58" s="8" t="inlineStr">
        <is>
          <t>Table 1 (US11753523B2). CS 300C x 168h: n/r%. NF3 plasma weight loss: 1.39%. Cure: press 180C x 30 min + oven (200-)290C x 18 h.</t>
        </is>
      </c>
    </row>
    <row r="59">
      <c r="A59" s="8" t="inlineStr">
        <is>
          <t>US11753523B2</t>
        </is>
      </c>
      <c r="B59" s="8" t="inlineStr">
        <is>
          <t>patent</t>
        </is>
      </c>
      <c r="C59" s="8" t="inlineStr">
        <is>
          <t>Daikin Industries, Ltd.</t>
        </is>
      </c>
      <c r="D59" s="8" t="inlineStr">
        <is>
          <t>Crosslinkable elastomer composition and fluororubber molded article</t>
        </is>
      </c>
      <c r="E59" s="8" t="inlineStr">
        <is>
          <t>https://patents.google.com/patent/US11753523B2/en</t>
        </is>
      </c>
      <c r="F59" s="8" t="inlineStr">
        <is>
          <t>Comparative Example 1</t>
        </is>
      </c>
      <c r="G59" s="8" t="inlineStr">
        <is>
          <t>FFKM</t>
        </is>
      </c>
      <c r="H59" s="8" t="inlineStr">
        <is>
          <t>TFE/PMVE/CNVE 59.4/40.1/0.5 mol</t>
        </is>
      </c>
      <c r="I59" s="8" t="inlineStr">
        <is>
          <t>nitrile_other</t>
        </is>
      </c>
      <c r="J59" s="8" t="n">
        <v>100</v>
      </c>
      <c r="K59" s="8" t="n">
        <v>0</v>
      </c>
      <c r="L59" s="8" t="n">
        <v>0</v>
      </c>
      <c r="M59" s="8" t="n">
        <v>0</v>
      </c>
      <c r="N59" s="8" t="n">
        <v>0</v>
      </c>
      <c r="O59" s="8" t="n">
        <v>0</v>
      </c>
      <c r="P59" s="8" t="n">
        <v>0</v>
      </c>
      <c r="Q59" s="8" t="n">
        <v>10</v>
      </c>
      <c r="R59" s="8" t="n">
        <v>0</v>
      </c>
      <c r="S59" s="8" t="n">
        <v>0</v>
      </c>
      <c r="T59" s="8" t="n">
        <v>0</v>
      </c>
      <c r="U59" s="8" t="n">
        <v>0.9</v>
      </c>
      <c r="V59" s="8" t="n">
        <v>0</v>
      </c>
      <c r="W59" s="8" t="n">
        <v>0</v>
      </c>
      <c r="X59" s="8" t="n">
        <v>0</v>
      </c>
      <c r="Y59" s="8" t="inlineStr">
        <is>
          <t>SiC (0.03 um, untreated) 10; NphAF 0.9 (2,2-bis[3-amino-4-(N-phenylamino)phenyl]hexafluoropropane)</t>
        </is>
      </c>
      <c r="Z59" s="8" t="n">
        <v>72</v>
      </c>
      <c r="AA59" s="8" t="n"/>
      <c r="AB59" s="8" t="n"/>
      <c r="AC59" s="8" t="n"/>
      <c r="AD59" s="8" t="n">
        <v>43</v>
      </c>
      <c r="AE59" s="8" t="inlineStr">
        <is>
          <t>300C x 70h, AS-568A-214 O-ring (JIS K6262)</t>
        </is>
      </c>
      <c r="AF59" s="8" t="n">
        <v>1.92</v>
      </c>
      <c r="AG59" s="8" t="inlineStr">
        <is>
          <t>O2 plasma, ICP RIE-101iPH, 16 sccm, 400 W, 2.66 Pa, 30 min, 100C, P-24 O-ring</t>
        </is>
      </c>
      <c r="AH59" s="8" t="inlineStr">
        <is>
          <t>as reported (Shore A, %)</t>
        </is>
      </c>
      <c r="AI59" s="8" t="inlineStr">
        <is>
          <t>Table 1 (US11753523B2). Filler row assignment confirmed with the same table in continuation US12286523B2. CS 300C x 168h: n/r%. NF3 plasma weight loss: 1.82%. Cure: press 180C x 30 min + oven (200-)290C x 18 h.</t>
        </is>
      </c>
    </row>
    <row r="60">
      <c r="A60" s="8" t="inlineStr">
        <is>
          <t>US11753523B2</t>
        </is>
      </c>
      <c r="B60" s="8" t="inlineStr">
        <is>
          <t>patent</t>
        </is>
      </c>
      <c r="C60" s="8" t="inlineStr">
        <is>
          <t>Daikin Industries, Ltd.</t>
        </is>
      </c>
      <c r="D60" s="8" t="inlineStr">
        <is>
          <t>Crosslinkable elastomer composition and fluororubber molded article</t>
        </is>
      </c>
      <c r="E60" s="8" t="inlineStr">
        <is>
          <t>https://patents.google.com/patent/US11753523B2/en</t>
        </is>
      </c>
      <c r="F60" s="8" t="inlineStr">
        <is>
          <t>Comparative Example 2</t>
        </is>
      </c>
      <c r="G60" s="8" t="inlineStr">
        <is>
          <t>FFKM</t>
        </is>
      </c>
      <c r="H60" s="8" t="inlineStr">
        <is>
          <t>TFE/PMVE/CNVE 59.4/40.1/0.5 mol</t>
        </is>
      </c>
      <c r="I60" s="8" t="inlineStr">
        <is>
          <t>nitrile_triazine</t>
        </is>
      </c>
      <c r="J60" s="8" t="n">
        <v>100</v>
      </c>
      <c r="K60" s="8" t="n">
        <v>0</v>
      </c>
      <c r="L60" s="8" t="n">
        <v>0</v>
      </c>
      <c r="M60" s="8" t="n">
        <v>0</v>
      </c>
      <c r="N60" s="8" t="n">
        <v>0</v>
      </c>
      <c r="O60" s="8" t="n">
        <v>0</v>
      </c>
      <c r="P60" s="8" t="n">
        <v>0</v>
      </c>
      <c r="Q60" s="8" t="n">
        <v>10</v>
      </c>
      <c r="R60" s="8" t="n">
        <v>0</v>
      </c>
      <c r="S60" s="8" t="n">
        <v>0</v>
      </c>
      <c r="T60" s="8" t="n">
        <v>0</v>
      </c>
      <c r="U60" s="8" t="n">
        <v>0.4</v>
      </c>
      <c r="V60" s="8" t="n">
        <v>0</v>
      </c>
      <c r="W60" s="8" t="n">
        <v>0</v>
      </c>
      <c r="X60" s="8" t="n">
        <v>0</v>
      </c>
      <c r="Y60" s="8" t="inlineStr">
        <is>
          <t>SiC (0.03 um, untreated) 10; Si3N4 (0.03 um) 0.4 (triazine-cure catalyst)</t>
        </is>
      </c>
      <c r="Z60" s="8" t="n">
        <v>71</v>
      </c>
      <c r="AA60" s="8" t="n"/>
      <c r="AB60" s="8" t="n"/>
      <c r="AC60" s="8" t="n"/>
      <c r="AD60" s="8" t="n">
        <v>59</v>
      </c>
      <c r="AE60" s="8" t="inlineStr">
        <is>
          <t>300C x 70h, AS-568A-214 O-ring (JIS K6262)</t>
        </is>
      </c>
      <c r="AF60" s="8" t="n">
        <v>1.93</v>
      </c>
      <c r="AG60" s="8" t="inlineStr">
        <is>
          <t>O2 plasma, ICP RIE-101iPH, 16 sccm, 400 W, 2.66 Pa, 30 min, 100C, P-24 O-ring</t>
        </is>
      </c>
      <c r="AH60" s="8" t="inlineStr">
        <is>
          <t>as reported (Shore A, %)</t>
        </is>
      </c>
      <c r="AI60" s="8" t="inlineStr">
        <is>
          <t>Table 1 (US11753523B2). Filler row assignment confirmed with the same table in continuation US12286523B2. CS 300C x 168h: n/r%. NF3 plasma weight loss: 1.78%. Cure: press 180C x 30 min + oven (200-)290C x 18 h.</t>
        </is>
      </c>
    </row>
    <row r="61">
      <c r="A61" s="8" t="inlineStr">
        <is>
          <t>US11753523B2</t>
        </is>
      </c>
      <c r="B61" s="8" t="inlineStr">
        <is>
          <t>patent</t>
        </is>
      </c>
      <c r="C61" s="8" t="inlineStr">
        <is>
          <t>Daikin Industries, Ltd.</t>
        </is>
      </c>
      <c r="D61" s="8" t="inlineStr">
        <is>
          <t>Crosslinkable elastomer composition and fluororubber molded article</t>
        </is>
      </c>
      <c r="E61" s="8" t="inlineStr">
        <is>
          <t>https://patents.google.com/patent/US11753523B2/en</t>
        </is>
      </c>
      <c r="F61" s="8" t="inlineStr">
        <is>
          <t>Comparative Example 3</t>
        </is>
      </c>
      <c r="G61" s="8" t="inlineStr">
        <is>
          <t>FFKM</t>
        </is>
      </c>
      <c r="H61" s="8" t="inlineStr">
        <is>
          <t>TFE/PMVE/CNVE 59.4/40.1/0.5 mol</t>
        </is>
      </c>
      <c r="I61" s="8" t="inlineStr">
        <is>
          <t>nitrile_other</t>
        </is>
      </c>
      <c r="J61" s="8" t="n">
        <v>100</v>
      </c>
      <c r="K61" s="8" t="n">
        <v>0</v>
      </c>
      <c r="L61" s="8" t="n">
        <v>0</v>
      </c>
      <c r="M61" s="8" t="n">
        <v>0</v>
      </c>
      <c r="N61" s="8" t="n">
        <v>0</v>
      </c>
      <c r="O61" s="8" t="n">
        <v>0</v>
      </c>
      <c r="P61" s="8" t="n">
        <v>0</v>
      </c>
      <c r="Q61" s="8" t="n">
        <v>15</v>
      </c>
      <c r="R61" s="8" t="n">
        <v>0</v>
      </c>
      <c r="S61" s="8" t="n">
        <v>0</v>
      </c>
      <c r="T61" s="8" t="n">
        <v>0</v>
      </c>
      <c r="U61" s="8" t="n">
        <v>0.9</v>
      </c>
      <c r="V61" s="8" t="n">
        <v>0</v>
      </c>
      <c r="W61" s="8" t="n">
        <v>0</v>
      </c>
      <c r="X61" s="8" t="n">
        <v>0</v>
      </c>
      <c r="Y61" s="8" t="inlineStr">
        <is>
          <t>SiC (0.03 um, untreated) 15; NphAF 0.9 (2,2-bis[3-amino-4-(N-phenylamino)phenyl]hexafluoropropane)</t>
        </is>
      </c>
      <c r="Z61" s="8" t="n">
        <v>75</v>
      </c>
      <c r="AA61" s="8" t="n"/>
      <c r="AB61" s="8" t="n"/>
      <c r="AC61" s="8" t="n"/>
      <c r="AD61" s="8" t="n">
        <v>55</v>
      </c>
      <c r="AE61" s="8" t="inlineStr">
        <is>
          <t>300C x 70h, AS-568A-214 O-ring (JIS K6262)</t>
        </is>
      </c>
      <c r="AF61" s="8" t="n">
        <v>1.51</v>
      </c>
      <c r="AG61" s="8" t="inlineStr">
        <is>
          <t>O2 plasma, ICP RIE-101iPH, 16 sccm, 400 W, 2.66 Pa, 30 min, 100C, P-24 O-ring</t>
        </is>
      </c>
      <c r="AH61" s="8" t="inlineStr">
        <is>
          <t>as reported (Shore A, %)</t>
        </is>
      </c>
      <c r="AI61" s="8" t="inlineStr">
        <is>
          <t>Table 1 (US11753523B2). Filler row assignment confirmed with the same table in continuation US12286523B2. CS 300C x 168h: 75%. NF3 plasma weight loss: 1.42%. Cure: press 180C x 30 min + oven (200-)290C x 18 h.</t>
        </is>
      </c>
    </row>
    <row r="62">
      <c r="A62" s="8" t="inlineStr">
        <is>
          <t>US11753523B2</t>
        </is>
      </c>
      <c r="B62" s="8" t="inlineStr">
        <is>
          <t>patent</t>
        </is>
      </c>
      <c r="C62" s="8" t="inlineStr">
        <is>
          <t>Daikin Industries, Ltd.</t>
        </is>
      </c>
      <c r="D62" s="8" t="inlineStr">
        <is>
          <t>Crosslinkable elastomer composition and fluororubber molded article</t>
        </is>
      </c>
      <c r="E62" s="8" t="inlineStr">
        <is>
          <t>https://patents.google.com/patent/US11753523B2/en</t>
        </is>
      </c>
      <c r="F62" s="8" t="inlineStr">
        <is>
          <t>Comparative Example 4</t>
        </is>
      </c>
      <c r="G62" s="8" t="inlineStr">
        <is>
          <t>FFKM</t>
        </is>
      </c>
      <c r="H62" s="8" t="inlineStr">
        <is>
          <t>TFE/PMVE/CNVE 59.4/40.1/0.5 mol</t>
        </is>
      </c>
      <c r="I62" s="8" t="inlineStr">
        <is>
          <t>nitrile_triazine</t>
        </is>
      </c>
      <c r="J62" s="8" t="n">
        <v>100</v>
      </c>
      <c r="K62" s="8" t="n">
        <v>0</v>
      </c>
      <c r="L62" s="8" t="n">
        <v>0</v>
      </c>
      <c r="M62" s="8" t="n">
        <v>0</v>
      </c>
      <c r="N62" s="8" t="n">
        <v>0</v>
      </c>
      <c r="O62" s="8" t="n">
        <v>0</v>
      </c>
      <c r="P62" s="8" t="n">
        <v>0</v>
      </c>
      <c r="Q62" s="8" t="n">
        <v>15</v>
      </c>
      <c r="R62" s="8" t="n">
        <v>0</v>
      </c>
      <c r="S62" s="8" t="n">
        <v>0</v>
      </c>
      <c r="T62" s="8" t="n">
        <v>0</v>
      </c>
      <c r="U62" s="8" t="n">
        <v>0.4</v>
      </c>
      <c r="V62" s="8" t="n">
        <v>0</v>
      </c>
      <c r="W62" s="8" t="n">
        <v>0</v>
      </c>
      <c r="X62" s="8" t="n">
        <v>0</v>
      </c>
      <c r="Y62" s="8" t="inlineStr">
        <is>
          <t>SiC (0.03 um, untreated) 15; Si3N4 (0.03 um) 0.4 (triazine-cure catalyst)</t>
        </is>
      </c>
      <c r="Z62" s="8" t="n">
        <v>75</v>
      </c>
      <c r="AA62" s="8" t="n"/>
      <c r="AB62" s="8" t="n"/>
      <c r="AC62" s="8" t="n"/>
      <c r="AD62" s="8" t="n">
        <v>67</v>
      </c>
      <c r="AE62" s="8" t="inlineStr">
        <is>
          <t>300C x 70h, AS-568A-214 O-ring (JIS K6262)</t>
        </is>
      </c>
      <c r="AF62" s="8" t="n">
        <v>1.54</v>
      </c>
      <c r="AG62" s="8" t="inlineStr">
        <is>
          <t>O2 plasma, ICP RIE-101iPH, 16 sccm, 400 W, 2.66 Pa, 30 min, 100C, P-24 O-ring</t>
        </is>
      </c>
      <c r="AH62" s="8" t="inlineStr">
        <is>
          <t>as reported (Shore A, %)</t>
        </is>
      </c>
      <c r="AI62" s="8" t="inlineStr">
        <is>
          <t>Table 1 (US11753523B2). Filler row assignment confirmed with the same table in continuation US12286523B2. CS 300C x 168h: 83%. NF3 plasma weight loss: 1.44%. Cure: press 180C x 30 min + oven (200-)290C x 18 h.</t>
        </is>
      </c>
    </row>
    <row r="63">
      <c r="A63" s="8" t="inlineStr">
        <is>
          <t>US11753523B2</t>
        </is>
      </c>
      <c r="B63" s="8" t="inlineStr">
        <is>
          <t>patent</t>
        </is>
      </c>
      <c r="C63" s="8" t="inlineStr">
        <is>
          <t>Daikin Industries, Ltd.</t>
        </is>
      </c>
      <c r="D63" s="8" t="inlineStr">
        <is>
          <t>Crosslinkable elastomer composition and fluororubber molded article</t>
        </is>
      </c>
      <c r="E63" s="8" t="inlineStr">
        <is>
          <t>https://patents.google.com/patent/US11753523B2/en</t>
        </is>
      </c>
      <c r="F63" s="8" t="inlineStr">
        <is>
          <t>Comparative Example 5</t>
        </is>
      </c>
      <c r="G63" s="8" t="inlineStr">
        <is>
          <t>FFKM</t>
        </is>
      </c>
      <c r="H63" s="8" t="inlineStr">
        <is>
          <t>TFE/PMVE/CNVE 59.4/40.1/0.5 mol</t>
        </is>
      </c>
      <c r="I63" s="8" t="inlineStr">
        <is>
          <t>nitrile_triazine</t>
        </is>
      </c>
      <c r="J63" s="8" t="n">
        <v>100</v>
      </c>
      <c r="K63" s="8" t="n">
        <v>0</v>
      </c>
      <c r="L63" s="8" t="n">
        <v>0</v>
      </c>
      <c r="M63" s="8" t="n">
        <v>0</v>
      </c>
      <c r="N63" s="8" t="n">
        <v>0</v>
      </c>
      <c r="O63" s="8" t="n">
        <v>0</v>
      </c>
      <c r="P63" s="8" t="n">
        <v>0</v>
      </c>
      <c r="Q63" s="8" t="n">
        <v>20</v>
      </c>
      <c r="R63" s="8" t="n">
        <v>0</v>
      </c>
      <c r="S63" s="8" t="n">
        <v>0</v>
      </c>
      <c r="T63" s="8" t="n">
        <v>0</v>
      </c>
      <c r="U63" s="8" t="n">
        <v>0.4</v>
      </c>
      <c r="V63" s="8" t="n">
        <v>0</v>
      </c>
      <c r="W63" s="8" t="n">
        <v>0</v>
      </c>
      <c r="X63" s="8" t="n">
        <v>0</v>
      </c>
      <c r="Y63" s="8" t="inlineStr">
        <is>
          <t>SiC (0.03 um, untreated) 20; Si3N4 (0.03 um) 0.4 (triazine-cure catalyst)</t>
        </is>
      </c>
      <c r="Z63" s="8" t="n">
        <v>80</v>
      </c>
      <c r="AA63" s="8" t="n"/>
      <c r="AB63" s="8" t="n"/>
      <c r="AC63" s="8" t="n"/>
      <c r="AD63" s="8" t="n">
        <v>84</v>
      </c>
      <c r="AE63" s="8" t="inlineStr">
        <is>
          <t>300C x 70h, AS-568A-214 O-ring (JIS K6262)</t>
        </is>
      </c>
      <c r="AF63" s="8" t="n">
        <v>1.15</v>
      </c>
      <c r="AG63" s="8" t="inlineStr">
        <is>
          <t>O2 plasma, ICP RIE-101iPH, 16 sccm, 400 W, 2.66 Pa, 30 min, 100C, P-24 O-ring</t>
        </is>
      </c>
      <c r="AH63" s="8" t="inlineStr">
        <is>
          <t>as reported (Shore A, %)</t>
        </is>
      </c>
      <c r="AI63" s="8" t="inlineStr">
        <is>
          <t>Table 1 (US11753523B2). Filler row assignment confirmed with the same table in continuation US12286523B2. CS 300C x 168h: n/r%. NF3 plasma weight loss: 1.39%. Cure: press 180C x 30 min + oven (200-)290C x 18 h.</t>
        </is>
      </c>
    </row>
    <row r="64">
      <c r="A64" s="8" t="inlineStr">
        <is>
          <t>US11753523B2</t>
        </is>
      </c>
      <c r="B64" s="8" t="inlineStr">
        <is>
          <t>patent</t>
        </is>
      </c>
      <c r="C64" s="8" t="inlineStr">
        <is>
          <t>Daikin Industries, Ltd.</t>
        </is>
      </c>
      <c r="D64" s="8" t="inlineStr">
        <is>
          <t>Crosslinkable elastomer composition and fluororubber molded article</t>
        </is>
      </c>
      <c r="E64" s="8" t="inlineStr">
        <is>
          <t>https://patents.google.com/patent/US11753523B2/en</t>
        </is>
      </c>
      <c r="F64" s="8" t="inlineStr">
        <is>
          <t>Comparative Example 6</t>
        </is>
      </c>
      <c r="G64" s="8" t="inlineStr">
        <is>
          <t>FFKM</t>
        </is>
      </c>
      <c r="H64" s="8" t="inlineStr">
        <is>
          <t>TFE/PMVE/CNVE 59.4/40.1/0.5 mol</t>
        </is>
      </c>
      <c r="I64" s="8" t="inlineStr">
        <is>
          <t>nitrile_other</t>
        </is>
      </c>
      <c r="J64" s="8" t="n">
        <v>100</v>
      </c>
      <c r="K64" s="8" t="n">
        <v>0</v>
      </c>
      <c r="L64" s="8" t="n">
        <v>0</v>
      </c>
      <c r="M64" s="8" t="n">
        <v>0</v>
      </c>
      <c r="N64" s="8" t="n">
        <v>0</v>
      </c>
      <c r="O64" s="8" t="n">
        <v>0</v>
      </c>
      <c r="P64" s="8" t="n">
        <v>0</v>
      </c>
      <c r="Q64" s="8" t="n">
        <v>15</v>
      </c>
      <c r="R64" s="8" t="n">
        <v>0</v>
      </c>
      <c r="S64" s="8" t="n">
        <v>0</v>
      </c>
      <c r="T64" s="8" t="n">
        <v>0</v>
      </c>
      <c r="U64" s="8" t="n">
        <v>0.9</v>
      </c>
      <c r="V64" s="8" t="n">
        <v>0</v>
      </c>
      <c r="W64" s="8" t="n">
        <v>0</v>
      </c>
      <c r="X64" s="8" t="n">
        <v>0</v>
      </c>
      <c r="Y64" s="8" t="inlineStr">
        <is>
          <t>SiC (0.13 um, untreated) 15; NphAF 0.9 (2,2-bis[3-amino-4-(N-phenylamino)phenyl]hexafluoropropane)</t>
        </is>
      </c>
      <c r="Z64" s="8" t="n">
        <v>74</v>
      </c>
      <c r="AA64" s="8" t="n"/>
      <c r="AB64" s="8" t="n"/>
      <c r="AC64" s="8" t="n"/>
      <c r="AD64" s="8" t="n">
        <v>38</v>
      </c>
      <c r="AE64" s="8" t="inlineStr">
        <is>
          <t>300C x 70h, AS-568A-214 O-ring (JIS K6262)</t>
        </is>
      </c>
      <c r="AF64" s="8" t="n">
        <v>1.71</v>
      </c>
      <c r="AG64" s="8" t="inlineStr">
        <is>
          <t>O2 plasma, ICP RIE-101iPH, 16 sccm, 400 W, 2.66 Pa, 30 min, 100C, P-24 O-ring</t>
        </is>
      </c>
      <c r="AH64" s="8" t="inlineStr">
        <is>
          <t>as reported (Shore A, %)</t>
        </is>
      </c>
      <c r="AI64" s="8" t="inlineStr">
        <is>
          <t>Table 1 (US11753523B2). Filler row assignment confirmed with the same table in continuation US12286523B2. CS 300C x 168h: n/r%. NF3 plasma weight loss: 1.62%. Cure: press 180C x 30 min + oven (200-)290C x 18 h.</t>
        </is>
      </c>
    </row>
    <row r="65">
      <c r="A65" s="8" t="inlineStr">
        <is>
          <t>US11753523B2</t>
        </is>
      </c>
      <c r="B65" s="8" t="inlineStr">
        <is>
          <t>patent</t>
        </is>
      </c>
      <c r="C65" s="8" t="inlineStr">
        <is>
          <t>Daikin Industries, Ltd.</t>
        </is>
      </c>
      <c r="D65" s="8" t="inlineStr">
        <is>
          <t>Crosslinkable elastomer composition and fluororubber molded article</t>
        </is>
      </c>
      <c r="E65" s="8" t="inlineStr">
        <is>
          <t>https://patents.google.com/patent/US11753523B2/en</t>
        </is>
      </c>
      <c r="F65" s="8" t="inlineStr">
        <is>
          <t>Comparative Example 7</t>
        </is>
      </c>
      <c r="G65" s="8" t="inlineStr">
        <is>
          <t>FFKM</t>
        </is>
      </c>
      <c r="H65" s="8" t="inlineStr">
        <is>
          <t>TFE/PMVE/CNVE 59.4/40.1/0.5 mol</t>
        </is>
      </c>
      <c r="I65" s="8" t="inlineStr">
        <is>
          <t>nitrile_other</t>
        </is>
      </c>
      <c r="J65" s="8" t="n">
        <v>100</v>
      </c>
      <c r="K65" s="8" t="n">
        <v>0</v>
      </c>
      <c r="L65" s="8" t="n">
        <v>15</v>
      </c>
      <c r="M65" s="8" t="n">
        <v>0</v>
      </c>
      <c r="N65" s="8" t="n">
        <v>0</v>
      </c>
      <c r="O65" s="8" t="n">
        <v>0</v>
      </c>
      <c r="P65" s="8" t="n">
        <v>0</v>
      </c>
      <c r="Q65" s="8" t="n">
        <v>0</v>
      </c>
      <c r="R65" s="8" t="n">
        <v>0</v>
      </c>
      <c r="S65" s="8" t="n">
        <v>0</v>
      </c>
      <c r="T65" s="8" t="n">
        <v>0</v>
      </c>
      <c r="U65" s="8" t="n">
        <v>0.9</v>
      </c>
      <c r="V65" s="8" t="n">
        <v>0</v>
      </c>
      <c r="W65" s="8" t="n">
        <v>0</v>
      </c>
      <c r="X65" s="8" t="n">
        <v>0</v>
      </c>
      <c r="Y65" s="8" t="inlineStr">
        <is>
          <t>silicon oxide Aerosil 50 (0.03 um) 15; NphAF 0.9 (2,2-bis[3-amino-4-(N-phenylamino)phenyl]hexafluoropropane)</t>
        </is>
      </c>
      <c r="Z65" s="8" t="n">
        <v>74</v>
      </c>
      <c r="AA65" s="8" t="n"/>
      <c r="AB65" s="8" t="n"/>
      <c r="AC65" s="8" t="n"/>
      <c r="AD65" s="8" t="n">
        <v>70</v>
      </c>
      <c r="AE65" s="8" t="inlineStr">
        <is>
          <t>300C x 70h, AS-568A-214 O-ring (JIS K6262)</t>
        </is>
      </c>
      <c r="AF65" s="8" t="n"/>
      <c r="AG65" s="8" t="n"/>
      <c r="AH65" s="8" t="inlineStr">
        <is>
          <t>as reported (Shore A, %)</t>
        </is>
      </c>
      <c r="AI65" s="8" t="inlineStr">
        <is>
          <t>Table 1 (US11753523B2). Filler type from text (CE7 = Aerosil 50; CE8/9 = RX50); amount 15 from table row. CS 300C x 168h: 85%. NF3 plasma weight loss: n/r%. Cure: press 180C x 30 min + oven (200-)290C x 18 h.</t>
        </is>
      </c>
    </row>
    <row r="66">
      <c r="A66" s="8" t="inlineStr">
        <is>
          <t>US11753523B2</t>
        </is>
      </c>
      <c r="B66" s="8" t="inlineStr">
        <is>
          <t>patent</t>
        </is>
      </c>
      <c r="C66" s="8" t="inlineStr">
        <is>
          <t>Daikin Industries, Ltd.</t>
        </is>
      </c>
      <c r="D66" s="8" t="inlineStr">
        <is>
          <t>Crosslinkable elastomer composition and fluororubber molded article</t>
        </is>
      </c>
      <c r="E66" s="8" t="inlineStr">
        <is>
          <t>https://patents.google.com/patent/US11753523B2/en</t>
        </is>
      </c>
      <c r="F66" s="8" t="inlineStr">
        <is>
          <t>Comparative Example 8</t>
        </is>
      </c>
      <c r="G66" s="8" t="inlineStr">
        <is>
          <t>FFKM</t>
        </is>
      </c>
      <c r="H66" s="8" t="inlineStr">
        <is>
          <t>TFE/PMVE/CNVE 59.4/40.1/0.5 mol</t>
        </is>
      </c>
      <c r="I66" s="8" t="inlineStr">
        <is>
          <t>nitrile_other</t>
        </is>
      </c>
      <c r="J66" s="8" t="n">
        <v>100</v>
      </c>
      <c r="K66" s="8" t="n">
        <v>0</v>
      </c>
      <c r="L66" s="8" t="n">
        <v>15</v>
      </c>
      <c r="M66" s="8" t="n">
        <v>0</v>
      </c>
      <c r="N66" s="8" t="n">
        <v>0</v>
      </c>
      <c r="O66" s="8" t="n">
        <v>0</v>
      </c>
      <c r="P66" s="8" t="n">
        <v>0</v>
      </c>
      <c r="Q66" s="8" t="n">
        <v>0</v>
      </c>
      <c r="R66" s="8" t="n">
        <v>0</v>
      </c>
      <c r="S66" s="8" t="n">
        <v>0</v>
      </c>
      <c r="T66" s="8" t="n">
        <v>0</v>
      </c>
      <c r="U66" s="8" t="n">
        <v>0.9</v>
      </c>
      <c r="V66" s="8" t="n">
        <v>0</v>
      </c>
      <c r="W66" s="8" t="n">
        <v>0</v>
      </c>
      <c r="X66" s="8" t="n">
        <v>0</v>
      </c>
      <c r="Y66" s="8" t="inlineStr">
        <is>
          <t>surface-treated silicon oxide Aerosil RX50 (0.03 um) 15; NphAF 0.9 (2,2-bis[3-amino-4-(N-phenylamino)phenyl]hexafluoropropane)</t>
        </is>
      </c>
      <c r="Z66" s="8" t="n">
        <v>75</v>
      </c>
      <c r="AA66" s="8" t="n"/>
      <c r="AB66" s="8" t="n"/>
      <c r="AC66" s="8" t="n"/>
      <c r="AD66" s="8" t="n">
        <v>37</v>
      </c>
      <c r="AE66" s="8" t="inlineStr">
        <is>
          <t>300C x 70h, AS-568A-214 O-ring (JIS K6262)</t>
        </is>
      </c>
      <c r="AF66" s="8" t="n">
        <v>1.4</v>
      </c>
      <c r="AG66" s="8" t="inlineStr">
        <is>
          <t>O2 plasma, ICP RIE-101iPH, 16 sccm, 400 W, 2.66 Pa, 30 min, 100C, P-24 O-ring</t>
        </is>
      </c>
      <c r="AH66" s="8" t="inlineStr">
        <is>
          <t>as reported (Shore A, %)</t>
        </is>
      </c>
      <c r="AI66" s="8" t="inlineStr">
        <is>
          <t>Table 1 (US11753523B2). Filler type from text (CE7 = Aerosil 50; CE8/9 = RX50); amount 15 from table row. CS 300C x 168h: 54%. NF3 plasma weight loss: 2.1%. Cure: press 180C x 30 min + oven (200-)290C x 18 h.</t>
        </is>
      </c>
    </row>
    <row r="67">
      <c r="A67" s="8" t="inlineStr">
        <is>
          <t>US11753523B2</t>
        </is>
      </c>
      <c r="B67" s="8" t="inlineStr">
        <is>
          <t>patent</t>
        </is>
      </c>
      <c r="C67" s="8" t="inlineStr">
        <is>
          <t>Daikin Industries, Ltd.</t>
        </is>
      </c>
      <c r="D67" s="8" t="inlineStr">
        <is>
          <t>Crosslinkable elastomer composition and fluororubber molded article</t>
        </is>
      </c>
      <c r="E67" s="8" t="inlineStr">
        <is>
          <t>https://patents.google.com/patent/US11753523B2/en</t>
        </is>
      </c>
      <c r="F67" s="8" t="inlineStr">
        <is>
          <t>Comparative Example 9</t>
        </is>
      </c>
      <c r="G67" s="8" t="inlineStr">
        <is>
          <t>FFKM</t>
        </is>
      </c>
      <c r="H67" s="8" t="inlineStr">
        <is>
          <t>TFE/PMVE/CNVE 59.4/40.1/0.5 mol</t>
        </is>
      </c>
      <c r="I67" s="8" t="inlineStr">
        <is>
          <t>nitrile_triazine</t>
        </is>
      </c>
      <c r="J67" s="8" t="n">
        <v>100</v>
      </c>
      <c r="K67" s="8" t="n">
        <v>0</v>
      </c>
      <c r="L67" s="8" t="n">
        <v>15</v>
      </c>
      <c r="M67" s="8" t="n">
        <v>0</v>
      </c>
      <c r="N67" s="8" t="n">
        <v>0</v>
      </c>
      <c r="O67" s="8" t="n">
        <v>0</v>
      </c>
      <c r="P67" s="8" t="n">
        <v>0</v>
      </c>
      <c r="Q67" s="8" t="n">
        <v>0</v>
      </c>
      <c r="R67" s="8" t="n">
        <v>0</v>
      </c>
      <c r="S67" s="8" t="n">
        <v>0</v>
      </c>
      <c r="T67" s="8" t="n">
        <v>0</v>
      </c>
      <c r="U67" s="8" t="n">
        <v>0.4</v>
      </c>
      <c r="V67" s="8" t="n">
        <v>0</v>
      </c>
      <c r="W67" s="8" t="n">
        <v>0</v>
      </c>
      <c r="X67" s="8" t="n">
        <v>0</v>
      </c>
      <c r="Y67" s="8" t="inlineStr">
        <is>
          <t>surface-treated silicon oxide Aerosil RX50 (0.03 um) 15; Si3N4 (0.03 um) 0.4 (triazine-cure catalyst)</t>
        </is>
      </c>
      <c r="Z67" s="8" t="n">
        <v>75</v>
      </c>
      <c r="AA67" s="8" t="n"/>
      <c r="AB67" s="8" t="n"/>
      <c r="AC67" s="8" t="n"/>
      <c r="AD67" s="8" t="n">
        <v>33</v>
      </c>
      <c r="AE67" s="8" t="inlineStr">
        <is>
          <t>300C x 70h, AS-568A-214 O-ring (JIS K6262)</t>
        </is>
      </c>
      <c r="AF67" s="8" t="n">
        <v>1.38</v>
      </c>
      <c r="AG67" s="8" t="inlineStr">
        <is>
          <t>O2 plasma, ICP RIE-101iPH, 16 sccm, 400 W, 2.66 Pa, 30 min, 100C, P-24 O-ring</t>
        </is>
      </c>
      <c r="AH67" s="8" t="inlineStr">
        <is>
          <t>as reported (Shore A, %)</t>
        </is>
      </c>
      <c r="AI67" s="8" t="inlineStr">
        <is>
          <t>Table 1 (US11753523B2). Filler type from text (CE7 = Aerosil 50; CE8/9 = RX50); amount 15 from table row. CS 300C x 168h: 46%. NF3 plasma weight loss: 2.17%. Cure: press 180C x 30 min + oven (200-)290C x 18 h.</t>
        </is>
      </c>
    </row>
    <row r="68">
      <c r="A68" s="8" t="inlineStr">
        <is>
          <t>US11753523B2</t>
        </is>
      </c>
      <c r="B68" s="8" t="inlineStr">
        <is>
          <t>patent</t>
        </is>
      </c>
      <c r="C68" s="8" t="inlineStr">
        <is>
          <t>Daikin Industries, Ltd.</t>
        </is>
      </c>
      <c r="D68" s="8" t="inlineStr">
        <is>
          <t>Crosslinkable elastomer composition and fluororubber molded article</t>
        </is>
      </c>
      <c r="E68" s="8" t="inlineStr">
        <is>
          <t>https://patents.google.com/patent/US11753523B2/en</t>
        </is>
      </c>
      <c r="F68" s="8" t="inlineStr">
        <is>
          <t>Comparative Example 10</t>
        </is>
      </c>
      <c r="G68" s="8" t="inlineStr">
        <is>
          <t>FFKM</t>
        </is>
      </c>
      <c r="H68" s="8" t="inlineStr">
        <is>
          <t>TFE/PMVE/CNVE 59.4/40.1/0.5 mol</t>
        </is>
      </c>
      <c r="I68" s="8" t="inlineStr">
        <is>
          <t>nitrile_other</t>
        </is>
      </c>
      <c r="J68" s="8" t="n">
        <v>100</v>
      </c>
      <c r="K68" s="8" t="n">
        <v>0</v>
      </c>
      <c r="L68" s="8" t="n">
        <v>0</v>
      </c>
      <c r="M68" s="8" t="n">
        <v>0</v>
      </c>
      <c r="N68" s="8" t="n">
        <v>0</v>
      </c>
      <c r="O68" s="8" t="n">
        <v>0</v>
      </c>
      <c r="P68" s="8" t="n">
        <v>0</v>
      </c>
      <c r="Q68" s="8" t="n">
        <v>0</v>
      </c>
      <c r="R68" s="8" t="n">
        <v>0</v>
      </c>
      <c r="S68" s="8" t="n">
        <v>0</v>
      </c>
      <c r="T68" s="8" t="n">
        <v>0</v>
      </c>
      <c r="U68" s="8" t="n">
        <v>0.9</v>
      </c>
      <c r="V68" s="8" t="n">
        <v>0</v>
      </c>
      <c r="W68" s="8" t="n">
        <v>0</v>
      </c>
      <c r="X68" s="8" t="n">
        <v>0</v>
      </c>
      <c r="Y68" s="8" t="inlineStr">
        <is>
          <t>no filler; NphAF 0.9 (2,2-bis[3-amino-4-(N-phenylamino)phenyl]hexafluoropropane)</t>
        </is>
      </c>
      <c r="Z68" s="8" t="n">
        <v>60</v>
      </c>
      <c r="AA68" s="8" t="n"/>
      <c r="AB68" s="8" t="n"/>
      <c r="AC68" s="8" t="n"/>
      <c r="AD68" s="8" t="n">
        <v>34</v>
      </c>
      <c r="AE68" s="8" t="inlineStr">
        <is>
          <t>300C x 70h, AS-568A-214 O-ring (JIS K6262)</t>
        </is>
      </c>
      <c r="AF68" s="8" t="n">
        <v>3.01</v>
      </c>
      <c r="AG68" s="8" t="inlineStr">
        <is>
          <t>O2 plasma, ICP RIE-101iPH, 16 sccm, 400 W, 2.66 Pa, 30 min, 100C, P-24 O-ring</t>
        </is>
      </c>
      <c r="AH68" s="8" t="inlineStr">
        <is>
          <t>as reported (Shore A, %)</t>
        </is>
      </c>
      <c r="AI68" s="8" t="inlineStr">
        <is>
          <t>Table 1 (US11753523B2). No filler amount listed in table for CE10 (blank). CS 300C x 168h: 45%. NF3 plasma weight loss: 2.73%. Cure: press 180C x 30 min + oven (200-)290C x 18 h.</t>
        </is>
      </c>
    </row>
    <row r="69">
      <c r="A69" s="8" t="inlineStr">
        <is>
          <t>US11072700B2</t>
        </is>
      </c>
      <c r="B69" s="8" t="inlineStr">
        <is>
          <t>patent</t>
        </is>
      </c>
      <c r="C69" s="8" t="inlineStr">
        <is>
          <t>Daikin Industries, Ltd.</t>
        </is>
      </c>
      <c r="D69" s="8" t="inlineStr">
        <is>
          <t>Composition comprising fluoropolymer and molded article</t>
        </is>
      </c>
      <c r="E69" s="8" t="inlineStr">
        <is>
          <t>https://patents.google.com/patent/US11072700B2/en</t>
        </is>
      </c>
      <c r="F69" s="8" t="inlineStr">
        <is>
          <t>Example 1</t>
        </is>
      </c>
      <c r="G69" s="8" t="inlineStr">
        <is>
          <t>FFKM</t>
        </is>
      </c>
      <c r="H69" s="8" t="inlineStr">
        <is>
          <t>TFE/PMVE/cyano-group monomer 59.4/40.1/0.5 mol (Daikin)</t>
        </is>
      </c>
      <c r="I69" s="8" t="inlineStr">
        <is>
          <t>nitrile_triazine</t>
        </is>
      </c>
      <c r="J69" s="8" t="n">
        <v>100</v>
      </c>
      <c r="K69" s="8" t="n">
        <v>0</v>
      </c>
      <c r="L69" s="8" t="n">
        <v>0</v>
      </c>
      <c r="M69" s="8" t="n">
        <v>0</v>
      </c>
      <c r="N69" s="8" t="n">
        <v>0</v>
      </c>
      <c r="O69" s="8" t="n">
        <v>0</v>
      </c>
      <c r="P69" s="8" t="n">
        <v>0</v>
      </c>
      <c r="Q69" s="8" t="n">
        <v>0</v>
      </c>
      <c r="R69" s="8" t="n">
        <v>0</v>
      </c>
      <c r="S69" s="8" t="n">
        <v>0</v>
      </c>
      <c r="T69" s="8" t="n">
        <v>0</v>
      </c>
      <c r="U69" s="8" t="n">
        <v>1</v>
      </c>
      <c r="V69" s="8" t="n">
        <v>0</v>
      </c>
      <c r="W69" s="8" t="n">
        <v>0</v>
      </c>
      <c r="X69" s="8" t="n">
        <v>0</v>
      </c>
      <c r="Y69" s="8" t="inlineStr">
        <is>
          <t>composite particles (Si3N4 30 nm dispersed in polystyrene, Prep. Ex. 1) 1.0</t>
        </is>
      </c>
      <c r="Z69" s="8" t="n">
        <v>58</v>
      </c>
      <c r="AA69" s="8" t="n">
        <v>14.5</v>
      </c>
      <c r="AB69" s="8" t="n">
        <v>320</v>
      </c>
      <c r="AC69" s="8" t="n">
        <v>1.2</v>
      </c>
      <c r="AD69" s="8" t="n"/>
      <c r="AE69" s="8" t="n"/>
      <c r="AF69" s="8" t="n"/>
      <c r="AG69" s="8" t="n"/>
      <c r="AH69" s="8" t="inlineStr">
        <is>
          <t>MPa; hardness Shore A peak</t>
        </is>
      </c>
      <c r="AI69" s="8" t="inlineStr">
        <is>
          <t>Formulation from text; props Table 2 (2 mm sheet, JIS K6251). Hardness after 3 s: 52. nitrile_curative = composite particles and/or Si3N4 plus diamine crosslinker (sum). Cure: press 180C x 30 min + oven 200C x 12 h, 250C x 3 h, 290C x 3 h. No compression set reported.</t>
        </is>
      </c>
    </row>
    <row r="70">
      <c r="A70" s="8" t="inlineStr">
        <is>
          <t>US11072700B2</t>
        </is>
      </c>
      <c r="B70" s="8" t="inlineStr">
        <is>
          <t>patent</t>
        </is>
      </c>
      <c r="C70" s="8" t="inlineStr">
        <is>
          <t>Daikin Industries, Ltd.</t>
        </is>
      </c>
      <c r="D70" s="8" t="inlineStr">
        <is>
          <t>Composition comprising fluoropolymer and molded article</t>
        </is>
      </c>
      <c r="E70" s="8" t="inlineStr">
        <is>
          <t>https://patents.google.com/patent/US11072700B2/en</t>
        </is>
      </c>
      <c r="F70" s="8" t="inlineStr">
        <is>
          <t>Example 2</t>
        </is>
      </c>
      <c r="G70" s="8" t="inlineStr">
        <is>
          <t>FFKM</t>
        </is>
      </c>
      <c r="H70" s="8" t="inlineStr">
        <is>
          <t>TFE/PMVE/cyano-group monomer 59.4/40.1/0.5 mol (Daikin)</t>
        </is>
      </c>
      <c r="I70" s="8" t="inlineStr">
        <is>
          <t>nitrile_other</t>
        </is>
      </c>
      <c r="J70" s="8" t="n">
        <v>100</v>
      </c>
      <c r="K70" s="8" t="n">
        <v>0</v>
      </c>
      <c r="L70" s="8" t="n">
        <v>0</v>
      </c>
      <c r="M70" s="8" t="n">
        <v>0</v>
      </c>
      <c r="N70" s="8" t="n">
        <v>0</v>
      </c>
      <c r="O70" s="8" t="n">
        <v>0</v>
      </c>
      <c r="P70" s="8" t="n">
        <v>0</v>
      </c>
      <c r="Q70" s="8" t="n">
        <v>0</v>
      </c>
      <c r="R70" s="8" t="n">
        <v>0</v>
      </c>
      <c r="S70" s="8" t="n">
        <v>0</v>
      </c>
      <c r="T70" s="8" t="n">
        <v>0</v>
      </c>
      <c r="U70" s="8" t="n">
        <v>1.8</v>
      </c>
      <c r="V70" s="8" t="n">
        <v>0</v>
      </c>
      <c r="W70" s="8" t="n">
        <v>0</v>
      </c>
      <c r="X70" s="8" t="n">
        <v>0</v>
      </c>
      <c r="Y70" s="8" t="inlineStr">
        <is>
          <t>composite particles (Si3N4/polystyrene) 1.0 + bis-diamine crosslinker 4,4'-[2,2,2-trifluoro-1-(trifluoromethyl)ethylidene]bis[N1-phenyl-1,2-benzenediamine] 0.8</t>
        </is>
      </c>
      <c r="Z70" s="8" t="n">
        <v>60</v>
      </c>
      <c r="AA70" s="8" t="n">
        <v>14.4</v>
      </c>
      <c r="AB70" s="8" t="n">
        <v>290</v>
      </c>
      <c r="AC70" s="8" t="n">
        <v>1.4</v>
      </c>
      <c r="AD70" s="8" t="n"/>
      <c r="AE70" s="8" t="n"/>
      <c r="AF70" s="8" t="n"/>
      <c r="AG70" s="8" t="n"/>
      <c r="AH70" s="8" t="inlineStr">
        <is>
          <t>MPa; hardness Shore A peak</t>
        </is>
      </c>
      <c r="AI70" s="8" t="inlineStr">
        <is>
          <t>Formulation from text; props Table 2 (2 mm sheet, JIS K6251). Hardness after 3 s: 53. nitrile_curative = composite particles and/or Si3N4 plus diamine crosslinker (sum). Cure: press 180C x 30 min + oven 200C x 12 h, 250C x 3 h, 290C x 3 h. No compression set reported.</t>
        </is>
      </c>
    </row>
    <row r="71">
      <c r="A71" s="8" t="inlineStr">
        <is>
          <t>US11072700B2</t>
        </is>
      </c>
      <c r="B71" s="8" t="inlineStr">
        <is>
          <t>patent</t>
        </is>
      </c>
      <c r="C71" s="8" t="inlineStr">
        <is>
          <t>Daikin Industries, Ltd.</t>
        </is>
      </c>
      <c r="D71" s="8" t="inlineStr">
        <is>
          <t>Composition comprising fluoropolymer and molded article</t>
        </is>
      </c>
      <c r="E71" s="8" t="inlineStr">
        <is>
          <t>https://patents.google.com/patent/US11072700B2/en</t>
        </is>
      </c>
      <c r="F71" s="8" t="inlineStr">
        <is>
          <t>Comparative Example 1</t>
        </is>
      </c>
      <c r="G71" s="8" t="inlineStr">
        <is>
          <t>FFKM</t>
        </is>
      </c>
      <c r="H71" s="8" t="inlineStr">
        <is>
          <t>TFE/PMVE/cyano-group monomer 59.4/40.1/0.5 mol (Daikin)</t>
        </is>
      </c>
      <c r="I71" s="8" t="inlineStr">
        <is>
          <t>nitrile_triazine</t>
        </is>
      </c>
      <c r="J71" s="8" t="n">
        <v>100</v>
      </c>
      <c r="K71" s="8" t="n">
        <v>0</v>
      </c>
      <c r="L71" s="8" t="n">
        <v>0</v>
      </c>
      <c r="M71" s="8" t="n">
        <v>0</v>
      </c>
      <c r="N71" s="8" t="n">
        <v>0</v>
      </c>
      <c r="O71" s="8" t="n">
        <v>0</v>
      </c>
      <c r="P71" s="8" t="n">
        <v>0</v>
      </c>
      <c r="Q71" s="8" t="n">
        <v>0</v>
      </c>
      <c r="R71" s="8" t="n">
        <v>0</v>
      </c>
      <c r="S71" s="8" t="n">
        <v>0</v>
      </c>
      <c r="T71" s="8" t="n">
        <v>0</v>
      </c>
      <c r="U71" s="8" t="n">
        <v>0.25</v>
      </c>
      <c r="V71" s="8" t="n">
        <v>0</v>
      </c>
      <c r="W71" s="8" t="n">
        <v>0</v>
      </c>
      <c r="X71" s="8" t="n">
        <v>0</v>
      </c>
      <c r="Y71" s="8" t="inlineStr">
        <is>
          <t>Si3N4 SN-A00 (30 nm) 0.25</t>
        </is>
      </c>
      <c r="Z71" s="8" t="n">
        <v>58</v>
      </c>
      <c r="AA71" s="8" t="n">
        <v>13.5</v>
      </c>
      <c r="AB71" s="8" t="n">
        <v>300</v>
      </c>
      <c r="AC71" s="8" t="n">
        <v>1.2</v>
      </c>
      <c r="AD71" s="8" t="n"/>
      <c r="AE71" s="8" t="n"/>
      <c r="AF71" s="8" t="n"/>
      <c r="AG71" s="8" t="n"/>
      <c r="AH71" s="8" t="inlineStr">
        <is>
          <t>MPa; hardness Shore A peak</t>
        </is>
      </c>
      <c r="AI71" s="8" t="inlineStr">
        <is>
          <t>Formulation from text; props Table 2 (2 mm sheet, JIS K6251). Hardness after 3 s: 53. nitrile_curative = composite particles and/or Si3N4 plus diamine crosslinker (sum). Cure: press 180C x 30 min + oven 200C x 12 h, 250C x 3 h, 290C x 3 h. No compression set reported.</t>
        </is>
      </c>
    </row>
    <row r="72">
      <c r="A72" s="8" t="inlineStr">
        <is>
          <t>US11072700B2</t>
        </is>
      </c>
      <c r="B72" s="8" t="inlineStr">
        <is>
          <t>patent</t>
        </is>
      </c>
      <c r="C72" s="8" t="inlineStr">
        <is>
          <t>Daikin Industries, Ltd.</t>
        </is>
      </c>
      <c r="D72" s="8" t="inlineStr">
        <is>
          <t>Composition comprising fluoropolymer and molded article</t>
        </is>
      </c>
      <c r="E72" s="8" t="inlineStr">
        <is>
          <t>https://patents.google.com/patent/US11072700B2/en</t>
        </is>
      </c>
      <c r="F72" s="8" t="inlineStr">
        <is>
          <t>Comparative Example 2</t>
        </is>
      </c>
      <c r="G72" s="8" t="inlineStr">
        <is>
          <t>FFKM</t>
        </is>
      </c>
      <c r="H72" s="8" t="inlineStr">
        <is>
          <t>TFE/PMVE/cyano-group monomer 59.4/40.1/0.5 mol (Daikin)</t>
        </is>
      </c>
      <c r="I72" s="8" t="inlineStr">
        <is>
          <t>nitrile_other</t>
        </is>
      </c>
      <c r="J72" s="8" t="n">
        <v>100</v>
      </c>
      <c r="K72" s="8" t="n">
        <v>0</v>
      </c>
      <c r="L72" s="8" t="n">
        <v>0</v>
      </c>
      <c r="M72" s="8" t="n">
        <v>0</v>
      </c>
      <c r="N72" s="8" t="n">
        <v>0</v>
      </c>
      <c r="O72" s="8" t="n">
        <v>0</v>
      </c>
      <c r="P72" s="8" t="n">
        <v>0</v>
      </c>
      <c r="Q72" s="8" t="n">
        <v>0</v>
      </c>
      <c r="R72" s="8" t="n">
        <v>0</v>
      </c>
      <c r="S72" s="8" t="n">
        <v>0</v>
      </c>
      <c r="T72" s="8" t="n">
        <v>0</v>
      </c>
      <c r="U72" s="8" t="n">
        <v>1.05</v>
      </c>
      <c r="V72" s="8" t="n">
        <v>0</v>
      </c>
      <c r="W72" s="8" t="n">
        <v>0</v>
      </c>
      <c r="X72" s="8" t="n">
        <v>0</v>
      </c>
      <c r="Y72" s="8" t="inlineStr">
        <is>
          <t>Si3N4 SN-A00 0.25 + bis-diamine crosslinker 4,4'-[2,2,2-trifluoro-1-(trifluoromethyl)ethylidene]bis[N1-phenyl-1,2-benzenediamine] 0.8</t>
        </is>
      </c>
      <c r="Z72" s="8" t="n">
        <v>60</v>
      </c>
      <c r="AA72" s="8" t="n">
        <v>10.4</v>
      </c>
      <c r="AB72" s="8" t="n">
        <v>270</v>
      </c>
      <c r="AC72" s="8" t="n">
        <v>1.3</v>
      </c>
      <c r="AD72" s="8" t="n"/>
      <c r="AE72" s="8" t="n"/>
      <c r="AF72" s="8" t="n"/>
      <c r="AG72" s="8" t="n"/>
      <c r="AH72" s="8" t="inlineStr">
        <is>
          <t>MPa; hardness Shore A peak</t>
        </is>
      </c>
      <c r="AI72" s="8" t="inlineStr">
        <is>
          <t>Formulation from text; props Table 2 (2 mm sheet, JIS K6251). Hardness after 3 s: 53. nitrile_curative = composite particles and/or Si3N4 plus diamine crosslinker (sum). Cure: press 180C x 30 min + oven 200C x 12 h, 250C x 3 h, 290C x 3 h. No compression set reported.</t>
        </is>
      </c>
    </row>
    <row r="73">
      <c r="A73" s="8" t="inlineStr">
        <is>
          <t>US11072700B2</t>
        </is>
      </c>
      <c r="B73" s="8" t="inlineStr">
        <is>
          <t>patent</t>
        </is>
      </c>
      <c r="C73" s="8" t="inlineStr">
        <is>
          <t>Daikin Industries, Ltd.</t>
        </is>
      </c>
      <c r="D73" s="8" t="inlineStr">
        <is>
          <t>Composition comprising fluoropolymer and molded article</t>
        </is>
      </c>
      <c r="E73" s="8" t="inlineStr">
        <is>
          <t>https://patents.google.com/patent/US11072700B2/en</t>
        </is>
      </c>
      <c r="F73" s="8" t="inlineStr">
        <is>
          <t>Example 3</t>
        </is>
      </c>
      <c r="G73" s="8" t="inlineStr">
        <is>
          <t>FFKM</t>
        </is>
      </c>
      <c r="H73" s="8" t="inlineStr">
        <is>
          <t>TFE/PMVE/cyano-group monomer 59.4/40.1/0.5 mol (Daikin)</t>
        </is>
      </c>
      <c r="I73" s="8" t="inlineStr">
        <is>
          <t>nitrile_triazine</t>
        </is>
      </c>
      <c r="J73" s="8" t="n">
        <v>100</v>
      </c>
      <c r="K73" s="8" t="n">
        <v>23</v>
      </c>
      <c r="L73" s="8" t="n">
        <v>0</v>
      </c>
      <c r="M73" s="8" t="n">
        <v>0</v>
      </c>
      <c r="N73" s="8" t="n">
        <v>0</v>
      </c>
      <c r="O73" s="8" t="n">
        <v>0</v>
      </c>
      <c r="P73" s="8" t="n">
        <v>0</v>
      </c>
      <c r="Q73" s="8" t="n">
        <v>0</v>
      </c>
      <c r="R73" s="8" t="n">
        <v>0</v>
      </c>
      <c r="S73" s="8" t="n">
        <v>0</v>
      </c>
      <c r="T73" s="8" t="n">
        <v>0</v>
      </c>
      <c r="U73" s="8" t="n">
        <v>0.5</v>
      </c>
      <c r="V73" s="8" t="n">
        <v>0</v>
      </c>
      <c r="W73" s="8" t="n">
        <v>0</v>
      </c>
      <c r="X73" s="8" t="n">
        <v>0</v>
      </c>
      <c r="Y73" s="8" t="inlineStr">
        <is>
          <t>composite particles (Si3N4 30 nm in PMMA, Prep. Ex. 2) 0.5; carbon Thermax N990 23</t>
        </is>
      </c>
      <c r="Z73" s="8" t="n">
        <v>74</v>
      </c>
      <c r="AA73" s="8" t="n">
        <v>18.9</v>
      </c>
      <c r="AB73" s="8" t="n">
        <v>185</v>
      </c>
      <c r="AC73" s="8" t="n">
        <v>7</v>
      </c>
      <c r="AD73" s="8" t="n"/>
      <c r="AE73" s="8" t="n"/>
      <c r="AF73" s="8" t="n"/>
      <c r="AG73" s="8" t="n"/>
      <c r="AH73" s="8" t="inlineStr">
        <is>
          <t>MPa; hardness Shore A peak</t>
        </is>
      </c>
      <c r="AI73" s="8" t="inlineStr">
        <is>
          <t>Formulation from text; props Table 4 (2 mm sheet, JIS K6251). Hardness after 3 s: 67. nitrile_curative = composite particles and/or Si3N4 plus diamine crosslinker (sum). Cure: press 180C x 30 min + oven 200C x 12 h, 250C x 3 h, 290C x 3 h. No compression set reported.</t>
        </is>
      </c>
    </row>
    <row r="74">
      <c r="A74" s="8" t="inlineStr">
        <is>
          <t>US11072700B2</t>
        </is>
      </c>
      <c r="B74" s="8" t="inlineStr">
        <is>
          <t>patent</t>
        </is>
      </c>
      <c r="C74" s="8" t="inlineStr">
        <is>
          <t>Daikin Industries, Ltd.</t>
        </is>
      </c>
      <c r="D74" s="8" t="inlineStr">
        <is>
          <t>Composition comprising fluoropolymer and molded article</t>
        </is>
      </c>
      <c r="E74" s="8" t="inlineStr">
        <is>
          <t>https://patents.google.com/patent/US11072700B2/en</t>
        </is>
      </c>
      <c r="F74" s="8" t="inlineStr">
        <is>
          <t>Comparative Example 3</t>
        </is>
      </c>
      <c r="G74" s="8" t="inlineStr">
        <is>
          <t>FFKM</t>
        </is>
      </c>
      <c r="H74" s="8" t="inlineStr">
        <is>
          <t>TFE/PMVE/cyano-group monomer 59.4/40.1/0.5 mol (Daikin)</t>
        </is>
      </c>
      <c r="I74" s="8" t="inlineStr">
        <is>
          <t>nitrile_triazine</t>
        </is>
      </c>
      <c r="J74" s="8" t="n">
        <v>100</v>
      </c>
      <c r="K74" s="8" t="n">
        <v>23</v>
      </c>
      <c r="L74" s="8" t="n">
        <v>0</v>
      </c>
      <c r="M74" s="8" t="n">
        <v>0</v>
      </c>
      <c r="N74" s="8" t="n">
        <v>0</v>
      </c>
      <c r="O74" s="8" t="n">
        <v>0</v>
      </c>
      <c r="P74" s="8" t="n">
        <v>0</v>
      </c>
      <c r="Q74" s="8" t="n">
        <v>0</v>
      </c>
      <c r="R74" s="8" t="n">
        <v>0</v>
      </c>
      <c r="S74" s="8" t="n">
        <v>0</v>
      </c>
      <c r="T74" s="8" t="n">
        <v>0</v>
      </c>
      <c r="U74" s="8" t="n">
        <v>0.25</v>
      </c>
      <c r="V74" s="8" t="n">
        <v>0</v>
      </c>
      <c r="W74" s="8" t="n">
        <v>0</v>
      </c>
      <c r="X74" s="8" t="n">
        <v>0</v>
      </c>
      <c r="Y74" s="8" t="inlineStr">
        <is>
          <t>Si3N4 SN-A00 0.25; carbon Thermax N990 23</t>
        </is>
      </c>
      <c r="Z74" s="8" t="n">
        <v>74</v>
      </c>
      <c r="AA74" s="8" t="n">
        <v>19.9</v>
      </c>
      <c r="AB74" s="8" t="n">
        <v>180</v>
      </c>
      <c r="AC74" s="8" t="n">
        <v>7.4</v>
      </c>
      <c r="AD74" s="8" t="n"/>
      <c r="AE74" s="8" t="n"/>
      <c r="AF74" s="8" t="n"/>
      <c r="AG74" s="8" t="n"/>
      <c r="AH74" s="8" t="inlineStr">
        <is>
          <t>MPa; hardness Shore A peak</t>
        </is>
      </c>
      <c r="AI74" s="8" t="inlineStr">
        <is>
          <t>Formulation from text; props Table 4 (2 mm sheet, JIS K6251). Hardness after 3 s: 68. nitrile_curative = composite particles and/or Si3N4 plus diamine crosslinker (sum). Cure: press 180C x 30 min + oven 200C x 12 h, 250C x 3 h, 290C x 3 h. No compression set reported.</t>
        </is>
      </c>
    </row>
    <row r="75">
      <c r="A75" s="8" t="inlineStr">
        <is>
          <t>US12091537B2</t>
        </is>
      </c>
      <c r="B75" s="8" t="inlineStr">
        <is>
          <t>patent</t>
        </is>
      </c>
      <c r="C75" s="8" t="inlineStr">
        <is>
          <t>Daikin Industries, Ltd.</t>
        </is>
      </c>
      <c r="D75" s="8" t="inlineStr">
        <is>
          <t>Composition and molded article containing fluorine-containing polymer</t>
        </is>
      </c>
      <c r="E75" s="8" t="inlineStr">
        <is>
          <t>https://patents.google.com/patent/US12091537B2/en</t>
        </is>
      </c>
      <c r="F75" s="8" t="inlineStr">
        <is>
          <t>Example 1</t>
        </is>
      </c>
      <c r="G75" s="8" t="inlineStr">
        <is>
          <t>FFKM</t>
        </is>
      </c>
      <c r="H75" s="8" t="inlineStr">
        <is>
          <t>TFE/PMVE/cyano-group monomer 59.4/40.1/0.5 mol</t>
        </is>
      </c>
      <c r="I75" s="8" t="inlineStr">
        <is>
          <t>nitrile_other</t>
        </is>
      </c>
      <c r="J75" s="8" t="n">
        <v>100</v>
      </c>
      <c r="K75" s="8" t="n">
        <v>23</v>
      </c>
      <c r="L75" s="8" t="n">
        <v>0</v>
      </c>
      <c r="M75" s="8" t="n">
        <v>0</v>
      </c>
      <c r="N75" s="8" t="n">
        <v>0</v>
      </c>
      <c r="O75" s="8" t="n">
        <v>0</v>
      </c>
      <c r="P75" s="8" t="n">
        <v>0</v>
      </c>
      <c r="Q75" s="8" t="n">
        <v>0</v>
      </c>
      <c r="R75" s="8" t="n">
        <v>0</v>
      </c>
      <c r="S75" s="8" t="n">
        <v>0</v>
      </c>
      <c r="T75" s="8" t="n">
        <v>0</v>
      </c>
      <c r="U75" s="8" t="n">
        <v>1.3</v>
      </c>
      <c r="V75" s="8" t="n">
        <v>0</v>
      </c>
      <c r="W75" s="8" t="n">
        <v>0</v>
      </c>
      <c r="X75" s="8" t="n">
        <v>0</v>
      </c>
      <c r="Y75" s="8" t="inlineStr">
        <is>
          <t>composite particle Prep. Ex. 1 (Si3N4 in MMA/methacrylic acid polymer, MMA 38.8 ml/MAA 3.5 ml, Si3N4 62 wt%) 0.5; bis-diamine crosslinker 4,4'-[2,2,2-trifluoro-1-(trifluoromethyl)ethylidene]bis[N1-phenyl-1,2-benzenediamine] 0.8; carbon black (0.3 um) 23</t>
        </is>
      </c>
      <c r="Z75" s="8" t="n">
        <v>79</v>
      </c>
      <c r="AA75" s="8" t="n">
        <v>19.6</v>
      </c>
      <c r="AB75" s="8" t="n">
        <v>190</v>
      </c>
      <c r="AC75" s="8" t="n">
        <v>8.4</v>
      </c>
      <c r="AD75" s="8" t="n"/>
      <c r="AE75" s="8" t="n"/>
      <c r="AF75" s="8" t="n"/>
      <c r="AG75" s="8" t="n"/>
      <c r="AH75" s="8" t="inlineStr">
        <is>
          <t>MPa; hardness Shore A peak</t>
        </is>
      </c>
      <c r="AI75" s="8" t="inlineStr">
        <is>
          <t>Formulation from text; props Table 3 (2 mm sheet, JIS K6251). nitrile_curative = composite particle (or Si3N4) + diamine crosslinker 0.8 (sum). Cure: press 180C x 30 min + oven 200C x 12 h, 250C x 3 h, 290C x 3 h. No compression set reported.</t>
        </is>
      </c>
    </row>
    <row r="76">
      <c r="A76" s="8" t="inlineStr">
        <is>
          <t>US12091537B2</t>
        </is>
      </c>
      <c r="B76" s="8" t="inlineStr">
        <is>
          <t>patent</t>
        </is>
      </c>
      <c r="C76" s="8" t="inlineStr">
        <is>
          <t>Daikin Industries, Ltd.</t>
        </is>
      </c>
      <c r="D76" s="8" t="inlineStr">
        <is>
          <t>Composition and molded article containing fluorine-containing polymer</t>
        </is>
      </c>
      <c r="E76" s="8" t="inlineStr">
        <is>
          <t>https://patents.google.com/patent/US12091537B2/en</t>
        </is>
      </c>
      <c r="F76" s="8" t="inlineStr">
        <is>
          <t>Example 2</t>
        </is>
      </c>
      <c r="G76" s="8" t="inlineStr">
        <is>
          <t>FFKM</t>
        </is>
      </c>
      <c r="H76" s="8" t="inlineStr">
        <is>
          <t>TFE/PMVE/cyano-group monomer 59.4/40.1/0.5 mol</t>
        </is>
      </c>
      <c r="I76" s="8" t="inlineStr">
        <is>
          <t>nitrile_other</t>
        </is>
      </c>
      <c r="J76" s="8" t="n">
        <v>100</v>
      </c>
      <c r="K76" s="8" t="n">
        <v>23</v>
      </c>
      <c r="L76" s="8" t="n">
        <v>0</v>
      </c>
      <c r="M76" s="8" t="n">
        <v>0</v>
      </c>
      <c r="N76" s="8" t="n">
        <v>0</v>
      </c>
      <c r="O76" s="8" t="n">
        <v>0</v>
      </c>
      <c r="P76" s="8" t="n">
        <v>0</v>
      </c>
      <c r="Q76" s="8" t="n">
        <v>0</v>
      </c>
      <c r="R76" s="8" t="n">
        <v>0</v>
      </c>
      <c r="S76" s="8" t="n">
        <v>0</v>
      </c>
      <c r="T76" s="8" t="n">
        <v>0</v>
      </c>
      <c r="U76" s="8" t="n">
        <v>1.3</v>
      </c>
      <c r="V76" s="8" t="n">
        <v>0</v>
      </c>
      <c r="W76" s="8" t="n">
        <v>0</v>
      </c>
      <c r="X76" s="8" t="n">
        <v>0</v>
      </c>
      <c r="Y76" s="8" t="inlineStr">
        <is>
          <t>composite particle Prep. Ex. 2 (MMA 31.1 ml/MAA 10.7 ml, Si3N4 58 wt%) 0.5; bis-diamine crosslinker 4,4'-[2,2,2-trifluoro-1-(trifluoromethyl)ethylidene]bis[N1-phenyl-1,2-benzenediamine] 0.8; carbon black (0.3 um) 23</t>
        </is>
      </c>
      <c r="Z76" s="8" t="n">
        <v>78</v>
      </c>
      <c r="AA76" s="8" t="n">
        <v>19.1</v>
      </c>
      <c r="AB76" s="8" t="n">
        <v>210</v>
      </c>
      <c r="AC76" s="8" t="n">
        <v>8.5</v>
      </c>
      <c r="AD76" s="8" t="n"/>
      <c r="AE76" s="8" t="n"/>
      <c r="AF76" s="8" t="n"/>
      <c r="AG76" s="8" t="n"/>
      <c r="AH76" s="8" t="inlineStr">
        <is>
          <t>MPa; hardness Shore A peak</t>
        </is>
      </c>
      <c r="AI76" s="8" t="inlineStr">
        <is>
          <t>Formulation from text; props Table 3 (2 mm sheet, JIS K6251). nitrile_curative = composite particle (or Si3N4) + diamine crosslinker 0.8 (sum). Cure: press 180C x 30 min + oven 200C x 12 h, 250C x 3 h, 290C x 3 h. No compression set reported.</t>
        </is>
      </c>
    </row>
    <row r="77">
      <c r="A77" s="8" t="inlineStr">
        <is>
          <t>US12091537B2</t>
        </is>
      </c>
      <c r="B77" s="8" t="inlineStr">
        <is>
          <t>patent</t>
        </is>
      </c>
      <c r="C77" s="8" t="inlineStr">
        <is>
          <t>Daikin Industries, Ltd.</t>
        </is>
      </c>
      <c r="D77" s="8" t="inlineStr">
        <is>
          <t>Composition and molded article containing fluorine-containing polymer</t>
        </is>
      </c>
      <c r="E77" s="8" t="inlineStr">
        <is>
          <t>https://patents.google.com/patent/US12091537B2/en</t>
        </is>
      </c>
      <c r="F77" s="8" t="inlineStr">
        <is>
          <t>Example 3</t>
        </is>
      </c>
      <c r="G77" s="8" t="inlineStr">
        <is>
          <t>FFKM</t>
        </is>
      </c>
      <c r="H77" s="8" t="inlineStr">
        <is>
          <t>TFE/PMVE/cyano-group monomer 59.4/40.1/0.5 mol</t>
        </is>
      </c>
      <c r="I77" s="8" t="inlineStr">
        <is>
          <t>nitrile_other</t>
        </is>
      </c>
      <c r="J77" s="8" t="n">
        <v>100</v>
      </c>
      <c r="K77" s="8" t="n">
        <v>23</v>
      </c>
      <c r="L77" s="8" t="n">
        <v>0</v>
      </c>
      <c r="M77" s="8" t="n">
        <v>0</v>
      </c>
      <c r="N77" s="8" t="n">
        <v>0</v>
      </c>
      <c r="O77" s="8" t="n">
        <v>0</v>
      </c>
      <c r="P77" s="8" t="n">
        <v>0</v>
      </c>
      <c r="Q77" s="8" t="n">
        <v>0</v>
      </c>
      <c r="R77" s="8" t="n">
        <v>0</v>
      </c>
      <c r="S77" s="8" t="n">
        <v>0</v>
      </c>
      <c r="T77" s="8" t="n">
        <v>0</v>
      </c>
      <c r="U77" s="8" t="n">
        <v>1.3</v>
      </c>
      <c r="V77" s="8" t="n">
        <v>0</v>
      </c>
      <c r="W77" s="8" t="n">
        <v>0</v>
      </c>
      <c r="X77" s="8" t="n">
        <v>0</v>
      </c>
      <c r="Y77" s="8" t="inlineStr">
        <is>
          <t>composite particle Prep. Ex. 3 (MMA 21.6 ml/MAA 17.3 ml, Si3N4 60 wt%) 0.5; bis-diamine crosslinker 4,4'-[2,2,2-trifluoro-1-(trifluoromethyl)ethylidene]bis[N1-phenyl-1,2-benzenediamine] 0.8; carbon black (0.3 um) 23</t>
        </is>
      </c>
      <c r="Z77" s="8" t="n">
        <v>79</v>
      </c>
      <c r="AA77" s="8" t="n">
        <v>19.3</v>
      </c>
      <c r="AB77" s="8" t="n">
        <v>190</v>
      </c>
      <c r="AC77" s="8" t="n">
        <v>9</v>
      </c>
      <c r="AD77" s="8" t="n"/>
      <c r="AE77" s="8" t="n"/>
      <c r="AF77" s="8" t="n"/>
      <c r="AG77" s="8" t="n"/>
      <c r="AH77" s="8" t="inlineStr">
        <is>
          <t>MPa; hardness Shore A peak</t>
        </is>
      </c>
      <c r="AI77" s="8" t="inlineStr">
        <is>
          <t>Formulation from text; props Table 3 (2 mm sheet, JIS K6251). nitrile_curative = composite particle (or Si3N4) + diamine crosslinker 0.8 (sum). Cure: press 180C x 30 min + oven 200C x 12 h, 250C x 3 h, 290C x 3 h. No compression set reported.</t>
        </is>
      </c>
    </row>
    <row r="78">
      <c r="A78" s="8" t="inlineStr">
        <is>
          <t>US12091537B2</t>
        </is>
      </c>
      <c r="B78" s="8" t="inlineStr">
        <is>
          <t>patent</t>
        </is>
      </c>
      <c r="C78" s="8" t="inlineStr">
        <is>
          <t>Daikin Industries, Ltd.</t>
        </is>
      </c>
      <c r="D78" s="8" t="inlineStr">
        <is>
          <t>Composition and molded article containing fluorine-containing polymer</t>
        </is>
      </c>
      <c r="E78" s="8" t="inlineStr">
        <is>
          <t>https://patents.google.com/patent/US12091537B2/en</t>
        </is>
      </c>
      <c r="F78" s="8" t="inlineStr">
        <is>
          <t>Example 4</t>
        </is>
      </c>
      <c r="G78" s="8" t="inlineStr">
        <is>
          <t>FFKM</t>
        </is>
      </c>
      <c r="H78" s="8" t="inlineStr">
        <is>
          <t>TFE/PMVE/cyano-group monomer 59.4/40.1/0.5 mol</t>
        </is>
      </c>
      <c r="I78" s="8" t="inlineStr">
        <is>
          <t>nitrile_other</t>
        </is>
      </c>
      <c r="J78" s="8" t="n">
        <v>100</v>
      </c>
      <c r="K78" s="8" t="n">
        <v>23</v>
      </c>
      <c r="L78" s="8" t="n">
        <v>0</v>
      </c>
      <c r="M78" s="8" t="n">
        <v>0</v>
      </c>
      <c r="N78" s="8" t="n">
        <v>0</v>
      </c>
      <c r="O78" s="8" t="n">
        <v>0</v>
      </c>
      <c r="P78" s="8" t="n">
        <v>0</v>
      </c>
      <c r="Q78" s="8" t="n">
        <v>0</v>
      </c>
      <c r="R78" s="8" t="n">
        <v>0</v>
      </c>
      <c r="S78" s="8" t="n">
        <v>0</v>
      </c>
      <c r="T78" s="8" t="n">
        <v>0</v>
      </c>
      <c r="U78" s="8" t="n">
        <v>1.3</v>
      </c>
      <c r="V78" s="8" t="n">
        <v>0</v>
      </c>
      <c r="W78" s="8" t="n">
        <v>0</v>
      </c>
      <c r="X78" s="8" t="n">
        <v>0</v>
      </c>
      <c r="Y78" s="8" t="inlineStr">
        <is>
          <t>composite particle Prep. Ex. 4 (MMA 13.0 ml/MAA 24.2 ml, Si3N4 62 wt%) 0.5; bis-diamine crosslinker 4,4'-[2,2,2-trifluoro-1-(trifluoromethyl)ethylidene]bis[N1-phenyl-1,2-benzenediamine] 0.8; carbon black (0.3 um) 23</t>
        </is>
      </c>
      <c r="Z78" s="8" t="n">
        <v>79</v>
      </c>
      <c r="AA78" s="8" t="n">
        <v>18.2</v>
      </c>
      <c r="AB78" s="8" t="n">
        <v>210</v>
      </c>
      <c r="AC78" s="8" t="n">
        <v>7.9</v>
      </c>
      <c r="AD78" s="8" t="n"/>
      <c r="AE78" s="8" t="n"/>
      <c r="AF78" s="8" t="n"/>
      <c r="AG78" s="8" t="n"/>
      <c r="AH78" s="8" t="inlineStr">
        <is>
          <t>MPa; hardness Shore A peak</t>
        </is>
      </c>
      <c r="AI78" s="8" t="inlineStr">
        <is>
          <t>Formulation from text; props Table 3 (2 mm sheet, JIS K6251). nitrile_curative = composite particle (or Si3N4) + diamine crosslinker 0.8 (sum). Cure: press 180C x 30 min + oven 200C x 12 h, 250C x 3 h, 290C x 3 h. No compression set reported.</t>
        </is>
      </c>
    </row>
    <row r="79">
      <c r="A79" s="8" t="inlineStr">
        <is>
          <t>US12091537B2</t>
        </is>
      </c>
      <c r="B79" s="8" t="inlineStr">
        <is>
          <t>patent</t>
        </is>
      </c>
      <c r="C79" s="8" t="inlineStr">
        <is>
          <t>Daikin Industries, Ltd.</t>
        </is>
      </c>
      <c r="D79" s="8" t="inlineStr">
        <is>
          <t>Composition and molded article containing fluorine-containing polymer</t>
        </is>
      </c>
      <c r="E79" s="8" t="inlineStr">
        <is>
          <t>https://patents.google.com/patent/US12091537B2/en</t>
        </is>
      </c>
      <c r="F79" s="8" t="inlineStr">
        <is>
          <t>Example 5</t>
        </is>
      </c>
      <c r="G79" s="8" t="inlineStr">
        <is>
          <t>FFKM</t>
        </is>
      </c>
      <c r="H79" s="8" t="inlineStr">
        <is>
          <t>TFE/PMVE/cyano-group monomer 59.4/40.1/0.5 mol</t>
        </is>
      </c>
      <c r="I79" s="8" t="inlineStr">
        <is>
          <t>nitrile_other</t>
        </is>
      </c>
      <c r="J79" s="8" t="n">
        <v>100</v>
      </c>
      <c r="K79" s="8" t="n">
        <v>23</v>
      </c>
      <c r="L79" s="8" t="n">
        <v>0</v>
      </c>
      <c r="M79" s="8" t="n">
        <v>0</v>
      </c>
      <c r="N79" s="8" t="n">
        <v>0</v>
      </c>
      <c r="O79" s="8" t="n">
        <v>0</v>
      </c>
      <c r="P79" s="8" t="n">
        <v>0</v>
      </c>
      <c r="Q79" s="8" t="n">
        <v>0</v>
      </c>
      <c r="R79" s="8" t="n">
        <v>0</v>
      </c>
      <c r="S79" s="8" t="n">
        <v>0</v>
      </c>
      <c r="T79" s="8" t="n">
        <v>0</v>
      </c>
      <c r="U79" s="8" t="n">
        <v>1.3</v>
      </c>
      <c r="V79" s="8" t="n">
        <v>0</v>
      </c>
      <c r="W79" s="8" t="n">
        <v>0</v>
      </c>
      <c r="X79" s="8" t="n">
        <v>0</v>
      </c>
      <c r="Y79" s="8" t="inlineStr">
        <is>
          <t>composite particle Prep. Ex. 5 (MAA only 34.5 ml, Si3N4 60 wt%) 0.5; bis-diamine crosslinker 4,4'-[2,2,2-trifluoro-1-(trifluoromethyl)ethylidene]bis[N1-phenyl-1,2-benzenediamine] 0.8; carbon black (0.3 um) 23</t>
        </is>
      </c>
      <c r="Z79" s="8" t="n">
        <v>79</v>
      </c>
      <c r="AA79" s="8" t="n">
        <v>19.4</v>
      </c>
      <c r="AB79" s="8" t="n">
        <v>200</v>
      </c>
      <c r="AC79" s="8" t="n">
        <v>8.199999999999999</v>
      </c>
      <c r="AD79" s="8" t="n"/>
      <c r="AE79" s="8" t="n"/>
      <c r="AF79" s="8" t="n"/>
      <c r="AG79" s="8" t="n"/>
      <c r="AH79" s="8" t="inlineStr">
        <is>
          <t>MPa; hardness Shore A peak</t>
        </is>
      </c>
      <c r="AI79" s="8" t="inlineStr">
        <is>
          <t>Formulation from text; props Table 3 (2 mm sheet, JIS K6251). nitrile_curative = composite particle (or Si3N4) + diamine crosslinker 0.8 (sum). Cure: press 180C x 30 min + oven 200C x 12 h, 250C x 3 h, 290C x 3 h. No compression set reported.</t>
        </is>
      </c>
    </row>
    <row r="80">
      <c r="A80" s="8" t="inlineStr">
        <is>
          <t>US12091537B2</t>
        </is>
      </c>
      <c r="B80" s="8" t="inlineStr">
        <is>
          <t>patent</t>
        </is>
      </c>
      <c r="C80" s="8" t="inlineStr">
        <is>
          <t>Daikin Industries, Ltd.</t>
        </is>
      </c>
      <c r="D80" s="8" t="inlineStr">
        <is>
          <t>Composition and molded article containing fluorine-containing polymer</t>
        </is>
      </c>
      <c r="E80" s="8" t="inlineStr">
        <is>
          <t>https://patents.google.com/patent/US12091537B2/en</t>
        </is>
      </c>
      <c r="F80" s="8" t="inlineStr">
        <is>
          <t>Comparative Example 1</t>
        </is>
      </c>
      <c r="G80" s="8" t="inlineStr">
        <is>
          <t>FFKM</t>
        </is>
      </c>
      <c r="H80" s="8" t="inlineStr">
        <is>
          <t>TFE/PMVE/cyano-group monomer 59.4/40.1/0.5 mol</t>
        </is>
      </c>
      <c r="I80" s="8" t="inlineStr">
        <is>
          <t>nitrile_other</t>
        </is>
      </c>
      <c r="J80" s="8" t="n">
        <v>100</v>
      </c>
      <c r="K80" s="8" t="n">
        <v>23</v>
      </c>
      <c r="L80" s="8" t="n">
        <v>0</v>
      </c>
      <c r="M80" s="8" t="n">
        <v>0</v>
      </c>
      <c r="N80" s="8" t="n">
        <v>0</v>
      </c>
      <c r="O80" s="8" t="n">
        <v>0</v>
      </c>
      <c r="P80" s="8" t="n">
        <v>0</v>
      </c>
      <c r="Q80" s="8" t="n">
        <v>0</v>
      </c>
      <c r="R80" s="8" t="n">
        <v>0</v>
      </c>
      <c r="S80" s="8" t="n">
        <v>0</v>
      </c>
      <c r="T80" s="8" t="n">
        <v>0</v>
      </c>
      <c r="U80" s="8" t="n">
        <v>1.3</v>
      </c>
      <c r="V80" s="8" t="n">
        <v>0</v>
      </c>
      <c r="W80" s="8" t="n">
        <v>0</v>
      </c>
      <c r="X80" s="8" t="n">
        <v>0</v>
      </c>
      <c r="Y80" s="8" t="inlineStr">
        <is>
          <t>composite particle Prep. Ex. 6 (PMMA only 43.2 ml, Si3N4 57 wt%) 0.5; bis-diamine crosslinker 4,4'-[2,2,2-trifluoro-1-(trifluoromethyl)ethylidene]bis[N1-phenyl-1,2-benzenediamine] 0.8; carbon black (0.3 um) 23</t>
        </is>
      </c>
      <c r="Z80" s="8" t="n">
        <v>79</v>
      </c>
      <c r="AA80" s="8" t="n">
        <v>19.9</v>
      </c>
      <c r="AB80" s="8" t="n">
        <v>200</v>
      </c>
      <c r="AC80" s="8" t="n">
        <v>8.9</v>
      </c>
      <c r="AD80" s="8" t="n"/>
      <c r="AE80" s="8" t="n"/>
      <c r="AF80" s="8" t="n"/>
      <c r="AG80" s="8" t="n"/>
      <c r="AH80" s="8" t="inlineStr">
        <is>
          <t>MPa; hardness Shore A peak</t>
        </is>
      </c>
      <c r="AI80" s="8" t="inlineStr">
        <is>
          <t>Formulation from text; props Table 3 (2 mm sheet, JIS K6251). nitrile_curative = composite particle (or Si3N4) + diamine crosslinker 0.8 (sum). Cure: press 180C x 30 min + oven 200C x 12 h, 250C x 3 h, 290C x 3 h. No compression set reported.</t>
        </is>
      </c>
    </row>
    <row r="81">
      <c r="A81" s="8" t="inlineStr">
        <is>
          <t>US12091537B2</t>
        </is>
      </c>
      <c r="B81" s="8" t="inlineStr">
        <is>
          <t>patent</t>
        </is>
      </c>
      <c r="C81" s="8" t="inlineStr">
        <is>
          <t>Daikin Industries, Ltd.</t>
        </is>
      </c>
      <c r="D81" s="8" t="inlineStr">
        <is>
          <t>Composition and molded article containing fluorine-containing polymer</t>
        </is>
      </c>
      <c r="E81" s="8" t="inlineStr">
        <is>
          <t>https://patents.google.com/patent/US12091537B2/en</t>
        </is>
      </c>
      <c r="F81" s="8" t="inlineStr">
        <is>
          <t>Reference Example 1</t>
        </is>
      </c>
      <c r="G81" s="8" t="inlineStr">
        <is>
          <t>FFKM</t>
        </is>
      </c>
      <c r="H81" s="8" t="inlineStr">
        <is>
          <t>TFE/PMVE/cyano-group monomer 59.4/40.1/0.5 mol</t>
        </is>
      </c>
      <c r="I81" s="8" t="inlineStr">
        <is>
          <t>nitrile_other</t>
        </is>
      </c>
      <c r="J81" s="8" t="n">
        <v>100</v>
      </c>
      <c r="K81" s="8" t="n">
        <v>23</v>
      </c>
      <c r="L81" s="8" t="n">
        <v>0</v>
      </c>
      <c r="M81" s="8" t="n">
        <v>0</v>
      </c>
      <c r="N81" s="8" t="n">
        <v>0</v>
      </c>
      <c r="O81" s="8" t="n">
        <v>0</v>
      </c>
      <c r="P81" s="8" t="n">
        <v>0</v>
      </c>
      <c r="Q81" s="8" t="n">
        <v>0</v>
      </c>
      <c r="R81" s="8" t="n">
        <v>0</v>
      </c>
      <c r="S81" s="8" t="n">
        <v>0</v>
      </c>
      <c r="T81" s="8" t="n">
        <v>0</v>
      </c>
      <c r="U81" s="8" t="n">
        <v>1.05</v>
      </c>
      <c r="V81" s="8" t="n">
        <v>0</v>
      </c>
      <c r="W81" s="8" t="n">
        <v>0</v>
      </c>
      <c r="X81" s="8" t="n">
        <v>0</v>
      </c>
      <c r="Y81" s="8" t="inlineStr">
        <is>
          <t>Si3N4 (30 nm) 0.25 (no composite particle); bis-diamine crosslinker 4,4'-[2,2,2-trifluoro-1-(trifluoromethyl)ethylidene]bis[N1-phenyl-1,2-benzenediamine] 0.8; carbon black (0.3 um) 23</t>
        </is>
      </c>
      <c r="Z81" s="8" t="n">
        <v>75</v>
      </c>
      <c r="AA81" s="8" t="n">
        <v>19.3</v>
      </c>
      <c r="AB81" s="8" t="n">
        <v>180</v>
      </c>
      <c r="AC81" s="8" t="n">
        <v>8</v>
      </c>
      <c r="AD81" s="8" t="n"/>
      <c r="AE81" s="8" t="n"/>
      <c r="AF81" s="8" t="n"/>
      <c r="AG81" s="8" t="n"/>
      <c r="AH81" s="8" t="inlineStr">
        <is>
          <t>MPa; hardness Shore A peak</t>
        </is>
      </c>
      <c r="AI81" s="8" t="inlineStr">
        <is>
          <t>Formulation from text; props Table 3 (2 mm sheet, JIS K6251). nitrile_curative = composite particle (or Si3N4) + diamine crosslinker 0.8 (sum). Cure: press 180C x 30 min + oven 200C x 12 h, 250C x 3 h, 290C x 3 h. No compression set reported.</t>
        </is>
      </c>
    </row>
    <row r="82">
      <c r="A82" s="8" t="inlineStr">
        <is>
          <t>US12304984B2</t>
        </is>
      </c>
      <c r="B82" s="8" t="inlineStr">
        <is>
          <t>patent</t>
        </is>
      </c>
      <c r="C82" s="8" t="inlineStr">
        <is>
          <t>Daikin Industries, Ltd.</t>
        </is>
      </c>
      <c r="D82" s="8" t="inlineStr">
        <is>
          <t>Composition containing fluorine-containing polymer and crosslinked article</t>
        </is>
      </c>
      <c r="E82" s="8" t="inlineStr">
        <is>
          <t>https://patents.google.com/patent/US12304984B2/en</t>
        </is>
      </c>
      <c r="F82" s="8" t="inlineStr">
        <is>
          <t>Example 1</t>
        </is>
      </c>
      <c r="G82" s="8" t="inlineStr">
        <is>
          <t>FFKM</t>
        </is>
      </c>
      <c r="H82" s="8" t="inlineStr">
        <is>
          <t>TFE/PMVE/CNVE 59.3/39.9/0.8 mol%, Mooney ML1+20(170C)=80</t>
        </is>
      </c>
      <c r="I82" s="8" t="inlineStr">
        <is>
          <t>nitrile_other</t>
        </is>
      </c>
      <c r="J82" s="8" t="n">
        <v>100</v>
      </c>
      <c r="K82" s="8" t="n">
        <v>0</v>
      </c>
      <c r="L82" s="8" t="n">
        <v>0</v>
      </c>
      <c r="M82" s="8" t="n">
        <v>0</v>
      </c>
      <c r="N82" s="8" t="n">
        <v>0</v>
      </c>
      <c r="O82" s="8" t="n">
        <v>0</v>
      </c>
      <c r="P82" s="8" t="n">
        <v>0</v>
      </c>
      <c r="Q82" s="8" t="n">
        <v>10</v>
      </c>
      <c r="R82" s="8" t="n">
        <v>0</v>
      </c>
      <c r="S82" s="8" t="n">
        <v>0</v>
      </c>
      <c r="T82" s="8" t="n">
        <v>0</v>
      </c>
      <c r="U82" s="8" t="n">
        <v>0.8</v>
      </c>
      <c r="V82" s="8" t="n">
        <v>0</v>
      </c>
      <c r="W82" s="8" t="n">
        <v>0</v>
      </c>
      <c r="X82" s="8" t="n">
        <v>0</v>
      </c>
      <c r="Y82" s="8" t="inlineStr">
        <is>
          <t>non-stoichiometric silicon oxide SiOx (0&lt;x&lt;2, Si 41 at%, 22 nm, thermal-plasma made) 10; bis-diamine crosslinker 4,4'-[2,2,2-trifluoro-1-(trifluoromethyl)ethylidene]bis[N1-phenyl-1,2-benzenediamine] 0.8</t>
        </is>
      </c>
      <c r="Z82" s="8" t="n">
        <v>75</v>
      </c>
      <c r="AA82" s="8" t="n">
        <v>10.2</v>
      </c>
      <c r="AB82" s="8" t="n">
        <v>201</v>
      </c>
      <c r="AC82" s="8" t="n">
        <v>3.6</v>
      </c>
      <c r="AD82" s="8" t="n"/>
      <c r="AE82" s="8" t="n"/>
      <c r="AF82" s="8" t="n"/>
      <c r="AG82" s="8" t="n"/>
      <c r="AH82" s="8" t="inlineStr">
        <is>
          <t>MPa; hardness Shore A peak</t>
        </is>
      </c>
      <c r="AI82" s="8" t="inlineStr">
        <is>
          <t>Formulation from text; props Table 1 (2 mm sheet, JIS K6251). SiOx placed in other_inorganic (not SiO2). TG weight increase at 400C 0.18%. Cure: press 180C x 30 min + oven 290C x 18 h in N2. No compression set reported.</t>
        </is>
      </c>
    </row>
    <row r="83">
      <c r="A83" s="8" t="inlineStr">
        <is>
          <t>US12304984B2</t>
        </is>
      </c>
      <c r="B83" s="8" t="inlineStr">
        <is>
          <t>patent</t>
        </is>
      </c>
      <c r="C83" s="8" t="inlineStr">
        <is>
          <t>Daikin Industries, Ltd.</t>
        </is>
      </c>
      <c r="D83" s="8" t="inlineStr">
        <is>
          <t>Composition containing fluorine-containing polymer and crosslinked article</t>
        </is>
      </c>
      <c r="E83" s="8" t="inlineStr">
        <is>
          <t>https://patents.google.com/patent/US12304984B2/en</t>
        </is>
      </c>
      <c r="F83" s="8" t="inlineStr">
        <is>
          <t>Example 2</t>
        </is>
      </c>
      <c r="G83" s="8" t="inlineStr">
        <is>
          <t>FFKM</t>
        </is>
      </c>
      <c r="H83" s="8" t="inlineStr">
        <is>
          <t>TFE/PMVE/CNVE 59.3/39.9/0.8 mol%, Mooney ML1+20(170C)=80</t>
        </is>
      </c>
      <c r="I83" s="8" t="inlineStr">
        <is>
          <t>nitrile_other</t>
        </is>
      </c>
      <c r="J83" s="8" t="n">
        <v>100</v>
      </c>
      <c r="K83" s="8" t="n">
        <v>0</v>
      </c>
      <c r="L83" s="8" t="n">
        <v>0</v>
      </c>
      <c r="M83" s="8" t="n">
        <v>0</v>
      </c>
      <c r="N83" s="8" t="n">
        <v>0</v>
      </c>
      <c r="O83" s="8" t="n">
        <v>0</v>
      </c>
      <c r="P83" s="8" t="n">
        <v>0</v>
      </c>
      <c r="Q83" s="8" t="n">
        <v>20</v>
      </c>
      <c r="R83" s="8" t="n">
        <v>0</v>
      </c>
      <c r="S83" s="8" t="n">
        <v>0</v>
      </c>
      <c r="T83" s="8" t="n">
        <v>0</v>
      </c>
      <c r="U83" s="8" t="n">
        <v>0.8</v>
      </c>
      <c r="V83" s="8" t="n">
        <v>0</v>
      </c>
      <c r="W83" s="8" t="n">
        <v>0</v>
      </c>
      <c r="X83" s="8" t="n">
        <v>0</v>
      </c>
      <c r="Y83" s="8" t="inlineStr">
        <is>
          <t>non-stoichiometric silicon oxide SiOx (0&lt;x&lt;2, Si 41 at%, 22 nm, thermal-plasma made) 20; bis-diamine crosslinker 4,4'-[2,2,2-trifluoro-1-(trifluoromethyl)ethylidene]bis[N1-phenyl-1,2-benzenediamine] 0.8</t>
        </is>
      </c>
      <c r="Z83" s="8" t="n">
        <v>88</v>
      </c>
      <c r="AA83" s="8" t="n">
        <v>20.4</v>
      </c>
      <c r="AB83" s="8" t="n">
        <v>216</v>
      </c>
      <c r="AC83" s="8" t="n">
        <v>9.9</v>
      </c>
      <c r="AD83" s="8" t="n"/>
      <c r="AE83" s="8" t="n"/>
      <c r="AF83" s="8" t="n"/>
      <c r="AG83" s="8" t="n"/>
      <c r="AH83" s="8" t="inlineStr">
        <is>
          <t>MPa; hardness Shore A peak</t>
        </is>
      </c>
      <c r="AI83" s="8" t="inlineStr">
        <is>
          <t>Formulation from text; props Table 1 (2 mm sheet, JIS K6251). SiOx placed in other_inorganic (not SiO2). TG weight increase at 400C 0.51%. Cure: press 180C x 30 min + oven 290C x 18 h in N2. No compression set reported.</t>
        </is>
      </c>
    </row>
    <row r="84">
      <c r="A84" s="8" t="inlineStr">
        <is>
          <t>US8367776B2</t>
        </is>
      </c>
      <c r="B84" s="8" t="inlineStr">
        <is>
          <t>patent</t>
        </is>
      </c>
      <c r="C84" s="8" t="inlineStr">
        <is>
          <t>Daikin Industries Ltd; Greene Tweed of Delaware Inc</t>
        </is>
      </c>
      <c r="D84" s="8" t="inlineStr">
        <is>
          <t>Perfluoroelastomer compositions and methods of preparing same</t>
        </is>
      </c>
      <c r="E84" s="8" t="inlineStr">
        <is>
          <t>https://patents.google.com/patent/US8367776B2/en</t>
        </is>
      </c>
      <c r="F84" s="8" t="inlineStr">
        <is>
          <t>Example 3</t>
        </is>
      </c>
      <c r="G84" s="8" t="inlineStr">
        <is>
          <t>FFKM</t>
        </is>
      </c>
      <c r="H84" s="8" t="inlineStr">
        <is>
          <t>50/50 blend: Perfluoroelastomer (1) TFE/PMVE/CF2=CFO(CF2)5CN 57.9/41.7/0.43 mol% + Perfluoroelastomer (2) TFE/PMVE/CF2=CFO(CF2)5CN 69.4/30.2/0.43 mol%</t>
        </is>
      </c>
      <c r="I84" s="8" t="inlineStr">
        <is>
          <t>nitrile_other</t>
        </is>
      </c>
      <c r="J84" s="8" t="n">
        <v>100</v>
      </c>
      <c r="K84" s="8" t="n">
        <v>0</v>
      </c>
      <c r="L84" s="8" t="n">
        <v>0</v>
      </c>
      <c r="M84" s="8" t="n">
        <v>0</v>
      </c>
      <c r="N84" s="8" t="n">
        <v>0</v>
      </c>
      <c r="O84" s="8" t="n">
        <v>0</v>
      </c>
      <c r="P84" s="8" t="n">
        <v>0</v>
      </c>
      <c r="Q84" s="8" t="n">
        <v>0</v>
      </c>
      <c r="R84" s="8" t="n">
        <v>0</v>
      </c>
      <c r="S84" s="8" t="n">
        <v>0</v>
      </c>
      <c r="T84" s="8" t="n">
        <v>0</v>
      </c>
      <c r="U84" s="8" t="n">
        <v>1</v>
      </c>
      <c r="V84" s="8" t="n">
        <v>0</v>
      </c>
      <c r="W84" s="8" t="n">
        <v>0</v>
      </c>
      <c r="X84" s="8" t="n">
        <v>0</v>
      </c>
      <c r="Y84" s="8" t="inlineStr">
        <is>
          <t>NPh-AF curative (bis-N-phenyl-o-phenylenediamine AF); no filler</t>
        </is>
      </c>
      <c r="Z84" s="8" t="n">
        <v>68</v>
      </c>
      <c r="AA84" s="8" t="n">
        <v>16</v>
      </c>
      <c r="AB84" s="8" t="n">
        <v>250</v>
      </c>
      <c r="AC84" s="8" t="n">
        <v>2.1</v>
      </c>
      <c r="AD84" s="8" t="n"/>
      <c r="AE84" s="8" t="n"/>
      <c r="AF84" s="8" t="n"/>
      <c r="AG84" s="8" t="n"/>
      <c r="AH84" s="8" t="inlineStr">
        <is>
          <t>MPa; Shore A (JIS K6301)</t>
        </is>
      </c>
      <c r="AI84" s="8" t="inlineStr">
        <is>
          <t>Table 2. NPh-AF = 4,4'-[2,2,2-trifluoro-1-(trifluoromethyl)ethylidene]bis[N1-phenyl-1,2-benzenediamine]. Press 180C x 20 min + oven 290C x 18 h; P-24 O-ring / 2 mm sheet; unfilled.</t>
        </is>
      </c>
    </row>
    <row r="85">
      <c r="A85" s="8" t="inlineStr">
        <is>
          <t>US8367776B2</t>
        </is>
      </c>
      <c r="B85" s="8" t="inlineStr">
        <is>
          <t>patent</t>
        </is>
      </c>
      <c r="C85" s="8" t="inlineStr">
        <is>
          <t>Daikin Industries Ltd; Greene Tweed of Delaware Inc</t>
        </is>
      </c>
      <c r="D85" s="8" t="inlineStr">
        <is>
          <t>Perfluoroelastomer compositions and methods of preparing same</t>
        </is>
      </c>
      <c r="E85" s="8" t="inlineStr">
        <is>
          <t>https://patents.google.com/patent/US8367776B2/en</t>
        </is>
      </c>
      <c r="F85" s="8" t="inlineStr">
        <is>
          <t>Comparative Example 1</t>
        </is>
      </c>
      <c r="G85" s="8" t="inlineStr">
        <is>
          <t>FFKM</t>
        </is>
      </c>
      <c r="H85" s="8" t="inlineStr">
        <is>
          <t>Perfluoroelastomer (1) TFE/PMVE/CF2=CFO(CF2)5CN 57.9/41.7/0.43 mol%</t>
        </is>
      </c>
      <c r="I85" s="8" t="inlineStr">
        <is>
          <t>nitrile_other</t>
        </is>
      </c>
      <c r="J85" s="8" t="n">
        <v>100</v>
      </c>
      <c r="K85" s="8" t="n">
        <v>0</v>
      </c>
      <c r="L85" s="8" t="n">
        <v>0</v>
      </c>
      <c r="M85" s="8" t="n">
        <v>0</v>
      </c>
      <c r="N85" s="8" t="n">
        <v>0</v>
      </c>
      <c r="O85" s="8" t="n">
        <v>0</v>
      </c>
      <c r="P85" s="8" t="n">
        <v>0</v>
      </c>
      <c r="Q85" s="8" t="n">
        <v>0</v>
      </c>
      <c r="R85" s="8" t="n">
        <v>0</v>
      </c>
      <c r="S85" s="8" t="n">
        <v>0</v>
      </c>
      <c r="T85" s="8" t="n">
        <v>0</v>
      </c>
      <c r="U85" s="8" t="n">
        <v>1</v>
      </c>
      <c r="V85" s="8" t="n">
        <v>0</v>
      </c>
      <c r="W85" s="8" t="n">
        <v>0</v>
      </c>
      <c r="X85" s="8" t="n">
        <v>0</v>
      </c>
      <c r="Y85" s="8" t="inlineStr">
        <is>
          <t>NPh-AF curative (bis-N-phenyl-o-phenylenediamine AF); no filler</t>
        </is>
      </c>
      <c r="Z85" s="8" t="n">
        <v>59</v>
      </c>
      <c r="AA85" s="8" t="n">
        <v>6.7</v>
      </c>
      <c r="AB85" s="8" t="n">
        <v>275</v>
      </c>
      <c r="AC85" s="8" t="n">
        <v>1.3</v>
      </c>
      <c r="AD85" s="8" t="n"/>
      <c r="AE85" s="8" t="n"/>
      <c r="AF85" s="8" t="n"/>
      <c r="AG85" s="8" t="n"/>
      <c r="AH85" s="8" t="inlineStr">
        <is>
          <t>MPa; Shore A (JIS K6301)</t>
        </is>
      </c>
      <c r="AI85" s="8" t="inlineStr">
        <is>
          <t>Table 2. NPh-AF = 4,4'-[2,2,2-trifluoro-1-(trifluoromethyl)ethylidene]bis[N1-phenyl-1,2-benzenediamine]. Press 180C x 20 min + oven 290C x 18 h; P-24 O-ring / 2 mm sheet; unfilled.</t>
        </is>
      </c>
    </row>
    <row r="86">
      <c r="A86" s="8" t="inlineStr">
        <is>
          <t>US8367776B2</t>
        </is>
      </c>
      <c r="B86" s="8" t="inlineStr">
        <is>
          <t>patent</t>
        </is>
      </c>
      <c r="C86" s="8" t="inlineStr">
        <is>
          <t>Daikin Industries Ltd; Greene Tweed of Delaware Inc</t>
        </is>
      </c>
      <c r="D86" s="8" t="inlineStr">
        <is>
          <t>Perfluoroelastomer compositions and methods of preparing same</t>
        </is>
      </c>
      <c r="E86" s="8" t="inlineStr">
        <is>
          <t>https://patents.google.com/patent/US8367776B2/en</t>
        </is>
      </c>
      <c r="F86" s="8" t="inlineStr">
        <is>
          <t>Comparative Example 2</t>
        </is>
      </c>
      <c r="G86" s="8" t="inlineStr">
        <is>
          <t>FFKM</t>
        </is>
      </c>
      <c r="H86" s="8" t="inlineStr">
        <is>
          <t>Perfluoroelastomer (2) TFE/PMVE/CF2=CFO(CF2)5CN 69.4/30.2/0.43 mol%</t>
        </is>
      </c>
      <c r="I86" s="8" t="inlineStr">
        <is>
          <t>nitrile_other</t>
        </is>
      </c>
      <c r="J86" s="8" t="n">
        <v>100</v>
      </c>
      <c r="K86" s="8" t="n">
        <v>0</v>
      </c>
      <c r="L86" s="8" t="n">
        <v>0</v>
      </c>
      <c r="M86" s="8" t="n">
        <v>0</v>
      </c>
      <c r="N86" s="8" t="n">
        <v>0</v>
      </c>
      <c r="O86" s="8" t="n">
        <v>0</v>
      </c>
      <c r="P86" s="8" t="n">
        <v>0</v>
      </c>
      <c r="Q86" s="8" t="n">
        <v>0</v>
      </c>
      <c r="R86" s="8" t="n">
        <v>0</v>
      </c>
      <c r="S86" s="8" t="n">
        <v>0</v>
      </c>
      <c r="T86" s="8" t="n">
        <v>0</v>
      </c>
      <c r="U86" s="8" t="n">
        <v>1</v>
      </c>
      <c r="V86" s="8" t="n">
        <v>0</v>
      </c>
      <c r="W86" s="8" t="n">
        <v>0</v>
      </c>
      <c r="X86" s="8" t="n">
        <v>0</v>
      </c>
      <c r="Y86" s="8" t="inlineStr">
        <is>
          <t>NPh-AF curative (bis-N-phenyl-o-phenylenediamine AF); no filler</t>
        </is>
      </c>
      <c r="Z86" s="8" t="n">
        <v>78</v>
      </c>
      <c r="AA86" s="8" t="n">
        <v>20.8</v>
      </c>
      <c r="AB86" s="8" t="n">
        <v>225</v>
      </c>
      <c r="AC86" s="8" t="n">
        <v>3.2</v>
      </c>
      <c r="AD86" s="8" t="n"/>
      <c r="AE86" s="8" t="n"/>
      <c r="AF86" s="8" t="n"/>
      <c r="AG86" s="8" t="n"/>
      <c r="AH86" s="8" t="inlineStr">
        <is>
          <t>MPa; Shore A (JIS K6301)</t>
        </is>
      </c>
      <c r="AI86" s="8" t="inlineStr">
        <is>
          <t>Table 2. NPh-AF = 4,4'-[2,2,2-trifluoro-1-(trifluoromethyl)ethylidene]bis[N1-phenyl-1,2-benzenediamine]. Press 180C x 20 min + oven 290C x 18 h; P-24 O-ring / 2 mm sheet; unfilled.</t>
        </is>
      </c>
    </row>
    <row r="87">
      <c r="A87" s="8" t="inlineStr">
        <is>
          <t>US8367776B2</t>
        </is>
      </c>
      <c r="B87" s="8" t="inlineStr">
        <is>
          <t>patent</t>
        </is>
      </c>
      <c r="C87" s="8" t="inlineStr">
        <is>
          <t>Daikin Industries Ltd; Greene Tweed of Delaware Inc</t>
        </is>
      </c>
      <c r="D87" s="8" t="inlineStr">
        <is>
          <t>Perfluoroelastomer compositions and methods of preparing same</t>
        </is>
      </c>
      <c r="E87" s="8" t="inlineStr">
        <is>
          <t>https://patents.google.com/patent/US8367776B2/en</t>
        </is>
      </c>
      <c r="F87" s="8" t="inlineStr">
        <is>
          <t>Example 4</t>
        </is>
      </c>
      <c r="G87" s="8" t="inlineStr">
        <is>
          <t>FFKM</t>
        </is>
      </c>
      <c r="H87" s="8" t="inlineStr">
        <is>
          <t>Daikin Polymer B/Polymer A blend 50/50 (TFE/PMVE + cyano cure site)</t>
        </is>
      </c>
      <c r="I87" s="8" t="inlineStr">
        <is>
          <t>nitrile_other</t>
        </is>
      </c>
      <c r="J87" s="8" t="n">
        <v>100</v>
      </c>
      <c r="K87" s="8" t="n">
        <v>0</v>
      </c>
      <c r="L87" s="8" t="n">
        <v>0</v>
      </c>
      <c r="M87" s="8" t="n">
        <v>0</v>
      </c>
      <c r="N87" s="8" t="n">
        <v>0</v>
      </c>
      <c r="O87" s="8" t="n">
        <v>0</v>
      </c>
      <c r="P87" s="8" t="n">
        <v>0</v>
      </c>
      <c r="Q87" s="8" t="n">
        <v>0</v>
      </c>
      <c r="R87" s="8" t="n">
        <v>0</v>
      </c>
      <c r="S87" s="8" t="n">
        <v>0</v>
      </c>
      <c r="T87" s="8" t="n">
        <v>0</v>
      </c>
      <c r="U87" s="8" t="n">
        <v>0.7</v>
      </c>
      <c r="V87" s="8" t="n">
        <v>0</v>
      </c>
      <c r="W87" s="8" t="n">
        <v>0</v>
      </c>
      <c r="X87" s="8" t="n">
        <v>0</v>
      </c>
      <c r="Y87" s="8" t="inlineStr">
        <is>
          <t>NPh-AF curative; no filler</t>
        </is>
      </c>
      <c r="Z87" s="8" t="n">
        <v>63.5</v>
      </c>
      <c r="AA87" s="8" t="n">
        <v>6.51</v>
      </c>
      <c r="AB87" s="8" t="n">
        <v>271</v>
      </c>
      <c r="AC87" s="8" t="n">
        <v>1.33</v>
      </c>
      <c r="AD87" s="8" t="n">
        <v>21.2</v>
      </c>
      <c r="AE87" s="8" t="inlineStr">
        <is>
          <t>300C x 70h, O-ring, ASTM D1414/D395</t>
        </is>
      </c>
      <c r="AF87" s="8" t="n">
        <v>2.82</v>
      </c>
      <c r="AG87" s="8" t="inlineStr">
        <is>
          <t>O2 direct ICP, 400 W, 16 sccm, 10 Pa, 30 min</t>
        </is>
      </c>
      <c r="AH87" s="8" t="inlineStr">
        <is>
          <t>psi (MPa given in parentheses, used as printed); Shore A ASTM D2240</t>
        </is>
      </c>
      <c r="AI87" s="8" t="inlineStr">
        <is>
          <t>Table 3. Daikin Polymer A (TFE/PMVE 60/40 mol, 0.6 mol% cyano CSM) / Polymer B (TFE/PMVE 70/30 mol, 0.6 mol% cyano CSM) weight ratio B:A = 50:50. Cure 182C x 30 min, postcure 290C x 18 h. Shore M = 71. TB 944 psi, M100 193 psi (MPa values as printed). CS 300C/168h = 33.5. Other plasma % loss: NF3 remote 6h/220C 0.023; O2+CF4 direct ICP 30 min 2.98; RIE O2 90 min 3.453.</t>
        </is>
      </c>
    </row>
    <row r="88">
      <c r="A88" s="8" t="inlineStr">
        <is>
          <t>US8367776B2</t>
        </is>
      </c>
      <c r="B88" s="8" t="inlineStr">
        <is>
          <t>patent</t>
        </is>
      </c>
      <c r="C88" s="8" t="inlineStr">
        <is>
          <t>Daikin Industries Ltd; Greene Tweed of Delaware Inc</t>
        </is>
      </c>
      <c r="D88" s="8" t="inlineStr">
        <is>
          <t>Perfluoroelastomer compositions and methods of preparing same</t>
        </is>
      </c>
      <c r="E88" s="8" t="inlineStr">
        <is>
          <t>https://patents.google.com/patent/US8367776B2/en</t>
        </is>
      </c>
      <c r="F88" s="8" t="inlineStr">
        <is>
          <t>Example 5</t>
        </is>
      </c>
      <c r="G88" s="8" t="inlineStr">
        <is>
          <t>FFKM</t>
        </is>
      </c>
      <c r="H88" s="8" t="inlineStr">
        <is>
          <t>Daikin Polymer B/Polymer A blend 50/50 (TFE/PMVE + cyano cure site)</t>
        </is>
      </c>
      <c r="I88" s="8" t="inlineStr">
        <is>
          <t>nitrile_other</t>
        </is>
      </c>
      <c r="J88" s="8" t="n">
        <v>100</v>
      </c>
      <c r="K88" s="8" t="n">
        <v>0</v>
      </c>
      <c r="L88" s="8" t="n">
        <v>0</v>
      </c>
      <c r="M88" s="8" t="n">
        <v>0</v>
      </c>
      <c r="N88" s="8" t="n">
        <v>0</v>
      </c>
      <c r="O88" s="8" t="n">
        <v>0</v>
      </c>
      <c r="P88" s="8" t="n">
        <v>0</v>
      </c>
      <c r="Q88" s="8" t="n">
        <v>0</v>
      </c>
      <c r="R88" s="8" t="n">
        <v>0</v>
      </c>
      <c r="S88" s="8" t="n">
        <v>0</v>
      </c>
      <c r="T88" s="8" t="n">
        <v>0</v>
      </c>
      <c r="U88" s="8" t="n">
        <v>0.8</v>
      </c>
      <c r="V88" s="8" t="n">
        <v>0</v>
      </c>
      <c r="W88" s="8" t="n">
        <v>0</v>
      </c>
      <c r="X88" s="8" t="n">
        <v>0</v>
      </c>
      <c r="Y88" s="8" t="inlineStr">
        <is>
          <t>NPh-AF curative; no filler</t>
        </is>
      </c>
      <c r="Z88" s="8" t="n">
        <v>64</v>
      </c>
      <c r="AA88" s="8" t="n">
        <v>7.23</v>
      </c>
      <c r="AB88" s="8" t="n">
        <v>262</v>
      </c>
      <c r="AC88" s="8" t="n">
        <v>1.49</v>
      </c>
      <c r="AD88" s="8" t="n">
        <v>19.7</v>
      </c>
      <c r="AE88" s="8" t="inlineStr">
        <is>
          <t>300C x 70h, O-ring, ASTM D1414/D395</t>
        </is>
      </c>
      <c r="AF88" s="8" t="n">
        <v>2.94</v>
      </c>
      <c r="AG88" s="8" t="inlineStr">
        <is>
          <t>O2 direct ICP, 400 W, 16 sccm, 10 Pa, 30 min</t>
        </is>
      </c>
      <c r="AH88" s="8" t="inlineStr">
        <is>
          <t>psi (MPa given in parentheses, used as printed); Shore A ASTM D2240</t>
        </is>
      </c>
      <c r="AI88" s="8" t="inlineStr">
        <is>
          <t>Table 3. Daikin Polymer A (TFE/PMVE 60/40 mol, 0.6 mol% cyano CSM) / Polymer B (TFE/PMVE 70/30 mol, 0.6 mol% cyano CSM) weight ratio B:A = 50:50. Cure 182C x 30 min, postcure 290C x 18 h. Shore M = 71.5. TB 1049 psi, M100 216 psi (MPa values as printed). CS 300C/168h = 30.9. Other plasma % loss: NF3 remote 6h/220C 0.022; O2+CF4 direct ICP 30 min 2.89; RIE O2 90 min 3.288.</t>
        </is>
      </c>
    </row>
    <row r="89">
      <c r="A89" s="8" t="inlineStr">
        <is>
          <t>US8367776B2</t>
        </is>
      </c>
      <c r="B89" s="8" t="inlineStr">
        <is>
          <t>patent</t>
        </is>
      </c>
      <c r="C89" s="8" t="inlineStr">
        <is>
          <t>Daikin Industries Ltd; Greene Tweed of Delaware Inc</t>
        </is>
      </c>
      <c r="D89" s="8" t="inlineStr">
        <is>
          <t>Perfluoroelastomer compositions and methods of preparing same</t>
        </is>
      </c>
      <c r="E89" s="8" t="inlineStr">
        <is>
          <t>https://patents.google.com/patent/US8367776B2/en</t>
        </is>
      </c>
      <c r="F89" s="8" t="inlineStr">
        <is>
          <t>Example 6</t>
        </is>
      </c>
      <c r="G89" s="8" t="inlineStr">
        <is>
          <t>FFKM</t>
        </is>
      </c>
      <c r="H89" s="8" t="inlineStr">
        <is>
          <t>Daikin Polymer B/Polymer A blend 50/50 (TFE/PMVE + cyano cure site)</t>
        </is>
      </c>
      <c r="I89" s="8" t="inlineStr">
        <is>
          <t>nitrile_other</t>
        </is>
      </c>
      <c r="J89" s="8" t="n">
        <v>100</v>
      </c>
      <c r="K89" s="8" t="n">
        <v>0</v>
      </c>
      <c r="L89" s="8" t="n">
        <v>0</v>
      </c>
      <c r="M89" s="8" t="n">
        <v>0</v>
      </c>
      <c r="N89" s="8" t="n">
        <v>0</v>
      </c>
      <c r="O89" s="8" t="n">
        <v>0</v>
      </c>
      <c r="P89" s="8" t="n">
        <v>0</v>
      </c>
      <c r="Q89" s="8" t="n">
        <v>0</v>
      </c>
      <c r="R89" s="8" t="n">
        <v>0</v>
      </c>
      <c r="S89" s="8" t="n">
        <v>0</v>
      </c>
      <c r="T89" s="8" t="n">
        <v>0</v>
      </c>
      <c r="U89" s="8" t="n">
        <v>0.9</v>
      </c>
      <c r="V89" s="8" t="n">
        <v>0</v>
      </c>
      <c r="W89" s="8" t="n">
        <v>0</v>
      </c>
      <c r="X89" s="8" t="n">
        <v>0</v>
      </c>
      <c r="Y89" s="8" t="inlineStr">
        <is>
          <t>NPh-AF curative; no filler</t>
        </is>
      </c>
      <c r="Z89" s="8" t="n">
        <v>64.5</v>
      </c>
      <c r="AA89" s="8" t="n">
        <v>6.74</v>
      </c>
      <c r="AB89" s="8" t="n">
        <v>261</v>
      </c>
      <c r="AC89" s="8" t="n">
        <v>1.38</v>
      </c>
      <c r="AD89" s="8" t="n">
        <v>17.3</v>
      </c>
      <c r="AE89" s="8" t="inlineStr">
        <is>
          <t>300C x 70h, O-ring, ASTM D1414/D395</t>
        </is>
      </c>
      <c r="AF89" s="8" t="n">
        <v>2.87</v>
      </c>
      <c r="AG89" s="8" t="inlineStr">
        <is>
          <t>O2 direct ICP, 400 W, 16 sccm, 10 Pa, 30 min</t>
        </is>
      </c>
      <c r="AH89" s="8" t="inlineStr">
        <is>
          <t>psi (MPa given in parentheses, used as printed); Shore A ASTM D2240</t>
        </is>
      </c>
      <c r="AI89" s="8" t="inlineStr">
        <is>
          <t>Table 3. Daikin Polymer A (TFE/PMVE 60/40 mol, 0.6 mol% cyano CSM) / Polymer B (TFE/PMVE 70/30 mol, 0.6 mol% cyano CSM) weight ratio B:A = 50:50. Cure 182C x 30 min, postcure 290C x 18 h. Shore M = 71.5. TB 978 psi, M100 200 psi (MPa values as printed). CS 300C/168h = 29.4. Other plasma % loss: NF3 remote 6h/220C -0.024; O2+CF4 direct ICP 30 min 2.93; RIE O2 90 min 3.006.</t>
        </is>
      </c>
    </row>
    <row r="90">
      <c r="A90" s="8" t="inlineStr">
        <is>
          <t>US8367776B2</t>
        </is>
      </c>
      <c r="B90" s="8" t="inlineStr">
        <is>
          <t>patent</t>
        </is>
      </c>
      <c r="C90" s="8" t="inlineStr">
        <is>
          <t>Daikin Industries Ltd; Greene Tweed of Delaware Inc</t>
        </is>
      </c>
      <c r="D90" s="8" t="inlineStr">
        <is>
          <t>Perfluoroelastomer compositions and methods of preparing same</t>
        </is>
      </c>
      <c r="E90" s="8" t="inlineStr">
        <is>
          <t>https://patents.google.com/patent/US8367776B2/en</t>
        </is>
      </c>
      <c r="F90" s="8" t="inlineStr">
        <is>
          <t>Example 7</t>
        </is>
      </c>
      <c r="G90" s="8" t="inlineStr">
        <is>
          <t>FFKM</t>
        </is>
      </c>
      <c r="H90" s="8" t="inlineStr">
        <is>
          <t>Daikin Polymer B/Polymer A blend 65/35 (TFE/PMVE + cyano cure site)</t>
        </is>
      </c>
      <c r="I90" s="8" t="inlineStr">
        <is>
          <t>nitrile_other</t>
        </is>
      </c>
      <c r="J90" s="8" t="n">
        <v>100</v>
      </c>
      <c r="K90" s="8" t="n">
        <v>0</v>
      </c>
      <c r="L90" s="8" t="n">
        <v>0</v>
      </c>
      <c r="M90" s="8" t="n">
        <v>0</v>
      </c>
      <c r="N90" s="8" t="n">
        <v>0</v>
      </c>
      <c r="O90" s="8" t="n">
        <v>0</v>
      </c>
      <c r="P90" s="8" t="n">
        <v>0</v>
      </c>
      <c r="Q90" s="8" t="n">
        <v>0</v>
      </c>
      <c r="R90" s="8" t="n">
        <v>0</v>
      </c>
      <c r="S90" s="8" t="n">
        <v>0</v>
      </c>
      <c r="T90" s="8" t="n">
        <v>0</v>
      </c>
      <c r="U90" s="8" t="n">
        <v>0.7</v>
      </c>
      <c r="V90" s="8" t="n">
        <v>0</v>
      </c>
      <c r="W90" s="8" t="n">
        <v>0</v>
      </c>
      <c r="X90" s="8" t="n">
        <v>0</v>
      </c>
      <c r="Y90" s="8" t="inlineStr">
        <is>
          <t>NPh-AF curative; no filler</t>
        </is>
      </c>
      <c r="Z90" s="8" t="n">
        <v>65</v>
      </c>
      <c r="AA90" s="8" t="n">
        <v>9.57</v>
      </c>
      <c r="AB90" s="8" t="n">
        <v>263</v>
      </c>
      <c r="AC90" s="8" t="n">
        <v>1.67</v>
      </c>
      <c r="AD90" s="8" t="n">
        <v>20.3</v>
      </c>
      <c r="AE90" s="8" t="inlineStr">
        <is>
          <t>300C x 70h, O-ring, ASTM D1414/D395</t>
        </is>
      </c>
      <c r="AF90" s="8" t="n">
        <v>2.72</v>
      </c>
      <c r="AG90" s="8" t="inlineStr">
        <is>
          <t>O2 direct ICP, 400 W, 16 sccm, 10 Pa, 30 min</t>
        </is>
      </c>
      <c r="AH90" s="8" t="inlineStr">
        <is>
          <t>psi (MPa given in parentheses, used as printed); Shore A ASTM D2240</t>
        </is>
      </c>
      <c r="AI90" s="8" t="inlineStr">
        <is>
          <t>Table 3. Daikin Polymer A (TFE/PMVE 60/40 mol, 0.6 mol% cyano CSM) / Polymer B (TFE/PMVE 70/30 mol, 0.6 mol% cyano CSM) weight ratio B:A = 65:35. Cure 182C x 30 min, postcure 290C x 18 h. Shore M = 72.5. TB 1388 psi, M100 242 psi (MPa values as printed). CS 300C/168h = 27.6. Other plasma % loss: NF3 remote 6h/220C 0.108; O2+CF4 direct ICP 30 min 2.92; RIE O2 90 min 3.076.</t>
        </is>
      </c>
    </row>
    <row r="91">
      <c r="A91" s="8" t="inlineStr">
        <is>
          <t>US8367776B2</t>
        </is>
      </c>
      <c r="B91" s="8" t="inlineStr">
        <is>
          <t>patent</t>
        </is>
      </c>
      <c r="C91" s="8" t="inlineStr">
        <is>
          <t>Daikin Industries Ltd; Greene Tweed of Delaware Inc</t>
        </is>
      </c>
      <c r="D91" s="8" t="inlineStr">
        <is>
          <t>Perfluoroelastomer compositions and methods of preparing same</t>
        </is>
      </c>
      <c r="E91" s="8" t="inlineStr">
        <is>
          <t>https://patents.google.com/patent/US8367776B2/en</t>
        </is>
      </c>
      <c r="F91" s="8" t="inlineStr">
        <is>
          <t>Example 8</t>
        </is>
      </c>
      <c r="G91" s="8" t="inlineStr">
        <is>
          <t>FFKM</t>
        </is>
      </c>
      <c r="H91" s="8" t="inlineStr">
        <is>
          <t>Daikin Polymer B/Polymer A blend 65/35 (TFE/PMVE + cyano cure site)</t>
        </is>
      </c>
      <c r="I91" s="8" t="inlineStr">
        <is>
          <t>nitrile_other</t>
        </is>
      </c>
      <c r="J91" s="8" t="n">
        <v>100</v>
      </c>
      <c r="K91" s="8" t="n">
        <v>0</v>
      </c>
      <c r="L91" s="8" t="n">
        <v>0</v>
      </c>
      <c r="M91" s="8" t="n">
        <v>0</v>
      </c>
      <c r="N91" s="8" t="n">
        <v>0</v>
      </c>
      <c r="O91" s="8" t="n">
        <v>0</v>
      </c>
      <c r="P91" s="8" t="n">
        <v>0</v>
      </c>
      <c r="Q91" s="8" t="n">
        <v>0</v>
      </c>
      <c r="R91" s="8" t="n">
        <v>0</v>
      </c>
      <c r="S91" s="8" t="n">
        <v>0</v>
      </c>
      <c r="T91" s="8" t="n">
        <v>0</v>
      </c>
      <c r="U91" s="8" t="n">
        <v>0.8</v>
      </c>
      <c r="V91" s="8" t="n">
        <v>0</v>
      </c>
      <c r="W91" s="8" t="n">
        <v>0</v>
      </c>
      <c r="X91" s="8" t="n">
        <v>0</v>
      </c>
      <c r="Y91" s="8" t="inlineStr">
        <is>
          <t>NPh-AF curative; no filler</t>
        </is>
      </c>
      <c r="Z91" s="8" t="n">
        <v>65.5</v>
      </c>
      <c r="AA91" s="8" t="n">
        <v>7.79</v>
      </c>
      <c r="AB91" s="8" t="n">
        <v>258</v>
      </c>
      <c r="AC91" s="8" t="n">
        <v>1.63</v>
      </c>
      <c r="AD91" s="8" t="n">
        <v>20.3</v>
      </c>
      <c r="AE91" s="8" t="inlineStr">
        <is>
          <t>300C x 70h, O-ring, ASTM D1414/D395</t>
        </is>
      </c>
      <c r="AF91" s="8" t="n">
        <v>2.84</v>
      </c>
      <c r="AG91" s="8" t="inlineStr">
        <is>
          <t>O2 direct ICP, 400 W, 16 sccm, 10 Pa, 30 min</t>
        </is>
      </c>
      <c r="AH91" s="8" t="inlineStr">
        <is>
          <t>psi (MPa given in parentheses, used as printed); Shore A ASTM D2240</t>
        </is>
      </c>
      <c r="AI91" s="8" t="inlineStr">
        <is>
          <t>Table 3. Daikin Polymer A (TFE/PMVE 60/40 mol, 0.6 mol% cyano CSM) / Polymer B (TFE/PMVE 70/30 mol, 0.6 mol% cyano CSM) weight ratio B:A = 65:35. Cure 182C x 30 min, postcure 290C x 18 h. Shore M = 72.5. TB 1130 psi, M100 236 psi (MPa values as printed). CS 300C/168h = 33.5. Other plasma % loss: NF3 remote 6h/220C 0.116; O2+CF4 direct ICP 30 min 2.98; RIE O2 90 min 2.609.</t>
        </is>
      </c>
    </row>
    <row r="92">
      <c r="A92" s="8" t="inlineStr">
        <is>
          <t>US8367776B2</t>
        </is>
      </c>
      <c r="B92" s="8" t="inlineStr">
        <is>
          <t>patent</t>
        </is>
      </c>
      <c r="C92" s="8" t="inlineStr">
        <is>
          <t>Daikin Industries Ltd; Greene Tweed of Delaware Inc</t>
        </is>
      </c>
      <c r="D92" s="8" t="inlineStr">
        <is>
          <t>Perfluoroelastomer compositions and methods of preparing same</t>
        </is>
      </c>
      <c r="E92" s="8" t="inlineStr">
        <is>
          <t>https://patents.google.com/patent/US8367776B2/en</t>
        </is>
      </c>
      <c r="F92" s="8" t="inlineStr">
        <is>
          <t>Example 9</t>
        </is>
      </c>
      <c r="G92" s="8" t="inlineStr">
        <is>
          <t>FFKM</t>
        </is>
      </c>
      <c r="H92" s="8" t="inlineStr">
        <is>
          <t>Daikin Polymer B/Polymer A blend 65/35 (TFE/PMVE + cyano cure site)</t>
        </is>
      </c>
      <c r="I92" s="8" t="inlineStr">
        <is>
          <t>nitrile_other</t>
        </is>
      </c>
      <c r="J92" s="8" t="n">
        <v>100</v>
      </c>
      <c r="K92" s="8" t="n">
        <v>0</v>
      </c>
      <c r="L92" s="8" t="n">
        <v>0</v>
      </c>
      <c r="M92" s="8" t="n">
        <v>0</v>
      </c>
      <c r="N92" s="8" t="n">
        <v>0</v>
      </c>
      <c r="O92" s="8" t="n">
        <v>0</v>
      </c>
      <c r="P92" s="8" t="n">
        <v>0</v>
      </c>
      <c r="Q92" s="8" t="n">
        <v>0</v>
      </c>
      <c r="R92" s="8" t="n">
        <v>0</v>
      </c>
      <c r="S92" s="8" t="n">
        <v>0</v>
      </c>
      <c r="T92" s="8" t="n">
        <v>0</v>
      </c>
      <c r="U92" s="8" t="n">
        <v>0.9</v>
      </c>
      <c r="V92" s="8" t="n">
        <v>0</v>
      </c>
      <c r="W92" s="8" t="n">
        <v>0</v>
      </c>
      <c r="X92" s="8" t="n">
        <v>0</v>
      </c>
      <c r="Y92" s="8" t="inlineStr">
        <is>
          <t>NPh-AF curative; no filler</t>
        </is>
      </c>
      <c r="Z92" s="8" t="n">
        <v>66.5</v>
      </c>
      <c r="AA92" s="8" t="n">
        <v>9.449999999999999</v>
      </c>
      <c r="AB92" s="8" t="n">
        <v>260</v>
      </c>
      <c r="AC92" s="8" t="n">
        <v>1.72</v>
      </c>
      <c r="AD92" s="8" t="n">
        <v>17.4</v>
      </c>
      <c r="AE92" s="8" t="inlineStr">
        <is>
          <t>300C x 70h, O-ring, ASTM D1414/D395</t>
        </is>
      </c>
      <c r="AF92" s="8" t="n">
        <v>2.95</v>
      </c>
      <c r="AG92" s="8" t="inlineStr">
        <is>
          <t>O2 direct ICP, 400 W, 16 sccm, 10 Pa, 30 min</t>
        </is>
      </c>
      <c r="AH92" s="8" t="inlineStr">
        <is>
          <t>psi (MPa given in parentheses, used as printed); Shore A ASTM D2240</t>
        </is>
      </c>
      <c r="AI92" s="8" t="inlineStr">
        <is>
          <t>Table 3. Daikin Polymer A (TFE/PMVE 60/40 mol, 0.6 mol% cyano CSM) / Polymer B (TFE/PMVE 70/30 mol, 0.6 mol% cyano CSM) weight ratio B:A = 65:35. Cure 182C x 30 min, postcure 290C x 18 h. Shore M = 73. TB 1370 psi, M100 250 psi (MPa values as printed). CS 300C/168h = 30.0. Other plasma % loss: NF3 remote 6h/220C 0.069; O2+CF4 direct ICP 30 min 2.91; RIE O2 90 min 3.234.</t>
        </is>
      </c>
    </row>
    <row r="93">
      <c r="A93" s="8" t="inlineStr">
        <is>
          <t>US8367776B2</t>
        </is>
      </c>
      <c r="B93" s="8" t="inlineStr">
        <is>
          <t>patent</t>
        </is>
      </c>
      <c r="C93" s="8" t="inlineStr">
        <is>
          <t>Daikin Industries Ltd; Greene Tweed of Delaware Inc</t>
        </is>
      </c>
      <c r="D93" s="8" t="inlineStr">
        <is>
          <t>Perfluoroelastomer compositions and methods of preparing same</t>
        </is>
      </c>
      <c r="E93" s="8" t="inlineStr">
        <is>
          <t>https://patents.google.com/patent/US8367776B2/en</t>
        </is>
      </c>
      <c r="F93" s="8" t="inlineStr">
        <is>
          <t>Example 10</t>
        </is>
      </c>
      <c r="G93" s="8" t="inlineStr">
        <is>
          <t>FFKM</t>
        </is>
      </c>
      <c r="H93" s="8" t="inlineStr">
        <is>
          <t>Daikin Polymer B/Polymer A blend 35/65 (TFE/PMVE + cyano cure site)</t>
        </is>
      </c>
      <c r="I93" s="8" t="inlineStr">
        <is>
          <t>nitrile_other</t>
        </is>
      </c>
      <c r="J93" s="8" t="n">
        <v>100</v>
      </c>
      <c r="K93" s="8" t="n">
        <v>0</v>
      </c>
      <c r="L93" s="8" t="n">
        <v>0</v>
      </c>
      <c r="M93" s="8" t="n">
        <v>0</v>
      </c>
      <c r="N93" s="8" t="n">
        <v>0</v>
      </c>
      <c r="O93" s="8" t="n">
        <v>0</v>
      </c>
      <c r="P93" s="8" t="n">
        <v>0</v>
      </c>
      <c r="Q93" s="8" t="n">
        <v>0</v>
      </c>
      <c r="R93" s="8" t="n">
        <v>0</v>
      </c>
      <c r="S93" s="8" t="n">
        <v>0</v>
      </c>
      <c r="T93" s="8" t="n">
        <v>0</v>
      </c>
      <c r="U93" s="8" t="n">
        <v>0.7</v>
      </c>
      <c r="V93" s="8" t="n">
        <v>0</v>
      </c>
      <c r="W93" s="8" t="n">
        <v>0</v>
      </c>
      <c r="X93" s="8" t="n">
        <v>0</v>
      </c>
      <c r="Y93" s="8" t="inlineStr">
        <is>
          <t>NPh-AF curative; no filler</t>
        </is>
      </c>
      <c r="Z93" s="8" t="n">
        <v>61.5</v>
      </c>
      <c r="AA93" s="8" t="n">
        <v>5.84</v>
      </c>
      <c r="AB93" s="8" t="n">
        <v>270</v>
      </c>
      <c r="AC93" s="8" t="n">
        <v>1.27</v>
      </c>
      <c r="AD93" s="8" t="n">
        <v>17.7</v>
      </c>
      <c r="AE93" s="8" t="inlineStr">
        <is>
          <t>300C x 70h, O-ring, ASTM D1414/D395</t>
        </is>
      </c>
      <c r="AF93" s="8" t="n">
        <v>2.97</v>
      </c>
      <c r="AG93" s="8" t="inlineStr">
        <is>
          <t>O2 direct ICP, 400 W, 16 sccm, 10 Pa, 30 min</t>
        </is>
      </c>
      <c r="AH93" s="8" t="inlineStr">
        <is>
          <t>psi (MPa given in parentheses, used as printed); Shore A ASTM D2240</t>
        </is>
      </c>
      <c r="AI93" s="8" t="inlineStr">
        <is>
          <t>Table 3. Daikin Polymer A (TFE/PMVE 60/40 mol, 0.6 mol% cyano CSM) / Polymer B (TFE/PMVE 70/30 mol, 0.6 mol% cyano CSM) weight ratio B:A = 35:65. Cure 182C x 30 min, postcure 290C x 18 h. Shore M = 70. TB 847 psi, M100 184 psi (MPa values as printed). CS 300C/168h = 35.0. Other plasma % loss: NF3 remote 6h/220C 0.07; O2+CF4 direct ICP 30 min 2.95; RIE O2 90 min 3.235.</t>
        </is>
      </c>
    </row>
    <row r="94">
      <c r="A94" s="8" t="inlineStr">
        <is>
          <t>US8367776B2</t>
        </is>
      </c>
      <c r="B94" s="8" t="inlineStr">
        <is>
          <t>patent</t>
        </is>
      </c>
      <c r="C94" s="8" t="inlineStr">
        <is>
          <t>Daikin Industries Ltd; Greene Tweed of Delaware Inc</t>
        </is>
      </c>
      <c r="D94" s="8" t="inlineStr">
        <is>
          <t>Perfluoroelastomer compositions and methods of preparing same</t>
        </is>
      </c>
      <c r="E94" s="8" t="inlineStr">
        <is>
          <t>https://patents.google.com/patent/US8367776B2/en</t>
        </is>
      </c>
      <c r="F94" s="8" t="inlineStr">
        <is>
          <t>Example 11</t>
        </is>
      </c>
      <c r="G94" s="8" t="inlineStr">
        <is>
          <t>FFKM</t>
        </is>
      </c>
      <c r="H94" s="8" t="inlineStr">
        <is>
          <t>Daikin Polymer B/Polymer A blend 35/65 (TFE/PMVE + cyano cure site)</t>
        </is>
      </c>
      <c r="I94" s="8" t="inlineStr">
        <is>
          <t>nitrile_other</t>
        </is>
      </c>
      <c r="J94" s="8" t="n">
        <v>100</v>
      </c>
      <c r="K94" s="8" t="n">
        <v>0</v>
      </c>
      <c r="L94" s="8" t="n">
        <v>0</v>
      </c>
      <c r="M94" s="8" t="n">
        <v>0</v>
      </c>
      <c r="N94" s="8" t="n">
        <v>0</v>
      </c>
      <c r="O94" s="8" t="n">
        <v>0</v>
      </c>
      <c r="P94" s="8" t="n">
        <v>0</v>
      </c>
      <c r="Q94" s="8" t="n">
        <v>0</v>
      </c>
      <c r="R94" s="8" t="n">
        <v>0</v>
      </c>
      <c r="S94" s="8" t="n">
        <v>0</v>
      </c>
      <c r="T94" s="8" t="n">
        <v>0</v>
      </c>
      <c r="U94" s="8" t="n">
        <v>0.8</v>
      </c>
      <c r="V94" s="8" t="n">
        <v>0</v>
      </c>
      <c r="W94" s="8" t="n">
        <v>0</v>
      </c>
      <c r="X94" s="8" t="n">
        <v>0</v>
      </c>
      <c r="Y94" s="8" t="inlineStr">
        <is>
          <t>NPh-AF curative; no filler</t>
        </is>
      </c>
      <c r="Z94" s="8" t="n">
        <v>62</v>
      </c>
      <c r="AA94" s="8" t="n">
        <v>6.43</v>
      </c>
      <c r="AB94" s="8" t="n">
        <v>262</v>
      </c>
      <c r="AC94" s="8" t="n">
        <v>1.37</v>
      </c>
      <c r="AD94" s="8" t="n">
        <v>18.5</v>
      </c>
      <c r="AE94" s="8" t="inlineStr">
        <is>
          <t>300C x 70h, O-ring, ASTM D1414/D395</t>
        </is>
      </c>
      <c r="AF94" s="8" t="n">
        <v>3.07</v>
      </c>
      <c r="AG94" s="8" t="inlineStr">
        <is>
          <t>O2 direct ICP, 400 W, 16 sccm, 10 Pa, 30 min</t>
        </is>
      </c>
      <c r="AH94" s="8" t="inlineStr">
        <is>
          <t>psi (MPa given in parentheses, used as printed); Shore A ASTM D2240</t>
        </is>
      </c>
      <c r="AI94" s="8" t="inlineStr">
        <is>
          <t>Table 3. Daikin Polymer A (TFE/PMVE 60/40 mol, 0.6 mol% cyano CSM) / Polymer B (TFE/PMVE 70/30 mol, 0.6 mol% cyano CSM) weight ratio B:A = 35:65. Cure 182C x 30 min, postcure 290C x 18 h. Shore M = 70. TB 933 psi, M100 198 psi (MPa values as printed). CS 300C/168h = 25.2. Other plasma % loss: NF3 remote 6h/220C -0.022; O2+CF4 direct ICP 30 min 3.29; RIE O2 90 min 3.331.</t>
        </is>
      </c>
    </row>
    <row r="95">
      <c r="A95" s="8" t="inlineStr">
        <is>
          <t>US8367776B2</t>
        </is>
      </c>
      <c r="B95" s="8" t="inlineStr">
        <is>
          <t>patent</t>
        </is>
      </c>
      <c r="C95" s="8" t="inlineStr">
        <is>
          <t>Daikin Industries Ltd; Greene Tweed of Delaware Inc</t>
        </is>
      </c>
      <c r="D95" s="8" t="inlineStr">
        <is>
          <t>Perfluoroelastomer compositions and methods of preparing same</t>
        </is>
      </c>
      <c r="E95" s="8" t="inlineStr">
        <is>
          <t>https://patents.google.com/patent/US8367776B2/en</t>
        </is>
      </c>
      <c r="F95" s="8" t="inlineStr">
        <is>
          <t>Example 12</t>
        </is>
      </c>
      <c r="G95" s="8" t="inlineStr">
        <is>
          <t>FFKM</t>
        </is>
      </c>
      <c r="H95" s="8" t="inlineStr">
        <is>
          <t>Daikin Polymer B/Polymer A blend 35/65 (TFE/PMVE + cyano cure site)</t>
        </is>
      </c>
      <c r="I95" s="8" t="inlineStr">
        <is>
          <t>nitrile_other</t>
        </is>
      </c>
      <c r="J95" s="8" t="n">
        <v>100</v>
      </c>
      <c r="K95" s="8" t="n">
        <v>0</v>
      </c>
      <c r="L95" s="8" t="n">
        <v>0</v>
      </c>
      <c r="M95" s="8" t="n">
        <v>0</v>
      </c>
      <c r="N95" s="8" t="n">
        <v>0</v>
      </c>
      <c r="O95" s="8" t="n">
        <v>0</v>
      </c>
      <c r="P95" s="8" t="n">
        <v>0</v>
      </c>
      <c r="Q95" s="8" t="n">
        <v>0</v>
      </c>
      <c r="R95" s="8" t="n">
        <v>0</v>
      </c>
      <c r="S95" s="8" t="n">
        <v>0</v>
      </c>
      <c r="T95" s="8" t="n">
        <v>0</v>
      </c>
      <c r="U95" s="8" t="n">
        <v>0.9</v>
      </c>
      <c r="V95" s="8" t="n">
        <v>0</v>
      </c>
      <c r="W95" s="8" t="n">
        <v>0</v>
      </c>
      <c r="X95" s="8" t="n">
        <v>0</v>
      </c>
      <c r="Y95" s="8" t="inlineStr">
        <is>
          <t>NPh-AF curative; no filler</t>
        </is>
      </c>
      <c r="Z95" s="8" t="n">
        <v>62.5</v>
      </c>
      <c r="AA95" s="8" t="n">
        <v>6.16</v>
      </c>
      <c r="AB95" s="8" t="n">
        <v>249</v>
      </c>
      <c r="AC95" s="8" t="n">
        <v>1.5</v>
      </c>
      <c r="AD95" s="8" t="n">
        <v>17.1</v>
      </c>
      <c r="AE95" s="8" t="inlineStr">
        <is>
          <t>300C x 70h, O-ring, ASTM D1414/D395</t>
        </is>
      </c>
      <c r="AF95" s="8" t="n">
        <v>2.84</v>
      </c>
      <c r="AG95" s="8" t="inlineStr">
        <is>
          <t>O2 direct ICP, 400 W, 16 sccm, 10 Pa, 30 min</t>
        </is>
      </c>
      <c r="AH95" s="8" t="inlineStr">
        <is>
          <t>psi (MPa given in parentheses, used as printed); Shore A ASTM D2240</t>
        </is>
      </c>
      <c r="AI95" s="8" t="inlineStr">
        <is>
          <t>Table 3. Daikin Polymer A (TFE/PMVE 60/40 mol, 0.6 mol% cyano CSM) / Polymer B (TFE/PMVE 70/30 mol, 0.6 mol% cyano CSM) weight ratio B:A = 35:65. Cure 182C x 30 min, postcure 290C x 18 h. Shore M = 70. TB 894 psi, M100 217 psi (MPa values as printed). CS 300C/168h = 31.4. Other plasma % loss: NF3 remote 6h/220C 0.046; O2+CF4 direct ICP 30 min 2.91; RIE O2 90 min 3.413.</t>
        </is>
      </c>
    </row>
    <row r="96">
      <c r="A96" s="8" t="inlineStr">
        <is>
          <t>US8367776B2</t>
        </is>
      </c>
      <c r="B96" s="8" t="inlineStr">
        <is>
          <t>patent</t>
        </is>
      </c>
      <c r="C96" s="8" t="inlineStr">
        <is>
          <t>Daikin Industries Ltd; Greene Tweed of Delaware Inc</t>
        </is>
      </c>
      <c r="D96" s="8" t="inlineStr">
        <is>
          <t>Perfluoroelastomer compositions and methods of preparing same</t>
        </is>
      </c>
      <c r="E96" s="8" t="inlineStr">
        <is>
          <t>https://patents.google.com/patent/US8367776B2/en</t>
        </is>
      </c>
      <c r="F96" s="8" t="inlineStr">
        <is>
          <t>Example 13</t>
        </is>
      </c>
      <c r="G96" s="8" t="inlineStr">
        <is>
          <t>FFKM</t>
        </is>
      </c>
      <c r="H96" s="8" t="inlineStr">
        <is>
          <t>Daikin Polymer B/Polymer A blend 50/50 (TFE/PMVE + cyano cure site)</t>
        </is>
      </c>
      <c r="I96" s="8" t="inlineStr">
        <is>
          <t>nitrile_other</t>
        </is>
      </c>
      <c r="J96" s="8" t="n">
        <v>100</v>
      </c>
      <c r="K96" s="8" t="n">
        <v>0</v>
      </c>
      <c r="L96" s="8" t="n">
        <v>0</v>
      </c>
      <c r="M96" s="8" t="n">
        <v>0</v>
      </c>
      <c r="N96" s="8" t="n">
        <v>0</v>
      </c>
      <c r="O96" s="8" t="n">
        <v>0</v>
      </c>
      <c r="P96" s="8" t="n">
        <v>0</v>
      </c>
      <c r="Q96" s="8" t="n">
        <v>0</v>
      </c>
      <c r="R96" s="8" t="n">
        <v>0</v>
      </c>
      <c r="S96" s="8" t="n">
        <v>0</v>
      </c>
      <c r="T96" s="8" t="n">
        <v>0</v>
      </c>
      <c r="U96" s="8" t="n">
        <v>0.9</v>
      </c>
      <c r="V96" s="8" t="n">
        <v>0</v>
      </c>
      <c r="W96" s="8" t="n">
        <v>0</v>
      </c>
      <c r="X96" s="8" t="n">
        <v>0</v>
      </c>
      <c r="Y96" s="8" t="inlineStr">
        <is>
          <t>NPh-AF curative; no filler</t>
        </is>
      </c>
      <c r="Z96" s="8" t="n">
        <v>65.5</v>
      </c>
      <c r="AA96" s="8" t="n">
        <v>7.61</v>
      </c>
      <c r="AB96" s="8" t="n">
        <v>256</v>
      </c>
      <c r="AC96" s="8" t="n">
        <v>1.59</v>
      </c>
      <c r="AD96" s="8" t="n">
        <v>17.1</v>
      </c>
      <c r="AE96" s="8" t="inlineStr">
        <is>
          <t>300C x 70h, O-ring, ASTM D1414/D395</t>
        </is>
      </c>
      <c r="AF96" s="8" t="n">
        <v>2.8</v>
      </c>
      <c r="AG96" s="8" t="inlineStr">
        <is>
          <t>O2 direct ICP, 400 W, 16 sccm, 10 Pa, 30 min</t>
        </is>
      </c>
      <c r="AH96" s="8" t="inlineStr">
        <is>
          <t>psi (MPa given in parentheses, used as printed); Shore A ASTM D2240</t>
        </is>
      </c>
      <c r="AI96" s="8" t="inlineStr">
        <is>
          <t>Table 3. Daikin Polymer A (TFE/PMVE 60/40 mol, 0.6 mol% cyano CSM) / Polymer B (TFE/PMVE 70/30 mol, 0.6 mol% cyano CSM) weight ratio B:A = 50:50. Cure 182C x 30 min, postcure 290C x 18 h. Shore M = 71.5. TB 1103 psi, M100 231 psi (MPa values as printed). CS 300C/168h = 31.6. Other plasma % loss: NF3 remote 6h/220C 0.0; O2+CF4 direct ICP 30 min 2.95; RIE O2 90 min 3.377. NPh-AF added via master batch (Polymer A 100 + NPh-AF 6.8 phr) diluted to formulation.</t>
        </is>
      </c>
    </row>
    <row r="97">
      <c r="A97" s="8" t="inlineStr">
        <is>
          <t>US8367776B2</t>
        </is>
      </c>
      <c r="B97" s="8" t="inlineStr">
        <is>
          <t>patent</t>
        </is>
      </c>
      <c r="C97" s="8" t="inlineStr">
        <is>
          <t>Daikin Industries Ltd; Greene Tweed of Delaware Inc</t>
        </is>
      </c>
      <c r="D97" s="8" t="inlineStr">
        <is>
          <t>Perfluoroelastomer compositions and methods of preparing same</t>
        </is>
      </c>
      <c r="E97" s="8" t="inlineStr">
        <is>
          <t>https://patents.google.com/patent/US8367776B2/en</t>
        </is>
      </c>
      <c r="F97" s="8" t="inlineStr">
        <is>
          <t>Example 14</t>
        </is>
      </c>
      <c r="G97" s="8" t="inlineStr">
        <is>
          <t>FFKM</t>
        </is>
      </c>
      <c r="H97" s="8" t="inlineStr">
        <is>
          <t>Daikin Polymer B/Polymer A blend 50/50 (TFE/PMVE + cyano cure site)</t>
        </is>
      </c>
      <c r="I97" s="8" t="inlineStr">
        <is>
          <t>nitrile_other</t>
        </is>
      </c>
      <c r="J97" s="8" t="n">
        <v>100</v>
      </c>
      <c r="K97" s="8" t="n">
        <v>0</v>
      </c>
      <c r="L97" s="8" t="n">
        <v>0</v>
      </c>
      <c r="M97" s="8" t="n">
        <v>0</v>
      </c>
      <c r="N97" s="8" t="n">
        <v>0</v>
      </c>
      <c r="O97" s="8" t="n">
        <v>0</v>
      </c>
      <c r="P97" s="8" t="n">
        <v>0</v>
      </c>
      <c r="Q97" s="8" t="n">
        <v>0</v>
      </c>
      <c r="R97" s="8" t="n">
        <v>0</v>
      </c>
      <c r="S97" s="8" t="n">
        <v>0</v>
      </c>
      <c r="T97" s="8" t="n">
        <v>0</v>
      </c>
      <c r="U97" s="8" t="n">
        <v>0.9</v>
      </c>
      <c r="V97" s="8" t="n">
        <v>0</v>
      </c>
      <c r="W97" s="8" t="n">
        <v>0</v>
      </c>
      <c r="X97" s="8" t="n">
        <v>0</v>
      </c>
      <c r="Y97" s="8" t="inlineStr">
        <is>
          <t>NPh-AF curative; no filler</t>
        </is>
      </c>
      <c r="Z97" s="8" t="n">
        <v>63.5</v>
      </c>
      <c r="AA97" s="8" t="n">
        <v>7.26</v>
      </c>
      <c r="AB97" s="8" t="n">
        <v>261</v>
      </c>
      <c r="AC97" s="8" t="n">
        <v>1.5</v>
      </c>
      <c r="AD97" s="8" t="n">
        <v>17.7</v>
      </c>
      <c r="AE97" s="8" t="inlineStr">
        <is>
          <t>300C x 70h, O-ring, ASTM D1414/D395</t>
        </is>
      </c>
      <c r="AF97" s="8" t="n">
        <v>2.77</v>
      </c>
      <c r="AG97" s="8" t="inlineStr">
        <is>
          <t>O2 direct ICP, 400 W, 16 sccm, 10 Pa, 30 min</t>
        </is>
      </c>
      <c r="AH97" s="8" t="inlineStr">
        <is>
          <t>psi (MPa given in parentheses, used as printed); Shore A ASTM D2240</t>
        </is>
      </c>
      <c r="AI97" s="8" t="inlineStr">
        <is>
          <t>Table 3. Daikin Polymer A (TFE/PMVE 60/40 mol, 0.6 mol% cyano CSM) / Polymer B (TFE/PMVE 70/30 mol, 0.6 mol% cyano CSM) weight ratio B:A = 50:50. Cure 182C x 30 min, postcure 290C x 18 h. Shore M = n/r. TB 1052 psi, M100 217 psi (MPa values as printed). CS 300C/168h = 29.7. Other plasma % loss: NF3 remote 6h/220C -0.023; O2+CF4 direct ICP 30 min 3.02; RIE O2 90 min 3.586. NPh-AF added via master batch (Polymer A 100 + NPh-AF 6.8 phr) diluted to formulation.</t>
        </is>
      </c>
    </row>
    <row r="98">
      <c r="A98" s="8" t="inlineStr">
        <is>
          <t>US7354974B2</t>
        </is>
      </c>
      <c r="B98" s="8" t="inlineStr">
        <is>
          <t>patent</t>
        </is>
      </c>
      <c r="C98" s="8" t="inlineStr">
        <is>
          <t>DuPont Performance Elastomers LLC</t>
        </is>
      </c>
      <c r="D98" s="8" t="inlineStr">
        <is>
          <t>Blends of perfluoroelastomers and fluoroplastics</t>
        </is>
      </c>
      <c r="E98" s="8" t="inlineStr">
        <is>
          <t>https://patents.google.com/patent/US7354974B2/en</t>
        </is>
      </c>
      <c r="F98" s="8" t="inlineStr">
        <is>
          <t>Example 1</t>
        </is>
      </c>
      <c r="G98" s="8" t="inlineStr">
        <is>
          <t>FFKM</t>
        </is>
      </c>
      <c r="H98" s="8" t="inlineStr">
        <is>
          <t>TFE/PMVE/8-CNVE 68.2/31.0/0.80 mol%</t>
        </is>
      </c>
      <c r="I98" s="8" t="inlineStr">
        <is>
          <t>nitrile_triazine</t>
        </is>
      </c>
      <c r="J98" s="8" t="n">
        <v>100</v>
      </c>
      <c r="K98" s="8" t="n">
        <v>0</v>
      </c>
      <c r="L98" s="8" t="n">
        <v>0</v>
      </c>
      <c r="M98" s="8" t="n">
        <v>0</v>
      </c>
      <c r="N98" s="8" t="n">
        <v>0</v>
      </c>
      <c r="O98" s="8" t="n">
        <v>0</v>
      </c>
      <c r="P98" s="8" t="n">
        <v>51</v>
      </c>
      <c r="Q98" s="8" t="n">
        <v>0</v>
      </c>
      <c r="R98" s="8" t="n">
        <v>0</v>
      </c>
      <c r="S98" s="8" t="n">
        <v>0</v>
      </c>
      <c r="T98" s="8" t="n">
        <v>0</v>
      </c>
      <c r="U98" s="8" t="n">
        <v>0.3</v>
      </c>
      <c r="V98" s="8" t="n">
        <v>0</v>
      </c>
      <c r="W98" s="8" t="n">
        <v>0</v>
      </c>
      <c r="X98" s="8" t="n">
        <v>0</v>
      </c>
      <c r="Y98" s="8" t="inlineStr">
        <is>
          <t>Teflon PFA 940 51; urea 0.3</t>
        </is>
      </c>
      <c r="Z98" s="8" t="n">
        <v>76</v>
      </c>
      <c r="AA98" s="8" t="n">
        <v>16.2</v>
      </c>
      <c r="AB98" s="8" t="n">
        <v>316</v>
      </c>
      <c r="AC98" s="8" t="n">
        <v>5.9</v>
      </c>
      <c r="AD98" s="8" t="n">
        <v>40</v>
      </c>
      <c r="AE98" s="8" t="inlineStr">
        <is>
          <t>204C x 70h, 25% compression, O-ring, ASTM D395</t>
        </is>
      </c>
      <c r="AF98" s="8" t="n"/>
      <c r="AG98" s="8" t="n"/>
      <c r="AH98" s="8" t="inlineStr">
        <is>
          <t>MPa; Shore A</t>
        </is>
      </c>
      <c r="AI98" s="8" t="inlineStr">
        <is>
          <t>Table I. Urea (ammonia generator) 0.3 phr curative. Press cure 190C x 4 min, post cure air 305C x 10 h; ASTM D412. Fluoroplastic = Teflon PFA 940 (TFE/PAVE semi-crystalline), compounded on open mill at 40C. CS 204C/70h at 10% compression = 55.</t>
        </is>
      </c>
    </row>
    <row r="99">
      <c r="A99" s="8" t="inlineStr">
        <is>
          <t>US7354974B2</t>
        </is>
      </c>
      <c r="B99" s="8" t="inlineStr">
        <is>
          <t>patent</t>
        </is>
      </c>
      <c r="C99" s="8" t="inlineStr">
        <is>
          <t>DuPont Performance Elastomers LLC</t>
        </is>
      </c>
      <c r="D99" s="8" t="inlineStr">
        <is>
          <t>Blends of perfluoroelastomers and fluoroplastics</t>
        </is>
      </c>
      <c r="E99" s="8" t="inlineStr">
        <is>
          <t>https://patents.google.com/patent/US7354974B2/en</t>
        </is>
      </c>
      <c r="F99" s="8" t="inlineStr">
        <is>
          <t>Example 2</t>
        </is>
      </c>
      <c r="G99" s="8" t="inlineStr">
        <is>
          <t>FFKM</t>
        </is>
      </c>
      <c r="H99" s="8" t="inlineStr">
        <is>
          <t>TFE/PMVE/8-CNVE 68.2/31.0/0.80 mol%</t>
        </is>
      </c>
      <c r="I99" s="8" t="inlineStr">
        <is>
          <t>nitrile_triazine</t>
        </is>
      </c>
      <c r="J99" s="8" t="n">
        <v>100</v>
      </c>
      <c r="K99" s="8" t="n">
        <v>0</v>
      </c>
      <c r="L99" s="8" t="n">
        <v>0</v>
      </c>
      <c r="M99" s="8" t="n">
        <v>0</v>
      </c>
      <c r="N99" s="8" t="n">
        <v>0</v>
      </c>
      <c r="O99" s="8" t="n">
        <v>0</v>
      </c>
      <c r="P99" s="8" t="n">
        <v>51</v>
      </c>
      <c r="Q99" s="8" t="n">
        <v>0</v>
      </c>
      <c r="R99" s="8" t="n">
        <v>0</v>
      </c>
      <c r="S99" s="8" t="n">
        <v>0</v>
      </c>
      <c r="T99" s="8" t="n">
        <v>0</v>
      </c>
      <c r="U99" s="8" t="n">
        <v>0.3</v>
      </c>
      <c r="V99" s="8" t="n">
        <v>0</v>
      </c>
      <c r="W99" s="8" t="n">
        <v>0</v>
      </c>
      <c r="X99" s="8" t="n">
        <v>0</v>
      </c>
      <c r="Y99" s="8" t="inlineStr">
        <is>
          <t>Teflon PFA 945 51; urea 0.3</t>
        </is>
      </c>
      <c r="Z99" s="8" t="n">
        <v>77</v>
      </c>
      <c r="AA99" s="8" t="n">
        <v>18.7</v>
      </c>
      <c r="AB99" s="8" t="n">
        <v>318</v>
      </c>
      <c r="AC99" s="8" t="n">
        <v>6.3</v>
      </c>
      <c r="AD99" s="8" t="n">
        <v>38</v>
      </c>
      <c r="AE99" s="8" t="inlineStr">
        <is>
          <t>204C x 70h, 25% compression, O-ring, ASTM D395</t>
        </is>
      </c>
      <c r="AF99" s="8" t="n"/>
      <c r="AG99" s="8" t="n"/>
      <c r="AH99" s="8" t="inlineStr">
        <is>
          <t>MPa; Shore A</t>
        </is>
      </c>
      <c r="AI99" s="8" t="inlineStr">
        <is>
          <t>Table I. Urea (ammonia generator) 0.3 phr curative. Press cure 190C x 4 min, post cure air 305C x 10 h; ASTM D412. Fluoroplastic = Teflon PFA 945 (TFE/PAVE semi-crystalline), compounded on open mill at 40C. CS 204C/70h at 10% compression = 51.</t>
        </is>
      </c>
    </row>
    <row r="100">
      <c r="A100" s="8" t="inlineStr">
        <is>
          <t>US7354974B2</t>
        </is>
      </c>
      <c r="B100" s="8" t="inlineStr">
        <is>
          <t>patent</t>
        </is>
      </c>
      <c r="C100" s="8" t="inlineStr">
        <is>
          <t>DuPont Performance Elastomers LLC</t>
        </is>
      </c>
      <c r="D100" s="8" t="inlineStr">
        <is>
          <t>Blends of perfluoroelastomers and fluoroplastics</t>
        </is>
      </c>
      <c r="E100" s="8" t="inlineStr">
        <is>
          <t>https://patents.google.com/patent/US7354974B2/en</t>
        </is>
      </c>
      <c r="F100" s="8" t="inlineStr">
        <is>
          <t>Example 3</t>
        </is>
      </c>
      <c r="G100" s="8" t="inlineStr">
        <is>
          <t>FFKM</t>
        </is>
      </c>
      <c r="H100" s="8" t="inlineStr">
        <is>
          <t>TFE/PMVE/8-CNVE 68.2/31.0/0.80 mol%</t>
        </is>
      </c>
      <c r="I100" s="8" t="inlineStr">
        <is>
          <t>nitrile_triazine</t>
        </is>
      </c>
      <c r="J100" s="8" t="n">
        <v>100</v>
      </c>
      <c r="K100" s="8" t="n">
        <v>0</v>
      </c>
      <c r="L100" s="8" t="n">
        <v>0</v>
      </c>
      <c r="M100" s="8" t="n">
        <v>0</v>
      </c>
      <c r="N100" s="8" t="n">
        <v>0</v>
      </c>
      <c r="O100" s="8" t="n">
        <v>0</v>
      </c>
      <c r="P100" s="8" t="n">
        <v>51</v>
      </c>
      <c r="Q100" s="8" t="n">
        <v>0</v>
      </c>
      <c r="R100" s="8" t="n">
        <v>0</v>
      </c>
      <c r="S100" s="8" t="n">
        <v>0</v>
      </c>
      <c r="T100" s="8" t="n">
        <v>0</v>
      </c>
      <c r="U100" s="8" t="n">
        <v>0.3</v>
      </c>
      <c r="V100" s="8" t="n">
        <v>0</v>
      </c>
      <c r="W100" s="8" t="n">
        <v>0</v>
      </c>
      <c r="X100" s="8" t="n">
        <v>0</v>
      </c>
      <c r="Y100" s="8" t="inlineStr">
        <is>
          <t>Teflon PFA 950 51; urea 0.3</t>
        </is>
      </c>
      <c r="Z100" s="8" t="n">
        <v>78</v>
      </c>
      <c r="AA100" s="8" t="n">
        <v>18</v>
      </c>
      <c r="AB100" s="8" t="n">
        <v>336</v>
      </c>
      <c r="AC100" s="8" t="n">
        <v>5.8</v>
      </c>
      <c r="AD100" s="8" t="n">
        <v>39</v>
      </c>
      <c r="AE100" s="8" t="inlineStr">
        <is>
          <t>204C x 70h, 25% compression, O-ring, ASTM D395</t>
        </is>
      </c>
      <c r="AF100" s="8" t="n"/>
      <c r="AG100" s="8" t="n"/>
      <c r="AH100" s="8" t="inlineStr">
        <is>
          <t>MPa; Shore A</t>
        </is>
      </c>
      <c r="AI100" s="8" t="inlineStr">
        <is>
          <t>Table I. Urea (ammonia generator) 0.3 phr curative. Press cure 190C x 4 min, post cure air 305C x 10 h; ASTM D412. Fluoroplastic = Teflon PFA 950 (TFE/PAVE semi-crystalline), compounded on open mill at 40C. CS 204C/70h at 10% compression = 56.</t>
        </is>
      </c>
    </row>
    <row r="101">
      <c r="A101" s="8" t="inlineStr">
        <is>
          <t>US7354974B2</t>
        </is>
      </c>
      <c r="B101" s="8" t="inlineStr">
        <is>
          <t>patent</t>
        </is>
      </c>
      <c r="C101" s="8" t="inlineStr">
        <is>
          <t>DuPont Performance Elastomers LLC</t>
        </is>
      </c>
      <c r="D101" s="8" t="inlineStr">
        <is>
          <t>Blends of perfluoroelastomers and fluoroplastics</t>
        </is>
      </c>
      <c r="E101" s="8" t="inlineStr">
        <is>
          <t>https://patents.google.com/patent/US7354974B2/en</t>
        </is>
      </c>
      <c r="F101" s="8" t="inlineStr">
        <is>
          <t>Example 4</t>
        </is>
      </c>
      <c r="G101" s="8" t="inlineStr">
        <is>
          <t>FFKM</t>
        </is>
      </c>
      <c r="H101" s="8" t="inlineStr">
        <is>
          <t>TFE/PMVE/8-CNVE 68.2/31.0/0.80 mol%</t>
        </is>
      </c>
      <c r="I101" s="8" t="inlineStr">
        <is>
          <t>nitrile_triazine</t>
        </is>
      </c>
      <c r="J101" s="8" t="n">
        <v>100</v>
      </c>
      <c r="K101" s="8" t="n">
        <v>0</v>
      </c>
      <c r="L101" s="8" t="n">
        <v>0</v>
      </c>
      <c r="M101" s="8" t="n">
        <v>0</v>
      </c>
      <c r="N101" s="8" t="n">
        <v>0</v>
      </c>
      <c r="O101" s="8" t="n">
        <v>0</v>
      </c>
      <c r="P101" s="8" t="n">
        <v>100</v>
      </c>
      <c r="Q101" s="8" t="n">
        <v>0</v>
      </c>
      <c r="R101" s="8" t="n">
        <v>0</v>
      </c>
      <c r="S101" s="8" t="n">
        <v>0</v>
      </c>
      <c r="T101" s="8" t="n">
        <v>0</v>
      </c>
      <c r="U101" s="8" t="n">
        <v>0.3</v>
      </c>
      <c r="V101" s="8" t="n">
        <v>0</v>
      </c>
      <c r="W101" s="8" t="n">
        <v>0</v>
      </c>
      <c r="X101" s="8" t="n">
        <v>0</v>
      </c>
      <c r="Y101" s="8" t="inlineStr">
        <is>
          <t>Teflon PFA 945 100; urea 0.3</t>
        </is>
      </c>
      <c r="Z101" s="8" t="n">
        <v>89</v>
      </c>
      <c r="AA101" s="8" t="n">
        <v>22</v>
      </c>
      <c r="AB101" s="8" t="n">
        <v>332</v>
      </c>
      <c r="AC101" s="8" t="n">
        <v>8.800000000000001</v>
      </c>
      <c r="AD101" s="8" t="n">
        <v>50</v>
      </c>
      <c r="AE101" s="8" t="inlineStr">
        <is>
          <t>204C x 70h, 25% compression, O-ring, ASTM D395</t>
        </is>
      </c>
      <c r="AF101" s="8" t="n"/>
      <c r="AG101" s="8" t="n"/>
      <c r="AH101" s="8" t="inlineStr">
        <is>
          <t>MPa; Shore A</t>
        </is>
      </c>
      <c r="AI101" s="8" t="inlineStr">
        <is>
          <t>Table I. Urea (ammonia generator) 0.3 phr curative. Press cure 190C x 4 min, post cure air 305C x 10 h; ASTM D412. Fluoroplastic = Teflon PFA 945 (TFE/PAVE semi-crystalline), compounded on open mill at 40C. CS 204C/70h at 10% compression = 60.</t>
        </is>
      </c>
    </row>
    <row r="102">
      <c r="A102" s="8" t="inlineStr">
        <is>
          <t>US7354974B2</t>
        </is>
      </c>
      <c r="B102" s="8" t="inlineStr">
        <is>
          <t>patent</t>
        </is>
      </c>
      <c r="C102" s="8" t="inlineStr">
        <is>
          <t>DuPont Performance Elastomers LLC</t>
        </is>
      </c>
      <c r="D102" s="8" t="inlineStr">
        <is>
          <t>Blends of perfluoroelastomers and fluoroplastics</t>
        </is>
      </c>
      <c r="E102" s="8" t="inlineStr">
        <is>
          <t>https://patents.google.com/patent/US7354974B2/en</t>
        </is>
      </c>
      <c r="F102" s="8" t="inlineStr">
        <is>
          <t>Example 5</t>
        </is>
      </c>
      <c r="G102" s="8" t="inlineStr">
        <is>
          <t>FFKM</t>
        </is>
      </c>
      <c r="H102" s="8" t="inlineStr">
        <is>
          <t>TFE/PMVE/8-CNVE 68.2/31.0/0.80 mol%</t>
        </is>
      </c>
      <c r="I102" s="8" t="inlineStr">
        <is>
          <t>nitrile_triazine</t>
        </is>
      </c>
      <c r="J102" s="8" t="n">
        <v>100</v>
      </c>
      <c r="K102" s="8" t="n">
        <v>0</v>
      </c>
      <c r="L102" s="8" t="n">
        <v>0</v>
      </c>
      <c r="M102" s="8" t="n">
        <v>0</v>
      </c>
      <c r="N102" s="8" t="n">
        <v>0</v>
      </c>
      <c r="O102" s="8" t="n">
        <v>0</v>
      </c>
      <c r="P102" s="8" t="n">
        <v>200</v>
      </c>
      <c r="Q102" s="8" t="n">
        <v>0</v>
      </c>
      <c r="R102" s="8" t="n">
        <v>0</v>
      </c>
      <c r="S102" s="8" t="n">
        <v>0</v>
      </c>
      <c r="T102" s="8" t="n">
        <v>0</v>
      </c>
      <c r="U102" s="8" t="n">
        <v>0.3</v>
      </c>
      <c r="V102" s="8" t="n">
        <v>0</v>
      </c>
      <c r="W102" s="8" t="n">
        <v>0</v>
      </c>
      <c r="X102" s="8" t="n">
        <v>0</v>
      </c>
      <c r="Y102" s="8" t="inlineStr">
        <is>
          <t>Teflon PFA 945 200; urea 0.3</t>
        </is>
      </c>
      <c r="Z102" s="8" t="n">
        <v>95</v>
      </c>
      <c r="AA102" s="8" t="n">
        <v>27.6</v>
      </c>
      <c r="AB102" s="8" t="n">
        <v>327</v>
      </c>
      <c r="AC102" s="8" t="n">
        <v>11.9</v>
      </c>
      <c r="AD102" s="8" t="n">
        <v>62</v>
      </c>
      <c r="AE102" s="8" t="inlineStr">
        <is>
          <t>204C x 70h, 25% compression, O-ring, ASTM D395</t>
        </is>
      </c>
      <c r="AF102" s="8" t="n"/>
      <c r="AG102" s="8" t="n"/>
      <c r="AH102" s="8" t="inlineStr">
        <is>
          <t>MPa; Shore A</t>
        </is>
      </c>
      <c r="AI102" s="8" t="inlineStr">
        <is>
          <t>Table I. Urea (ammonia generator) 0.3 phr curative. Press cure 190C x 4 min, post cure air 305C x 10 h; ASTM D412. Fluoroplastic = Teflon PFA 945 (TFE/PAVE semi-crystalline), compounded on open mill at 40C. CS 204C/70h at 10% compression = 67.</t>
        </is>
      </c>
    </row>
    <row r="103">
      <c r="A103" s="8" t="inlineStr">
        <is>
          <t>US7354974B2</t>
        </is>
      </c>
      <c r="B103" s="8" t="inlineStr">
        <is>
          <t>patent</t>
        </is>
      </c>
      <c r="C103" s="8" t="inlineStr">
        <is>
          <t>DuPont Performance Elastomers LLC</t>
        </is>
      </c>
      <c r="D103" s="8" t="inlineStr">
        <is>
          <t>Blends of perfluoroelastomers and fluoroplastics</t>
        </is>
      </c>
      <c r="E103" s="8" t="inlineStr">
        <is>
          <t>https://patents.google.com/patent/US7354974B2/en</t>
        </is>
      </c>
      <c r="F103" s="8" t="inlineStr">
        <is>
          <t>Example 6</t>
        </is>
      </c>
      <c r="G103" s="8" t="inlineStr">
        <is>
          <t>FFKM</t>
        </is>
      </c>
      <c r="H103" s="8" t="inlineStr">
        <is>
          <t>TFE/PMVE/8-CNVE 68.2/31.0/0.80 mol%</t>
        </is>
      </c>
      <c r="I103" s="8" t="inlineStr">
        <is>
          <t>nitrile_triazine</t>
        </is>
      </c>
      <c r="J103" s="8" t="n">
        <v>100</v>
      </c>
      <c r="K103" s="8" t="n">
        <v>0</v>
      </c>
      <c r="L103" s="8" t="n">
        <v>0</v>
      </c>
      <c r="M103" s="8" t="n">
        <v>0</v>
      </c>
      <c r="N103" s="8" t="n">
        <v>0</v>
      </c>
      <c r="O103" s="8" t="n">
        <v>0</v>
      </c>
      <c r="P103" s="8" t="n">
        <v>300</v>
      </c>
      <c r="Q103" s="8" t="n">
        <v>0</v>
      </c>
      <c r="R103" s="8" t="n">
        <v>0</v>
      </c>
      <c r="S103" s="8" t="n">
        <v>0</v>
      </c>
      <c r="T103" s="8" t="n">
        <v>0</v>
      </c>
      <c r="U103" s="8" t="n">
        <v>0.3</v>
      </c>
      <c r="V103" s="8" t="n">
        <v>0</v>
      </c>
      <c r="W103" s="8" t="n">
        <v>0</v>
      </c>
      <c r="X103" s="8" t="n">
        <v>0</v>
      </c>
      <c r="Y103" s="8" t="inlineStr">
        <is>
          <t>Teflon PFA 945 300; urea 0.3</t>
        </is>
      </c>
      <c r="Z103" s="8" t="n">
        <v>97</v>
      </c>
      <c r="AA103" s="8" t="n">
        <v>26.1</v>
      </c>
      <c r="AB103" s="8" t="n">
        <v>228</v>
      </c>
      <c r="AC103" s="8" t="n">
        <v>15.3</v>
      </c>
      <c r="AD103" s="8" t="n"/>
      <c r="AE103" s="8" t="n"/>
      <c r="AF103" s="8" t="n"/>
      <c r="AG103" s="8" t="n"/>
      <c r="AH103" s="8" t="inlineStr">
        <is>
          <t>MPa; Shore A</t>
        </is>
      </c>
      <c r="AI103" s="8" t="inlineStr">
        <is>
          <t>Table I. Urea (ammonia generator) 0.3 phr curative. Press cure 190C x 4 min, post cure air 305C x 10 h; ASTM D412. Fluoroplastic = Teflon PFA 945 (TFE/PAVE semi-crystalline), compounded on open mill at 40C.</t>
        </is>
      </c>
    </row>
    <row r="104">
      <c r="A104" s="8" t="inlineStr">
        <is>
          <t>US7354974B2</t>
        </is>
      </c>
      <c r="B104" s="8" t="inlineStr">
        <is>
          <t>patent</t>
        </is>
      </c>
      <c r="C104" s="8" t="inlineStr">
        <is>
          <t>DuPont Performance Elastomers LLC</t>
        </is>
      </c>
      <c r="D104" s="8" t="inlineStr">
        <is>
          <t>Blends of perfluoroelastomers and fluoroplastics</t>
        </is>
      </c>
      <c r="E104" s="8" t="inlineStr">
        <is>
          <t>https://patents.google.com/patent/US7354974B2/en</t>
        </is>
      </c>
      <c r="F104" s="8" t="inlineStr">
        <is>
          <t>Example 7</t>
        </is>
      </c>
      <c r="G104" s="8" t="inlineStr">
        <is>
          <t>FFKM</t>
        </is>
      </c>
      <c r="H104" s="8" t="inlineStr">
        <is>
          <t>TFE/PMVE/8-CNVE 68.2/31.0/0.80 mol%</t>
        </is>
      </c>
      <c r="I104" s="8" t="inlineStr">
        <is>
          <t>nitrile_triazine</t>
        </is>
      </c>
      <c r="J104" s="8" t="n">
        <v>100</v>
      </c>
      <c r="K104" s="8" t="n">
        <v>0</v>
      </c>
      <c r="L104" s="8" t="n">
        <v>0</v>
      </c>
      <c r="M104" s="8" t="n">
        <v>0</v>
      </c>
      <c r="N104" s="8" t="n">
        <v>0</v>
      </c>
      <c r="O104" s="8" t="n">
        <v>0</v>
      </c>
      <c r="P104" s="8" t="n">
        <v>51</v>
      </c>
      <c r="Q104" s="8" t="n">
        <v>0</v>
      </c>
      <c r="R104" s="8" t="n">
        <v>0</v>
      </c>
      <c r="S104" s="8" t="n">
        <v>0</v>
      </c>
      <c r="T104" s="8" t="n">
        <v>0</v>
      </c>
      <c r="U104" s="8" t="n">
        <v>0.3</v>
      </c>
      <c r="V104" s="8" t="n">
        <v>0</v>
      </c>
      <c r="W104" s="8" t="n">
        <v>0</v>
      </c>
      <c r="X104" s="8" t="n">
        <v>0</v>
      </c>
      <c r="Y104" s="8" t="inlineStr">
        <is>
          <t>Teflon PFA 945 51; urea 0.3</t>
        </is>
      </c>
      <c r="Z104" s="8" t="n">
        <v>78</v>
      </c>
      <c r="AA104" s="8" t="n">
        <v>17.7</v>
      </c>
      <c r="AB104" s="8" t="n">
        <v>330</v>
      </c>
      <c r="AC104" s="8" t="n">
        <v>6.2</v>
      </c>
      <c r="AD104" s="8" t="n"/>
      <c r="AE104" s="8" t="n"/>
      <c r="AF104" s="8" t="n"/>
      <c r="AG104" s="8" t="n"/>
      <c r="AH104" s="8" t="inlineStr">
        <is>
          <t>MPa; Shore A</t>
        </is>
      </c>
      <c r="AI104" s="8" t="inlineStr">
        <is>
          <t>Table I. Urea (ammonia generator) 0.3 phr curative. Press cure 190C x 4 min, post cure air 305C x 10 h; ASTM D412. Fluoroplastic = Teflon PFA 945 (TFE/PAVE semi-crystalline), compounded on open mill at 40C. PFA melt-blended with elastomer at 320C (Laboplasto mill) before adding curative.</t>
        </is>
      </c>
    </row>
    <row r="105">
      <c r="A105" s="8" t="inlineStr">
        <is>
          <t>US7354974B2</t>
        </is>
      </c>
      <c r="B105" s="8" t="inlineStr">
        <is>
          <t>patent</t>
        </is>
      </c>
      <c r="C105" s="8" t="inlineStr">
        <is>
          <t>DuPont Performance Elastomers LLC</t>
        </is>
      </c>
      <c r="D105" s="8" t="inlineStr">
        <is>
          <t>Blends of perfluoroelastomers and fluoroplastics</t>
        </is>
      </c>
      <c r="E105" s="8" t="inlineStr">
        <is>
          <t>https://patents.google.com/patent/US7354974B2/en</t>
        </is>
      </c>
      <c r="F105" s="8" t="inlineStr">
        <is>
          <t>Control A</t>
        </is>
      </c>
      <c r="G105" s="8" t="inlineStr">
        <is>
          <t>FFKM</t>
        </is>
      </c>
      <c r="H105" s="8" t="inlineStr">
        <is>
          <t>TFE/PMVE/8-CNVE 68.2/31.0/0.80 mol%</t>
        </is>
      </c>
      <c r="I105" s="8" t="inlineStr">
        <is>
          <t>nitrile_triazine</t>
        </is>
      </c>
      <c r="J105" s="8" t="n">
        <v>100</v>
      </c>
      <c r="K105" s="8" t="n">
        <v>0</v>
      </c>
      <c r="L105" s="8" t="n">
        <v>0</v>
      </c>
      <c r="M105" s="8" t="n">
        <v>0</v>
      </c>
      <c r="N105" s="8" t="n">
        <v>0</v>
      </c>
      <c r="O105" s="8" t="n">
        <v>0</v>
      </c>
      <c r="P105" s="8" t="n">
        <v>0</v>
      </c>
      <c r="Q105" s="8" t="n">
        <v>0</v>
      </c>
      <c r="R105" s="8" t="n">
        <v>0</v>
      </c>
      <c r="S105" s="8" t="n">
        <v>0</v>
      </c>
      <c r="T105" s="8" t="n">
        <v>0</v>
      </c>
      <c r="U105" s="8" t="n">
        <v>0.3</v>
      </c>
      <c r="V105" s="8" t="n">
        <v>0</v>
      </c>
      <c r="W105" s="8" t="n">
        <v>0</v>
      </c>
      <c r="X105" s="8" t="n">
        <v>0</v>
      </c>
      <c r="Y105" s="8" t="inlineStr">
        <is>
          <t>urea 0.3</t>
        </is>
      </c>
      <c r="Z105" s="8" t="n">
        <v>54</v>
      </c>
      <c r="AA105" s="8" t="n">
        <v>10.6</v>
      </c>
      <c r="AB105" s="8" t="n">
        <v>358</v>
      </c>
      <c r="AC105" s="8" t="n">
        <v>1.5</v>
      </c>
      <c r="AD105" s="8" t="n">
        <v>80</v>
      </c>
      <c r="AE105" s="8" t="inlineStr">
        <is>
          <t>204C x 70h, 25% compression, O-ring, ASTM D395</t>
        </is>
      </c>
      <c r="AF105" s="8" t="n"/>
      <c r="AG105" s="8" t="n"/>
      <c r="AH105" s="8" t="inlineStr">
        <is>
          <t>MPa; Shore A</t>
        </is>
      </c>
      <c r="AI105" s="8" t="inlineStr">
        <is>
          <t>Table I. Urea (ammonia generator) 0.3 phr curative. Press cure 190C x 4 min, post cure air 305C x 10 h; ASTM D412.</t>
        </is>
      </c>
    </row>
    <row r="106">
      <c r="A106" s="8" t="inlineStr">
        <is>
          <t>US7354974B2</t>
        </is>
      </c>
      <c r="B106" s="8" t="inlineStr">
        <is>
          <t>patent</t>
        </is>
      </c>
      <c r="C106" s="8" t="inlineStr">
        <is>
          <t>DuPont Performance Elastomers LLC</t>
        </is>
      </c>
      <c r="D106" s="8" t="inlineStr">
        <is>
          <t>Blends of perfluoroelastomers and fluoroplastics</t>
        </is>
      </c>
      <c r="E106" s="8" t="inlineStr">
        <is>
          <t>https://patents.google.com/patent/US7354974B2/en</t>
        </is>
      </c>
      <c r="F106" s="8" t="inlineStr">
        <is>
          <t>Control B</t>
        </is>
      </c>
      <c r="G106" s="8" t="inlineStr">
        <is>
          <t>FFKM</t>
        </is>
      </c>
      <c r="H106" s="8" t="inlineStr">
        <is>
          <t>TFE/PMVE/8-CNVE 68.2/31.0/0.80 mol%</t>
        </is>
      </c>
      <c r="I106" s="8" t="inlineStr">
        <is>
          <t>nitrile_triazine</t>
        </is>
      </c>
      <c r="J106" s="8" t="n">
        <v>100</v>
      </c>
      <c r="K106" s="8" t="n">
        <v>30</v>
      </c>
      <c r="L106" s="8" t="n">
        <v>0</v>
      </c>
      <c r="M106" s="8" t="n">
        <v>0</v>
      </c>
      <c r="N106" s="8" t="n">
        <v>0</v>
      </c>
      <c r="O106" s="8" t="n">
        <v>0</v>
      </c>
      <c r="P106" s="8" t="n">
        <v>0</v>
      </c>
      <c r="Q106" s="8" t="n">
        <v>0</v>
      </c>
      <c r="R106" s="8" t="n">
        <v>0</v>
      </c>
      <c r="S106" s="8" t="n">
        <v>0</v>
      </c>
      <c r="T106" s="8" t="n">
        <v>0</v>
      </c>
      <c r="U106" s="8" t="n">
        <v>0.3</v>
      </c>
      <c r="V106" s="8" t="n">
        <v>0</v>
      </c>
      <c r="W106" s="8" t="n">
        <v>0</v>
      </c>
      <c r="X106" s="8" t="n">
        <v>0</v>
      </c>
      <c r="Y106" s="8" t="inlineStr">
        <is>
          <t>urea 0.3; MT carbon black 30</t>
        </is>
      </c>
      <c r="Z106" s="8" t="n">
        <v>73</v>
      </c>
      <c r="AA106" s="8" t="n">
        <v>17.3</v>
      </c>
      <c r="AB106" s="8" t="n">
        <v>242</v>
      </c>
      <c r="AC106" s="8" t="n">
        <v>7.5</v>
      </c>
      <c r="AD106" s="8" t="n">
        <v>12</v>
      </c>
      <c r="AE106" s="8" t="inlineStr">
        <is>
          <t>204C x 70h, 25% compression, O-ring, ASTM D395</t>
        </is>
      </c>
      <c r="AF106" s="8" t="n"/>
      <c r="AG106" s="8" t="n"/>
      <c r="AH106" s="8" t="inlineStr">
        <is>
          <t>MPa; Shore A</t>
        </is>
      </c>
      <c r="AI106" s="8" t="inlineStr">
        <is>
          <t>Table I. Urea (ammonia generator) 0.3 phr curative. Press cure 190C x 4 min, post cure air 305C x 10 h; ASTM D412.</t>
        </is>
      </c>
    </row>
    <row r="107">
      <c r="A107" s="8" t="inlineStr">
        <is>
          <t>US7354974B2</t>
        </is>
      </c>
      <c r="B107" s="8" t="inlineStr">
        <is>
          <t>patent</t>
        </is>
      </c>
      <c r="C107" s="8" t="inlineStr">
        <is>
          <t>DuPont Performance Elastomers LLC</t>
        </is>
      </c>
      <c r="D107" s="8" t="inlineStr">
        <is>
          <t>Blends of perfluoroelastomers and fluoroplastics</t>
        </is>
      </c>
      <c r="E107" s="8" t="inlineStr">
        <is>
          <t>https://patents.google.com/patent/US7354974B2/en</t>
        </is>
      </c>
      <c r="F107" s="8" t="inlineStr">
        <is>
          <t>Control D</t>
        </is>
      </c>
      <c r="G107" s="8" t="inlineStr">
        <is>
          <t>FFKM</t>
        </is>
      </c>
      <c r="H107" s="8" t="inlineStr">
        <is>
          <t>TFE/PMVE/8-CNVE 68.2/31.0/0.80 mol%</t>
        </is>
      </c>
      <c r="I107" s="8" t="inlineStr">
        <is>
          <t>nitrile_triazine</t>
        </is>
      </c>
      <c r="J107" s="8" t="n">
        <v>100</v>
      </c>
      <c r="K107" s="8" t="n">
        <v>0</v>
      </c>
      <c r="L107" s="8" t="n">
        <v>0</v>
      </c>
      <c r="M107" s="8" t="n">
        <v>0</v>
      </c>
      <c r="N107" s="8" t="n">
        <v>0</v>
      </c>
      <c r="O107" s="8" t="n">
        <v>0</v>
      </c>
      <c r="P107" s="8" t="n">
        <v>40</v>
      </c>
      <c r="Q107" s="8" t="n">
        <v>0</v>
      </c>
      <c r="R107" s="8" t="n">
        <v>0</v>
      </c>
      <c r="S107" s="8" t="n">
        <v>0</v>
      </c>
      <c r="T107" s="8" t="n">
        <v>0</v>
      </c>
      <c r="U107" s="8" t="n">
        <v>0.3</v>
      </c>
      <c r="V107" s="8" t="n">
        <v>0</v>
      </c>
      <c r="W107" s="8" t="n">
        <v>0</v>
      </c>
      <c r="X107" s="8" t="n">
        <v>0</v>
      </c>
      <c r="Y107" s="8" t="inlineStr">
        <is>
          <t>Teflon PFA 945 40; urea 0.3</t>
        </is>
      </c>
      <c r="Z107" s="8" t="n"/>
      <c r="AA107" s="8" t="n"/>
      <c r="AB107" s="8" t="n"/>
      <c r="AC107" s="8" t="n">
        <v>5.4</v>
      </c>
      <c r="AD107" s="8" t="n"/>
      <c r="AE107" s="8" t="n"/>
      <c r="AF107" s="8" t="n"/>
      <c r="AG107" s="8" t="n"/>
      <c r="AH107" s="8" t="inlineStr">
        <is>
          <t>MPa; Shore A</t>
        </is>
      </c>
      <c r="AI107" s="8" t="inlineStr">
        <is>
          <t>Table I. Urea (ammonia generator) 0.3 phr curative. Press cure 190C x 4 min, post cure air 305C x 10 h; ASTM D412. Fluoroplastic = Teflon PFA 945 (TFE/PAVE semi-crystalline), compounded on open mill at 40C. Only M100 reported (TB/EB/hardness not tested).</t>
        </is>
      </c>
    </row>
    <row r="108">
      <c r="A108" s="8" t="inlineStr">
        <is>
          <t>US6992143B2</t>
        </is>
      </c>
      <c r="B108" s="8" t="inlineStr">
        <is>
          <t>patent</t>
        </is>
      </c>
      <c r="C108" s="8" t="inlineStr">
        <is>
          <t>DuPont Dow Elastomers LLC</t>
        </is>
      </c>
      <c r="D108" s="8" t="inlineStr">
        <is>
          <t>Curable perfluoroelastomer composition</t>
        </is>
      </c>
      <c r="E108" s="8" t="inlineStr">
        <is>
          <t>https://patents.google.com/patent/US6992143B2/en</t>
        </is>
      </c>
      <c r="F108" s="8" t="inlineStr">
        <is>
          <t>Control Example 1</t>
        </is>
      </c>
      <c r="G108" s="8" t="inlineStr">
        <is>
          <t>FFKM</t>
        </is>
      </c>
      <c r="H108" s="8" t="inlineStr">
        <is>
          <t>FFKM A: TFE/PMVE/8-CNVE 68.2/31.0/0.80 mol%</t>
        </is>
      </c>
      <c r="I108" s="8" t="inlineStr">
        <is>
          <t>peroxide</t>
        </is>
      </c>
      <c r="J108" s="8" t="n">
        <v>100</v>
      </c>
      <c r="K108" s="8" t="n">
        <v>0</v>
      </c>
      <c r="L108" s="8" t="n">
        <v>10</v>
      </c>
      <c r="M108" s="8" t="n">
        <v>0</v>
      </c>
      <c r="N108" s="8" t="n">
        <v>0</v>
      </c>
      <c r="O108" s="8" t="n">
        <v>0</v>
      </c>
      <c r="P108" s="8" t="n">
        <v>0</v>
      </c>
      <c r="Q108" s="8" t="n">
        <v>0</v>
      </c>
      <c r="R108" s="8" t="n">
        <v>0</v>
      </c>
      <c r="S108" s="8" t="n">
        <v>1.5</v>
      </c>
      <c r="T108" s="8" t="n">
        <v>3</v>
      </c>
      <c r="U108" s="8" t="n">
        <v>0</v>
      </c>
      <c r="V108" s="8" t="n">
        <v>0</v>
      </c>
      <c r="W108" s="8" t="n">
        <v>0</v>
      </c>
      <c r="X108" s="8" t="n">
        <v>0</v>
      </c>
      <c r="Y108" s="8" t="inlineStr">
        <is>
          <t>Aerosil 200 VS (hydrophilic) 10; TMAIC (Diak 8) 1.5; PLC DBPH 68% peroxide 3</t>
        </is>
      </c>
      <c r="Z108" s="8" t="n"/>
      <c r="AA108" s="8" t="n">
        <v>16.7</v>
      </c>
      <c r="AB108" s="8" t="n">
        <v>162</v>
      </c>
      <c r="AC108" s="8" t="n">
        <v>7.9</v>
      </c>
      <c r="AD108" s="8" t="n">
        <v>39</v>
      </c>
      <c r="AE108" s="8" t="inlineStr">
        <is>
          <t>204C x 70h, K214 O-ring, ASTM D1414</t>
        </is>
      </c>
      <c r="AF108" s="8" t="n"/>
      <c r="AG108" s="8" t="n"/>
      <c r="AH108" s="8" t="inlineStr">
        <is>
          <t>MPa</t>
        </is>
      </c>
      <c r="AI108" s="8" t="inlineStr">
        <is>
          <t>Table I (peroxide control). Peroxide recorded as stated (PLC DBPH 68% active). Molded 177C x 6 min, post cure air 232C x 6 h. Hardness not reported.</t>
        </is>
      </c>
    </row>
    <row r="109">
      <c r="A109" s="8" t="inlineStr">
        <is>
          <t>US6992143B2</t>
        </is>
      </c>
      <c r="B109" s="8" t="inlineStr">
        <is>
          <t>patent</t>
        </is>
      </c>
      <c r="C109" s="8" t="inlineStr">
        <is>
          <t>DuPont Dow Elastomers LLC</t>
        </is>
      </c>
      <c r="D109" s="8" t="inlineStr">
        <is>
          <t>Curable perfluoroelastomer composition</t>
        </is>
      </c>
      <c r="E109" s="8" t="inlineStr">
        <is>
          <t>https://patents.google.com/patent/US6992143B2/en</t>
        </is>
      </c>
      <c r="F109" s="8" t="inlineStr">
        <is>
          <t>Control Example 2</t>
        </is>
      </c>
      <c r="G109" s="8" t="inlineStr">
        <is>
          <t>FFKM</t>
        </is>
      </c>
      <c r="H109" s="8" t="inlineStr">
        <is>
          <t>FFKM A: TFE/PMVE/8-CNVE 68.2/31.0/0.80 mol%</t>
        </is>
      </c>
      <c r="I109" s="8" t="inlineStr">
        <is>
          <t>peroxide</t>
        </is>
      </c>
      <c r="J109" s="8" t="n">
        <v>100</v>
      </c>
      <c r="K109" s="8" t="n">
        <v>0</v>
      </c>
      <c r="L109" s="8" t="n">
        <v>10</v>
      </c>
      <c r="M109" s="8" t="n">
        <v>0</v>
      </c>
      <c r="N109" s="8" t="n">
        <v>0</v>
      </c>
      <c r="O109" s="8" t="n">
        <v>0</v>
      </c>
      <c r="P109" s="8" t="n">
        <v>0</v>
      </c>
      <c r="Q109" s="8" t="n">
        <v>0</v>
      </c>
      <c r="R109" s="8" t="n">
        <v>0</v>
      </c>
      <c r="S109" s="8" t="n">
        <v>1.5</v>
      </c>
      <c r="T109" s="8" t="n">
        <v>3</v>
      </c>
      <c r="U109" s="8" t="n">
        <v>0</v>
      </c>
      <c r="V109" s="8" t="n">
        <v>0</v>
      </c>
      <c r="W109" s="8" t="n">
        <v>0</v>
      </c>
      <c r="X109" s="8" t="n">
        <v>0</v>
      </c>
      <c r="Y109" s="8" t="inlineStr">
        <is>
          <t>Aerosil R972 (hydrophobic) 10; TMAIC (Diak 8) 1.5; PLC DBPH 68% peroxide 3</t>
        </is>
      </c>
      <c r="Z109" s="8" t="n"/>
      <c r="AA109" s="8" t="n">
        <v>16.3</v>
      </c>
      <c r="AB109" s="8" t="n">
        <v>181</v>
      </c>
      <c r="AC109" s="8" t="n">
        <v>6.6</v>
      </c>
      <c r="AD109" s="8" t="n">
        <v>41</v>
      </c>
      <c r="AE109" s="8" t="inlineStr">
        <is>
          <t>204C x 70h, K214 O-ring, ASTM D1414</t>
        </is>
      </c>
      <c r="AF109" s="8" t="n"/>
      <c r="AG109" s="8" t="n"/>
      <c r="AH109" s="8" t="inlineStr">
        <is>
          <t>MPa</t>
        </is>
      </c>
      <c r="AI109" s="8" t="inlineStr">
        <is>
          <t>Table I (peroxide control). Peroxide recorded as stated (PLC DBPH 68% active). Molded 177C x 6 min, post cure air 232C x 6 h. Hardness not reported.</t>
        </is>
      </c>
    </row>
    <row r="110">
      <c r="A110" s="8" t="inlineStr">
        <is>
          <t>US6992143B2</t>
        </is>
      </c>
      <c r="B110" s="8" t="inlineStr">
        <is>
          <t>patent</t>
        </is>
      </c>
      <c r="C110" s="8" t="inlineStr">
        <is>
          <t>DuPont Dow Elastomers LLC</t>
        </is>
      </c>
      <c r="D110" s="8" t="inlineStr">
        <is>
          <t>Curable perfluoroelastomer composition</t>
        </is>
      </c>
      <c r="E110" s="8" t="inlineStr">
        <is>
          <t>https://patents.google.com/patent/US6992143B2/en</t>
        </is>
      </c>
      <c r="F110" s="8" t="inlineStr">
        <is>
          <t>Control Example 3</t>
        </is>
      </c>
      <c r="G110" s="8" t="inlineStr">
        <is>
          <t>FFKM</t>
        </is>
      </c>
      <c r="H110" s="8" t="inlineStr">
        <is>
          <t>FFKM A: TFE/PMVE/8-CNVE 68.2/31.0/0.80 mol%</t>
        </is>
      </c>
      <c r="I110" s="8" t="inlineStr">
        <is>
          <t>peroxide</t>
        </is>
      </c>
      <c r="J110" s="8" t="n">
        <v>100</v>
      </c>
      <c r="K110" s="8" t="n">
        <v>0</v>
      </c>
      <c r="L110" s="8" t="n">
        <v>10</v>
      </c>
      <c r="M110" s="8" t="n">
        <v>0</v>
      </c>
      <c r="N110" s="8" t="n">
        <v>0</v>
      </c>
      <c r="O110" s="8" t="n">
        <v>0</v>
      </c>
      <c r="P110" s="8" t="n">
        <v>0</v>
      </c>
      <c r="Q110" s="8" t="n">
        <v>0</v>
      </c>
      <c r="R110" s="8" t="n">
        <v>0</v>
      </c>
      <c r="S110" s="8" t="n">
        <v>1.5</v>
      </c>
      <c r="T110" s="8" t="n">
        <v>3</v>
      </c>
      <c r="U110" s="8" t="n">
        <v>0</v>
      </c>
      <c r="V110" s="8" t="n">
        <v>0</v>
      </c>
      <c r="W110" s="8" t="n">
        <v>0</v>
      </c>
      <c r="X110" s="8" t="n">
        <v>0</v>
      </c>
      <c r="Y110" s="8" t="inlineStr">
        <is>
          <t>Aerosil R812 (hydrophobic) 10; TMAIC (Diak 8) 1.5; PLC DBPH 68% peroxide 3</t>
        </is>
      </c>
      <c r="Z110" s="8" t="n"/>
      <c r="AA110" s="8" t="n">
        <v>12.3</v>
      </c>
      <c r="AB110" s="8" t="n">
        <v>160</v>
      </c>
      <c r="AC110" s="8" t="n">
        <v>5.8</v>
      </c>
      <c r="AD110" s="8" t="n">
        <v>47</v>
      </c>
      <c r="AE110" s="8" t="inlineStr">
        <is>
          <t>204C x 70h, K214 O-ring, ASTM D1414</t>
        </is>
      </c>
      <c r="AF110" s="8" t="n"/>
      <c r="AG110" s="8" t="n"/>
      <c r="AH110" s="8" t="inlineStr">
        <is>
          <t>MPa</t>
        </is>
      </c>
      <c r="AI110" s="8" t="inlineStr">
        <is>
          <t>Table I (peroxide control). Peroxide recorded as stated (PLC DBPH 68% active). Molded 177C x 6 min, post cure air 232C x 6 h. Hardness not reported.</t>
        </is>
      </c>
    </row>
    <row r="111">
      <c r="A111" s="8" t="inlineStr">
        <is>
          <t>US6992143B2</t>
        </is>
      </c>
      <c r="B111" s="8" t="inlineStr">
        <is>
          <t>patent</t>
        </is>
      </c>
      <c r="C111" s="8" t="inlineStr">
        <is>
          <t>DuPont Dow Elastomers LLC</t>
        </is>
      </c>
      <c r="D111" s="8" t="inlineStr">
        <is>
          <t>Curable perfluoroelastomer composition</t>
        </is>
      </c>
      <c r="E111" s="8" t="inlineStr">
        <is>
          <t>https://patents.google.com/patent/US6992143B2/en</t>
        </is>
      </c>
      <c r="F111" s="8" t="inlineStr">
        <is>
          <t>Example 1</t>
        </is>
      </c>
      <c r="G111" s="8" t="inlineStr">
        <is>
          <t>FFKM</t>
        </is>
      </c>
      <c r="H111" s="8" t="inlineStr">
        <is>
          <t>FFKM A: TFE/PMVE/8-CNVE 68.2/31.0/0.80 mol%</t>
        </is>
      </c>
      <c r="I111" s="8" t="inlineStr">
        <is>
          <t>nitrile_bisaminophenol</t>
        </is>
      </c>
      <c r="J111" s="8" t="n">
        <v>100</v>
      </c>
      <c r="K111" s="8" t="n">
        <v>0</v>
      </c>
      <c r="L111" s="8" t="n">
        <v>10</v>
      </c>
      <c r="M111" s="8" t="n">
        <v>0</v>
      </c>
      <c r="N111" s="8" t="n">
        <v>0</v>
      </c>
      <c r="O111" s="8" t="n">
        <v>0</v>
      </c>
      <c r="P111" s="8" t="n">
        <v>0</v>
      </c>
      <c r="Q111" s="8" t="n">
        <v>0</v>
      </c>
      <c r="R111" s="8" t="n">
        <v>0</v>
      </c>
      <c r="S111" s="8" t="n">
        <v>0</v>
      </c>
      <c r="T111" s="8" t="n">
        <v>0</v>
      </c>
      <c r="U111" s="8" t="n">
        <v>1.75</v>
      </c>
      <c r="V111" s="8" t="n">
        <v>0</v>
      </c>
      <c r="W111" s="8" t="n">
        <v>0</v>
      </c>
      <c r="X111" s="8" t="n">
        <v>0</v>
      </c>
      <c r="Y111" s="8" t="inlineStr">
        <is>
          <t>Aerosil R972 (hydrophobic) 10; DABPAF (diaminobisphenol AF) 1.75</t>
        </is>
      </c>
      <c r="Z111" s="8" t="n"/>
      <c r="AA111" s="8" t="n">
        <v>9</v>
      </c>
      <c r="AB111" s="8" t="n">
        <v>161</v>
      </c>
      <c r="AC111" s="8" t="n">
        <v>4.1</v>
      </c>
      <c r="AD111" s="8" t="n">
        <v>29</v>
      </c>
      <c r="AE111" s="8" t="inlineStr">
        <is>
          <t>204C x 70h, K214 O-ring, ASTM D1414</t>
        </is>
      </c>
      <c r="AF111" s="8" t="n"/>
      <c r="AG111" s="8" t="n"/>
      <c r="AH111" s="8" t="inlineStr">
        <is>
          <t>MPa</t>
        </is>
      </c>
      <c r="AI111" s="8" t="inlineStr">
        <is>
          <t>Table II. Molded 199C (T90+5 min), post cure N2 305C x 26 h. CS 300C/70h = 49. Hardness not reported.</t>
        </is>
      </c>
    </row>
    <row r="112">
      <c r="A112" s="8" t="inlineStr">
        <is>
          <t>US6992143B2</t>
        </is>
      </c>
      <c r="B112" s="8" t="inlineStr">
        <is>
          <t>patent</t>
        </is>
      </c>
      <c r="C112" s="8" t="inlineStr">
        <is>
          <t>DuPont Dow Elastomers LLC</t>
        </is>
      </c>
      <c r="D112" s="8" t="inlineStr">
        <is>
          <t>Curable perfluoroelastomer composition</t>
        </is>
      </c>
      <c r="E112" s="8" t="inlineStr">
        <is>
          <t>https://patents.google.com/patent/US6992143B2/en</t>
        </is>
      </c>
      <c r="F112" s="8" t="inlineStr">
        <is>
          <t>Example 2</t>
        </is>
      </c>
      <c r="G112" s="8" t="inlineStr">
        <is>
          <t>FFKM</t>
        </is>
      </c>
      <c r="H112" s="8" t="inlineStr">
        <is>
          <t>FFKM A: TFE/PMVE/8-CNVE 68.2/31.0/0.80 mol%</t>
        </is>
      </c>
      <c r="I112" s="8" t="inlineStr">
        <is>
          <t>nitrile_bisaminophenol</t>
        </is>
      </c>
      <c r="J112" s="8" t="n">
        <v>100</v>
      </c>
      <c r="K112" s="8" t="n">
        <v>0</v>
      </c>
      <c r="L112" s="8" t="n">
        <v>10</v>
      </c>
      <c r="M112" s="8" t="n">
        <v>0</v>
      </c>
      <c r="N112" s="8" t="n">
        <v>0</v>
      </c>
      <c r="O112" s="8" t="n">
        <v>0</v>
      </c>
      <c r="P112" s="8" t="n">
        <v>0</v>
      </c>
      <c r="Q112" s="8" t="n">
        <v>0</v>
      </c>
      <c r="R112" s="8" t="n">
        <v>0</v>
      </c>
      <c r="S112" s="8" t="n">
        <v>0</v>
      </c>
      <c r="T112" s="8" t="n">
        <v>0</v>
      </c>
      <c r="U112" s="8" t="n">
        <v>1.75</v>
      </c>
      <c r="V112" s="8" t="n">
        <v>0</v>
      </c>
      <c r="W112" s="8" t="n">
        <v>0</v>
      </c>
      <c r="X112" s="8" t="n">
        <v>0</v>
      </c>
      <c r="Y112" s="8" t="inlineStr">
        <is>
          <t>Aerosil R974 (hydrophobic) 10; DABPAF (diaminobisphenol AF) 1.75</t>
        </is>
      </c>
      <c r="Z112" s="8" t="n"/>
      <c r="AA112" s="8" t="n">
        <v>13.5</v>
      </c>
      <c r="AB112" s="8" t="n">
        <v>195</v>
      </c>
      <c r="AC112" s="8" t="n">
        <v>4.4</v>
      </c>
      <c r="AD112" s="8" t="n">
        <v>35</v>
      </c>
      <c r="AE112" s="8" t="inlineStr">
        <is>
          <t>204C x 70h, K214 O-ring, ASTM D1414</t>
        </is>
      </c>
      <c r="AF112" s="8" t="n"/>
      <c r="AG112" s="8" t="n"/>
      <c r="AH112" s="8" t="inlineStr">
        <is>
          <t>MPa</t>
        </is>
      </c>
      <c r="AI112" s="8" t="inlineStr">
        <is>
          <t>Table II. Molded 199C (T90+5 min), post cure N2 305C x 26 h. CS 300C/70h = 53. Hardness not reported.</t>
        </is>
      </c>
    </row>
    <row r="113">
      <c r="A113" s="8" t="inlineStr">
        <is>
          <t>US6992143B2</t>
        </is>
      </c>
      <c r="B113" s="8" t="inlineStr">
        <is>
          <t>patent</t>
        </is>
      </c>
      <c r="C113" s="8" t="inlineStr">
        <is>
          <t>DuPont Dow Elastomers LLC</t>
        </is>
      </c>
      <c r="D113" s="8" t="inlineStr">
        <is>
          <t>Curable perfluoroelastomer composition</t>
        </is>
      </c>
      <c r="E113" s="8" t="inlineStr">
        <is>
          <t>https://patents.google.com/patent/US6992143B2/en</t>
        </is>
      </c>
      <c r="F113" s="8" t="inlineStr">
        <is>
          <t>Example 3</t>
        </is>
      </c>
      <c r="G113" s="8" t="inlineStr">
        <is>
          <t>FFKM</t>
        </is>
      </c>
      <c r="H113" s="8" t="inlineStr">
        <is>
          <t>FFKM A: TFE/PMVE/8-CNVE 68.2/31.0/0.80 mol%</t>
        </is>
      </c>
      <c r="I113" s="8" t="inlineStr">
        <is>
          <t>nitrile_bisaminophenol</t>
        </is>
      </c>
      <c r="J113" s="8" t="n">
        <v>100</v>
      </c>
      <c r="K113" s="8" t="n">
        <v>0</v>
      </c>
      <c r="L113" s="8" t="n">
        <v>10</v>
      </c>
      <c r="M113" s="8" t="n">
        <v>0</v>
      </c>
      <c r="N113" s="8" t="n">
        <v>0</v>
      </c>
      <c r="O113" s="8" t="n">
        <v>0</v>
      </c>
      <c r="P113" s="8" t="n">
        <v>0</v>
      </c>
      <c r="Q113" s="8" t="n">
        <v>0</v>
      </c>
      <c r="R113" s="8" t="n">
        <v>0</v>
      </c>
      <c r="S113" s="8" t="n">
        <v>0</v>
      </c>
      <c r="T113" s="8" t="n">
        <v>0</v>
      </c>
      <c r="U113" s="8" t="n">
        <v>1.75</v>
      </c>
      <c r="V113" s="8" t="n">
        <v>0</v>
      </c>
      <c r="W113" s="8" t="n">
        <v>0</v>
      </c>
      <c r="X113" s="8" t="n">
        <v>0</v>
      </c>
      <c r="Y113" s="8" t="inlineStr">
        <is>
          <t>Aerosil R812 (hydrophobic) 10; DABPAF (diaminobisphenol AF) 1.75</t>
        </is>
      </c>
      <c r="Z113" s="8" t="n"/>
      <c r="AA113" s="8" t="n">
        <v>12.8</v>
      </c>
      <c r="AB113" s="8" t="n">
        <v>214</v>
      </c>
      <c r="AC113" s="8" t="n">
        <v>3.8</v>
      </c>
      <c r="AD113" s="8" t="n">
        <v>44</v>
      </c>
      <c r="AE113" s="8" t="inlineStr">
        <is>
          <t>204C x 70h, K214 O-ring, ASTM D1414</t>
        </is>
      </c>
      <c r="AF113" s="8" t="n"/>
      <c r="AG113" s="8" t="n"/>
      <c r="AH113" s="8" t="inlineStr">
        <is>
          <t>MPa</t>
        </is>
      </c>
      <c r="AI113" s="8" t="inlineStr">
        <is>
          <t>Table II. Molded 199C (T90+5 min), post cure N2 305C x 26 h. CS 300C/70h = 65. Hardness not reported.</t>
        </is>
      </c>
    </row>
    <row r="114">
      <c r="A114" s="8" t="inlineStr">
        <is>
          <t>US6992143B2</t>
        </is>
      </c>
      <c r="B114" s="8" t="inlineStr">
        <is>
          <t>patent</t>
        </is>
      </c>
      <c r="C114" s="8" t="inlineStr">
        <is>
          <t>DuPont Dow Elastomers LLC</t>
        </is>
      </c>
      <c r="D114" s="8" t="inlineStr">
        <is>
          <t>Curable perfluoroelastomer composition</t>
        </is>
      </c>
      <c r="E114" s="8" t="inlineStr">
        <is>
          <t>https://patents.google.com/patent/US6992143B2/en</t>
        </is>
      </c>
      <c r="F114" s="8" t="inlineStr">
        <is>
          <t>Comparative Example A</t>
        </is>
      </c>
      <c r="G114" s="8" t="inlineStr">
        <is>
          <t>FFKM</t>
        </is>
      </c>
      <c r="H114" s="8" t="inlineStr">
        <is>
          <t>FFKM A: TFE/PMVE/8-CNVE 68.2/31.0/0.80 mol%</t>
        </is>
      </c>
      <c r="I114" s="8" t="inlineStr">
        <is>
          <t>nitrile_bisaminophenol</t>
        </is>
      </c>
      <c r="J114" s="8" t="n">
        <v>100</v>
      </c>
      <c r="K114" s="8" t="n">
        <v>0</v>
      </c>
      <c r="L114" s="8" t="n">
        <v>10</v>
      </c>
      <c r="M114" s="8" t="n">
        <v>0</v>
      </c>
      <c r="N114" s="8" t="n">
        <v>0</v>
      </c>
      <c r="O114" s="8" t="n">
        <v>0</v>
      </c>
      <c r="P114" s="8" t="n">
        <v>0</v>
      </c>
      <c r="Q114" s="8" t="n">
        <v>0</v>
      </c>
      <c r="R114" s="8" t="n">
        <v>0</v>
      </c>
      <c r="S114" s="8" t="n">
        <v>0</v>
      </c>
      <c r="T114" s="8" t="n">
        <v>0</v>
      </c>
      <c r="U114" s="8" t="n">
        <v>1.75</v>
      </c>
      <c r="V114" s="8" t="n">
        <v>0</v>
      </c>
      <c r="W114" s="8" t="n">
        <v>0</v>
      </c>
      <c r="X114" s="8" t="n">
        <v>0</v>
      </c>
      <c r="Y114" s="8" t="inlineStr">
        <is>
          <t>Aerosil 200 VS (hydrophilic) 10; DABPAF (diaminobisphenol AF) 1.75</t>
        </is>
      </c>
      <c r="Z114" s="8" t="n"/>
      <c r="AA114" s="8" t="n">
        <v>12.9</v>
      </c>
      <c r="AB114" s="8" t="n">
        <v>161</v>
      </c>
      <c r="AC114" s="8" t="n">
        <v>7.6</v>
      </c>
      <c r="AD114" s="8" t="n">
        <v>55</v>
      </c>
      <c r="AE114" s="8" t="inlineStr">
        <is>
          <t>204C x 70h, K214 O-ring, ASTM D1414</t>
        </is>
      </c>
      <c r="AF114" s="8" t="n"/>
      <c r="AG114" s="8" t="n"/>
      <c r="AH114" s="8" t="inlineStr">
        <is>
          <t>MPa</t>
        </is>
      </c>
      <c r="AI114" s="8" t="inlineStr">
        <is>
          <t>Table II. Molded 199C (T90+5 min), post cure N2 305C x 26 h. CS 300C/70h = 81. Hardness not reported.</t>
        </is>
      </c>
    </row>
    <row r="115">
      <c r="A115" s="8" t="inlineStr">
        <is>
          <t>US6992143B2</t>
        </is>
      </c>
      <c r="B115" s="8" t="inlineStr">
        <is>
          <t>patent</t>
        </is>
      </c>
      <c r="C115" s="8" t="inlineStr">
        <is>
          <t>DuPont Dow Elastomers LLC</t>
        </is>
      </c>
      <c r="D115" s="8" t="inlineStr">
        <is>
          <t>Curable perfluoroelastomer composition</t>
        </is>
      </c>
      <c r="E115" s="8" t="inlineStr">
        <is>
          <t>https://patents.google.com/patent/US6992143B2/en</t>
        </is>
      </c>
      <c r="F115" s="8" t="inlineStr">
        <is>
          <t>Example 4</t>
        </is>
      </c>
      <c r="G115" s="8" t="inlineStr">
        <is>
          <t>FFKM</t>
        </is>
      </c>
      <c r="H115" s="8" t="inlineStr">
        <is>
          <t>FFKM A: TFE/PMVE/8-CNVE 68.2/31.0/0.80 mol%</t>
        </is>
      </c>
      <c r="I115" s="8" t="inlineStr">
        <is>
          <t>nitrile_triazine</t>
        </is>
      </c>
      <c r="J115" s="8" t="n">
        <v>100</v>
      </c>
      <c r="K115" s="8" t="n">
        <v>0</v>
      </c>
      <c r="L115" s="8" t="n">
        <v>10</v>
      </c>
      <c r="M115" s="8" t="n">
        <v>0</v>
      </c>
      <c r="N115" s="8" t="n">
        <v>0</v>
      </c>
      <c r="O115" s="8" t="n">
        <v>0</v>
      </c>
      <c r="P115" s="8" t="n">
        <v>0</v>
      </c>
      <c r="Q115" s="8" t="n">
        <v>0</v>
      </c>
      <c r="R115" s="8" t="n">
        <v>0</v>
      </c>
      <c r="S115" s="8" t="n">
        <v>0</v>
      </c>
      <c r="T115" s="8" t="n">
        <v>0</v>
      </c>
      <c r="U115" s="8" t="n">
        <v>0.3</v>
      </c>
      <c r="V115" s="8" t="n">
        <v>0</v>
      </c>
      <c r="W115" s="8" t="n">
        <v>0</v>
      </c>
      <c r="X115" s="8" t="n">
        <v>0</v>
      </c>
      <c r="Y115" s="8" t="inlineStr">
        <is>
          <t>Aerosil R972 (hydrophobic) 10; urea (ammonia generator) 0.3</t>
        </is>
      </c>
      <c r="Z115" s="8" t="n"/>
      <c r="AA115" s="8" t="n">
        <v>7</v>
      </c>
      <c r="AB115" s="8" t="n">
        <v>204</v>
      </c>
      <c r="AC115" s="8" t="n">
        <v>2.4</v>
      </c>
      <c r="AD115" s="8" t="n">
        <v>15</v>
      </c>
      <c r="AE115" s="8" t="inlineStr">
        <is>
          <t>204C x 70h, K214 O-ring, ASTM D1414</t>
        </is>
      </c>
      <c r="AF115" s="8" t="n"/>
      <c r="AG115" s="8" t="n"/>
      <c r="AH115" s="8" t="inlineStr">
        <is>
          <t>MPa</t>
        </is>
      </c>
      <c r="AI115" s="8" t="inlineStr">
        <is>
          <t>Table II. Molded 199C (T90+5 min), post cure N2 305C x 26 h. CS 300C/70h = Cracked. Hardness not reported.</t>
        </is>
      </c>
    </row>
    <row r="116">
      <c r="A116" s="8" t="inlineStr">
        <is>
          <t>US6992143B2</t>
        </is>
      </c>
      <c r="B116" s="8" t="inlineStr">
        <is>
          <t>patent</t>
        </is>
      </c>
      <c r="C116" s="8" t="inlineStr">
        <is>
          <t>DuPont Dow Elastomers LLC</t>
        </is>
      </c>
      <c r="D116" s="8" t="inlineStr">
        <is>
          <t>Curable perfluoroelastomer composition</t>
        </is>
      </c>
      <c r="E116" s="8" t="inlineStr">
        <is>
          <t>https://patents.google.com/patent/US6992143B2/en</t>
        </is>
      </c>
      <c r="F116" s="8" t="inlineStr">
        <is>
          <t>Comparative Example B</t>
        </is>
      </c>
      <c r="G116" s="8" t="inlineStr">
        <is>
          <t>FFKM</t>
        </is>
      </c>
      <c r="H116" s="8" t="inlineStr">
        <is>
          <t>FFKM A: TFE/PMVE/8-CNVE 68.2/31.0/0.80 mol%</t>
        </is>
      </c>
      <c r="I116" s="8" t="inlineStr">
        <is>
          <t>nitrile_triazine</t>
        </is>
      </c>
      <c r="J116" s="8" t="n">
        <v>100</v>
      </c>
      <c r="K116" s="8" t="n">
        <v>0</v>
      </c>
      <c r="L116" s="8" t="n">
        <v>10</v>
      </c>
      <c r="M116" s="8" t="n">
        <v>0</v>
      </c>
      <c r="N116" s="8" t="n">
        <v>0</v>
      </c>
      <c r="O116" s="8" t="n">
        <v>0</v>
      </c>
      <c r="P116" s="8" t="n">
        <v>0</v>
      </c>
      <c r="Q116" s="8" t="n">
        <v>0</v>
      </c>
      <c r="R116" s="8" t="n">
        <v>0</v>
      </c>
      <c r="S116" s="8" t="n">
        <v>0</v>
      </c>
      <c r="T116" s="8" t="n">
        <v>0</v>
      </c>
      <c r="U116" s="8" t="n">
        <v>0.3</v>
      </c>
      <c r="V116" s="8" t="n">
        <v>0</v>
      </c>
      <c r="W116" s="8" t="n">
        <v>0</v>
      </c>
      <c r="X116" s="8" t="n">
        <v>0</v>
      </c>
      <c r="Y116" s="8" t="inlineStr">
        <is>
          <t>Aerosil 200 VS (hydrophilic) 10; urea (ammonia generator) 0.3</t>
        </is>
      </c>
      <c r="Z116" s="8" t="n"/>
      <c r="AA116" s="8" t="n">
        <v>7.5</v>
      </c>
      <c r="AB116" s="8" t="n">
        <v>199</v>
      </c>
      <c r="AC116" s="8" t="n">
        <v>4.2</v>
      </c>
      <c r="AD116" s="8" t="n">
        <v>38</v>
      </c>
      <c r="AE116" s="8" t="inlineStr">
        <is>
          <t>204C x 70h, K214 O-ring, ASTM D1414</t>
        </is>
      </c>
      <c r="AF116" s="8" t="n"/>
      <c r="AG116" s="8" t="n"/>
      <c r="AH116" s="8" t="inlineStr">
        <is>
          <t>MPa</t>
        </is>
      </c>
      <c r="AI116" s="8" t="inlineStr">
        <is>
          <t>Table II. Molded 199C (T90+5 min), post cure N2 305C x 26 h. CS 300C/70h = 82. Hardness not reported.</t>
        </is>
      </c>
    </row>
    <row r="117">
      <c r="A117" s="8" t="inlineStr">
        <is>
          <t>US5696189A</t>
        </is>
      </c>
      <c r="B117" s="8" t="inlineStr">
        <is>
          <t>patent</t>
        </is>
      </c>
      <c r="C117" s="8" t="inlineStr">
        <is>
          <t>EI Du Pont de Nemours and Co</t>
        </is>
      </c>
      <c r="D117" s="8" t="inlineStr">
        <is>
          <t>Perfluoroelastomer compositions</t>
        </is>
      </c>
      <c r="E117" s="8" t="inlineStr">
        <is>
          <t>https://patents.google.com/patent/US5696189A/en</t>
        </is>
      </c>
      <c r="F117" s="8" t="inlineStr">
        <is>
          <t>Comparative Example A</t>
        </is>
      </c>
      <c r="G117" s="8" t="inlineStr">
        <is>
          <t>FFKM</t>
        </is>
      </c>
      <c r="H117" s="8" t="inlineStr">
        <is>
          <t>TFE/PMVE/8-CNVE approx. 56/42/2 wt (per US4281092)</t>
        </is>
      </c>
      <c r="I117" s="8" t="inlineStr">
        <is>
          <t>nitrile_organotin</t>
        </is>
      </c>
      <c r="J117" s="8" t="n">
        <v>100</v>
      </c>
      <c r="K117" s="8" t="n">
        <v>12</v>
      </c>
      <c r="L117" s="8" t="n">
        <v>0</v>
      </c>
      <c r="M117" s="8" t="n">
        <v>0</v>
      </c>
      <c r="N117" s="8" t="n">
        <v>0</v>
      </c>
      <c r="O117" s="8" t="n">
        <v>0</v>
      </c>
      <c r="P117" s="8" t="n">
        <v>0</v>
      </c>
      <c r="Q117" s="8" t="n">
        <v>0</v>
      </c>
      <c r="R117" s="8" t="n">
        <v>0</v>
      </c>
      <c r="S117" s="8" t="n">
        <v>0</v>
      </c>
      <c r="T117" s="8" t="n">
        <v>0</v>
      </c>
      <c r="U117" s="8" t="n">
        <v>3</v>
      </c>
      <c r="V117" s="8" t="n">
        <v>0.3</v>
      </c>
      <c r="W117" s="8" t="n">
        <v>0</v>
      </c>
      <c r="X117" s="8" t="n">
        <v>0</v>
      </c>
      <c r="Y117" s="8" t="inlineStr">
        <is>
          <t>tetraphenyltin 3; 18-crown-6 0.3 (in other_curative); carbon black 12</t>
        </is>
      </c>
      <c r="Z117" s="8" t="n">
        <v>77</v>
      </c>
      <c r="AA117" s="8" t="n">
        <v>14.34</v>
      </c>
      <c r="AB117" s="8" t="n">
        <v>145</v>
      </c>
      <c r="AC117" s="8" t="n">
        <v>6.62</v>
      </c>
      <c r="AD117" s="8" t="n">
        <v>24.5</v>
      </c>
      <c r="AE117" s="8" t="inlineStr">
        <is>
          <t>200C x 70h, pellets, ASTM D395</t>
        </is>
      </c>
      <c r="AF117" s="8" t="n">
        <v>0.21</v>
      </c>
      <c r="AG117" s="8" t="inlineStr">
        <is>
          <t>100% O2 plasma, Branson IPC barrel etcher, 500 W, 0.5 torr, 200 sccm, 120 min, O-ring at 25% compression</t>
        </is>
      </c>
      <c r="AH117" s="8" t="inlineStr">
        <is>
          <t>psi -&gt; MPa (x0.00689476); Shore A</t>
        </is>
      </c>
      <c r="AI117" s="8" t="inlineStr">
        <is>
          <t>Table II; normal-state values from ASTM slabs/pellets. O-ring (AS568A-214) values: M100 854 psi, Tb 1571 psi, Eb 145%, Shore A 80, CS 70h/200C 37.1%. Eb row labelled 'psi' in source (clearly %). Press cure 210C x 20 min, post cure N2 ramp to 305C, 26 h at 305C. 50/50 O2/C2F6 plasma weight loss = 0.453%. Long-term CS 672h at 200C/250C also reported. Comp. A formulation (TPT 3, carbon black 12, crown ether 0.3) from text; carbon black type not specified.</t>
        </is>
      </c>
    </row>
    <row r="118">
      <c r="A118" s="8" t="inlineStr">
        <is>
          <t>US5696189A</t>
        </is>
      </c>
      <c r="B118" s="8" t="inlineStr">
        <is>
          <t>patent</t>
        </is>
      </c>
      <c r="C118" s="8" t="inlineStr">
        <is>
          <t>EI Du Pont de Nemours and Co</t>
        </is>
      </c>
      <c r="D118" s="8" t="inlineStr">
        <is>
          <t>Perfluoroelastomer compositions</t>
        </is>
      </c>
      <c r="E118" s="8" t="inlineStr">
        <is>
          <t>https://patents.google.com/patent/US5696189A/en</t>
        </is>
      </c>
      <c r="F118" s="8" t="inlineStr">
        <is>
          <t>Comparative Example B</t>
        </is>
      </c>
      <c r="G118" s="8" t="inlineStr">
        <is>
          <t>FFKM</t>
        </is>
      </c>
      <c r="H118" s="8" t="inlineStr">
        <is>
          <t>TFE/PMVE/8-CNVE approx. 56/42/2 wt (per US4281092)</t>
        </is>
      </c>
      <c r="I118" s="8" t="inlineStr">
        <is>
          <t>nitrile_organotin</t>
        </is>
      </c>
      <c r="J118" s="8" t="n">
        <v>100</v>
      </c>
      <c r="K118" s="8" t="n">
        <v>0</v>
      </c>
      <c r="L118" s="8" t="n">
        <v>0</v>
      </c>
      <c r="M118" s="8" t="n">
        <v>0</v>
      </c>
      <c r="N118" s="8" t="n">
        <v>0</v>
      </c>
      <c r="O118" s="8" t="n">
        <v>3</v>
      </c>
      <c r="P118" s="8" t="n">
        <v>10</v>
      </c>
      <c r="Q118" s="8" t="n">
        <v>0</v>
      </c>
      <c r="R118" s="8" t="n">
        <v>0</v>
      </c>
      <c r="S118" s="8" t="n">
        <v>0</v>
      </c>
      <c r="T118" s="8" t="n">
        <v>0</v>
      </c>
      <c r="U118" s="8" t="n">
        <v>2</v>
      </c>
      <c r="V118" s="8" t="n">
        <v>0.2</v>
      </c>
      <c r="W118" s="8" t="n">
        <v>0</v>
      </c>
      <c r="X118" s="8" t="n">
        <v>0</v>
      </c>
      <c r="Y118" s="8" t="inlineStr">
        <is>
          <t>tetraphenyltin 2; 18-crown-6 0.2 (in other_curative); fluoropolymer filler 10.0 (Teflon micropowder)</t>
        </is>
      </c>
      <c r="Z118" s="8" t="n">
        <v>65</v>
      </c>
      <c r="AA118" s="8" t="n">
        <v>10.34</v>
      </c>
      <c r="AB118" s="8" t="n">
        <v>245</v>
      </c>
      <c r="AC118" s="8" t="n">
        <v>2.28</v>
      </c>
      <c r="AD118" s="8" t="n">
        <v>17.5</v>
      </c>
      <c r="AE118" s="8" t="inlineStr">
        <is>
          <t>200C x 70h, pellets, ASTM D395</t>
        </is>
      </c>
      <c r="AF118" s="8" t="n">
        <v>0.125</v>
      </c>
      <c r="AG118" s="8" t="inlineStr">
        <is>
          <t>100% O2 plasma, Branson IPC barrel etcher, 500 W, 0.5 torr, 200 sccm, 120 min, O-ring at 25% compression</t>
        </is>
      </c>
      <c r="AH118" s="8" t="inlineStr">
        <is>
          <t>psi -&gt; MPa (x0.00689476); Shore A</t>
        </is>
      </c>
      <c r="AI118" s="8" t="inlineStr">
        <is>
          <t>Table II; normal-state values from ASTM slabs/pellets. O-ring (AS568A-214) values: M100 318 psi, Tb 1074 psi, Eb 261%, Shore A 71, CS 70h/200C 44.1%. Eb row labelled 'psi' in source (clearly %). Press cure 210C x 20 min, post cure N2 ramp to 305C, 26 h at 305C. 50/50 O2/C2F6 plasma weight loss = 0.381%. Long-term CS 672h at 200C/250C also reported. Comp. B formulation (TPT 2, Teflon micropowder 10, TiO2 3, crown ether 0.2) from text and table.</t>
        </is>
      </c>
    </row>
    <row r="119">
      <c r="A119" s="8" t="inlineStr">
        <is>
          <t>US5696189A</t>
        </is>
      </c>
      <c r="B119" s="8" t="inlineStr">
        <is>
          <t>patent</t>
        </is>
      </c>
      <c r="C119" s="8" t="inlineStr">
        <is>
          <t>EI Du Pont de Nemours and Co</t>
        </is>
      </c>
      <c r="D119" s="8" t="inlineStr">
        <is>
          <t>Perfluoroelastomer compositions</t>
        </is>
      </c>
      <c r="E119" s="8" t="inlineStr">
        <is>
          <t>https://patents.google.com/patent/US5696189A/en</t>
        </is>
      </c>
      <c r="F119" s="8" t="inlineStr">
        <is>
          <t>Example 1</t>
        </is>
      </c>
      <c r="G119" s="8" t="inlineStr">
        <is>
          <t>FFKM</t>
        </is>
      </c>
      <c r="H119" s="8" t="inlineStr">
        <is>
          <t>TFE/PMVE/8-CNVE (42.5 wt% PMVE, 3.3 wt% 8-CNVE), ML-10(150C)=30</t>
        </is>
      </c>
      <c r="I119" s="8" t="inlineStr">
        <is>
          <t>nitrile_organotin</t>
        </is>
      </c>
      <c r="J119" s="8" t="n">
        <v>100</v>
      </c>
      <c r="K119" s="8" t="n">
        <v>0</v>
      </c>
      <c r="L119" s="8" t="n">
        <v>10</v>
      </c>
      <c r="M119" s="8" t="n">
        <v>0</v>
      </c>
      <c r="N119" s="8" t="n">
        <v>0</v>
      </c>
      <c r="O119" s="8" t="n">
        <v>10</v>
      </c>
      <c r="P119" s="8" t="n">
        <v>10</v>
      </c>
      <c r="Q119" s="8" t="n">
        <v>0</v>
      </c>
      <c r="R119" s="8" t="n">
        <v>0</v>
      </c>
      <c r="S119" s="8" t="n">
        <v>0</v>
      </c>
      <c r="T119" s="8" t="n">
        <v>0</v>
      </c>
      <c r="U119" s="8" t="n">
        <v>1</v>
      </c>
      <c r="V119" s="8" t="n">
        <v>0</v>
      </c>
      <c r="W119" s="8" t="n">
        <v>1</v>
      </c>
      <c r="X119" s="8" t="n">
        <v>0</v>
      </c>
      <c r="Y119" s="8" t="inlineStr">
        <is>
          <t>tetraphenyltin 1; fluoropolymer filler 10.0; ZnO acid acceptor</t>
        </is>
      </c>
      <c r="Z119" s="8" t="n">
        <v>76</v>
      </c>
      <c r="AA119" s="8" t="n">
        <v>10.2</v>
      </c>
      <c r="AB119" s="8" t="n">
        <v>212</v>
      </c>
      <c r="AC119" s="8" t="n">
        <v>3.57</v>
      </c>
      <c r="AD119" s="8" t="n">
        <v>26</v>
      </c>
      <c r="AE119" s="8" t="inlineStr">
        <is>
          <t>200C x 70h, pellets, ASTM D395</t>
        </is>
      </c>
      <c r="AF119" s="8" t="n">
        <v>0.116</v>
      </c>
      <c r="AG119" s="8" t="inlineStr">
        <is>
          <t>100% O2 plasma, Branson IPC barrel etcher, 500 W, 0.5 torr, 200 sccm, 120 min, O-ring at 25% compression</t>
        </is>
      </c>
      <c r="AH119" s="8" t="inlineStr">
        <is>
          <t>psi -&gt; MPa (x0.00689476); Shore A</t>
        </is>
      </c>
      <c r="AI119" s="8" t="inlineStr">
        <is>
          <t>Table II; normal-state values from ASTM slabs/pellets. O-ring (AS568A-214) values: M100 613 psi, Tb 1430 psi, Eb 205%, Shore A 80, CS 70h/200C 27.2%. Eb row labelled 'psi' in source (clearly %). Press cure 210C x 20 min, post cure N2 ramp to 305C, 26 h at 305C. 50/50 O2/C2F6 plasma weight loss = 0.172%. Long-term CS 672h at 200C/250C also reported.</t>
        </is>
      </c>
    </row>
    <row r="120">
      <c r="A120" s="8" t="inlineStr">
        <is>
          <t>US5696189A</t>
        </is>
      </c>
      <c r="B120" s="8" t="inlineStr">
        <is>
          <t>patent</t>
        </is>
      </c>
      <c r="C120" s="8" t="inlineStr">
        <is>
          <t>EI Du Pont de Nemours and Co</t>
        </is>
      </c>
      <c r="D120" s="8" t="inlineStr">
        <is>
          <t>Perfluoroelastomer compositions</t>
        </is>
      </c>
      <c r="E120" s="8" t="inlineStr">
        <is>
          <t>https://patents.google.com/patent/US5696189A/en</t>
        </is>
      </c>
      <c r="F120" s="8" t="inlineStr">
        <is>
          <t>Example 2</t>
        </is>
      </c>
      <c r="G120" s="8" t="inlineStr">
        <is>
          <t>FFKM</t>
        </is>
      </c>
      <c r="H120" s="8" t="inlineStr">
        <is>
          <t>TFE/PMVE/8-CNVE (42.5 wt% PMVE, 3.3 wt% 8-CNVE), ML-10(150C)=30</t>
        </is>
      </c>
      <c r="I120" s="8" t="inlineStr">
        <is>
          <t>nitrile_organotin</t>
        </is>
      </c>
      <c r="J120" s="8" t="n">
        <v>100</v>
      </c>
      <c r="K120" s="8" t="n">
        <v>0</v>
      </c>
      <c r="L120" s="8" t="n">
        <v>0</v>
      </c>
      <c r="M120" s="8" t="n">
        <v>0</v>
      </c>
      <c r="N120" s="8" t="n">
        <v>12.5</v>
      </c>
      <c r="O120" s="8" t="n">
        <v>12.5</v>
      </c>
      <c r="P120" s="8" t="n">
        <v>12.5</v>
      </c>
      <c r="Q120" s="8" t="n">
        <v>0</v>
      </c>
      <c r="R120" s="8" t="n">
        <v>0</v>
      </c>
      <c r="S120" s="8" t="n">
        <v>0</v>
      </c>
      <c r="T120" s="8" t="n">
        <v>0</v>
      </c>
      <c r="U120" s="8" t="n">
        <v>1</v>
      </c>
      <c r="V120" s="8" t="n">
        <v>0</v>
      </c>
      <c r="W120" s="8" t="n">
        <v>1</v>
      </c>
      <c r="X120" s="8" t="n">
        <v>0</v>
      </c>
      <c r="Y120" s="8" t="inlineStr">
        <is>
          <t>tetraphenyltin 1; fluoropolymer filler 12.5; ZnO acid acceptor</t>
        </is>
      </c>
      <c r="Z120" s="8" t="n">
        <v>76</v>
      </c>
      <c r="AA120" s="8" t="n">
        <v>9.51</v>
      </c>
      <c r="AB120" s="8" t="n">
        <v>211</v>
      </c>
      <c r="AC120" s="8" t="n">
        <v>3.76</v>
      </c>
      <c r="AD120" s="8" t="n">
        <v>20</v>
      </c>
      <c r="AE120" s="8" t="inlineStr">
        <is>
          <t>200C x 70h, pellets, ASTM D395</t>
        </is>
      </c>
      <c r="AF120" s="8" t="n">
        <v>0.09</v>
      </c>
      <c r="AG120" s="8" t="inlineStr">
        <is>
          <t>100% O2 plasma, Branson IPC barrel etcher, 500 W, 0.5 torr, 200 sccm, 120 min, O-ring at 25% compression</t>
        </is>
      </c>
      <c r="AH120" s="8" t="inlineStr">
        <is>
          <t>psi -&gt; MPa (x0.00689476); Shore A</t>
        </is>
      </c>
      <c r="AI120" s="8" t="inlineStr">
        <is>
          <t>Table II; normal-state values from ASTM slabs/pellets. O-ring (AS568A-214) values: M100 609 psi, Tb 1382 psi, Eb 213%, Shore A 81, CS 70h/200C 26.5%. Eb row labelled 'psi' in source (clearly %). Press cure 210C x 20 min, post cure N2 ramp to 305C, 26 h at 305C. 50/50 O2/C2F6 plasma weight loss = 0.148%. Long-term CS 672h at 200C/250C also reported.</t>
        </is>
      </c>
    </row>
    <row r="121">
      <c r="A121" s="8" t="inlineStr">
        <is>
          <t>US5696189A</t>
        </is>
      </c>
      <c r="B121" s="8" t="inlineStr">
        <is>
          <t>patent</t>
        </is>
      </c>
      <c r="C121" s="8" t="inlineStr">
        <is>
          <t>EI Du Pont de Nemours and Co</t>
        </is>
      </c>
      <c r="D121" s="8" t="inlineStr">
        <is>
          <t>Perfluoroelastomer compositions</t>
        </is>
      </c>
      <c r="E121" s="8" t="inlineStr">
        <is>
          <t>https://patents.google.com/patent/US5696189A/en</t>
        </is>
      </c>
      <c r="F121" s="8" t="inlineStr">
        <is>
          <t>Example 3</t>
        </is>
      </c>
      <c r="G121" s="8" t="inlineStr">
        <is>
          <t>FFKM</t>
        </is>
      </c>
      <c r="H121" s="8" t="inlineStr">
        <is>
          <t>TFE/PMVE/8-CNVE (42.5 wt% PMVE, 3.3 wt% 8-CNVE), ML-10(150C)=30</t>
        </is>
      </c>
      <c r="I121" s="8" t="inlineStr">
        <is>
          <t>nitrile_organotin</t>
        </is>
      </c>
      <c r="J121" s="8" t="n">
        <v>100</v>
      </c>
      <c r="K121" s="8" t="n">
        <v>0</v>
      </c>
      <c r="L121" s="8" t="n">
        <v>0</v>
      </c>
      <c r="M121" s="8" t="n">
        <v>0</v>
      </c>
      <c r="N121" s="8" t="n">
        <v>17.5</v>
      </c>
      <c r="O121" s="8" t="n">
        <v>17.5</v>
      </c>
      <c r="P121" s="8" t="n">
        <v>5</v>
      </c>
      <c r="Q121" s="8" t="n">
        <v>0</v>
      </c>
      <c r="R121" s="8" t="n">
        <v>0</v>
      </c>
      <c r="S121" s="8" t="n">
        <v>0</v>
      </c>
      <c r="T121" s="8" t="n">
        <v>0</v>
      </c>
      <c r="U121" s="8" t="n">
        <v>1</v>
      </c>
      <c r="V121" s="8" t="n">
        <v>0</v>
      </c>
      <c r="W121" s="8" t="n">
        <v>1</v>
      </c>
      <c r="X121" s="8" t="n">
        <v>0</v>
      </c>
      <c r="Y121" s="8" t="inlineStr">
        <is>
          <t>tetraphenyltin 1; fluoropolymer filler 5.0; ZnO acid acceptor</t>
        </is>
      </c>
      <c r="Z121" s="8" t="n">
        <v>75</v>
      </c>
      <c r="AA121" s="8" t="n">
        <v>11.72</v>
      </c>
      <c r="AB121" s="8" t="n">
        <v>215</v>
      </c>
      <c r="AC121" s="8" t="n">
        <v>4.69</v>
      </c>
      <c r="AD121" s="8" t="n">
        <v>31.9</v>
      </c>
      <c r="AE121" s="8" t="inlineStr">
        <is>
          <t>200C x 70h, pellets, ASTM D395</t>
        </is>
      </c>
      <c r="AF121" s="8" t="n">
        <v>0.096</v>
      </c>
      <c r="AG121" s="8" t="inlineStr">
        <is>
          <t>100% O2 plasma, Branson IPC barrel etcher, 500 W, 0.5 torr, 200 sccm, 120 min, O-ring at 25% compression</t>
        </is>
      </c>
      <c r="AH121" s="8" t="inlineStr">
        <is>
          <t>psi -&gt; MPa (x0.00689476); Shore A</t>
        </is>
      </c>
      <c r="AI121" s="8" t="inlineStr">
        <is>
          <t>Table II; normal-state values from ASTM slabs/pellets. O-ring (AS568A-214) values: M100 584 psi, Tb 1484 psi, Eb 258%, Shore A 80, CS 70h/200C 31.9%. Eb row labelled 'psi' in source (clearly %). Press cure 210C x 20 min, post cure N2 ramp to 305C, 26 h at 305C. 50/50 O2/C2F6 plasma weight loss = 0.228%. Long-term CS 672h at 200C/250C also reported.</t>
        </is>
      </c>
    </row>
    <row r="122">
      <c r="A122" s="8" t="inlineStr">
        <is>
          <t>US5696189A</t>
        </is>
      </c>
      <c r="B122" s="8" t="inlineStr">
        <is>
          <t>patent</t>
        </is>
      </c>
      <c r="C122" s="8" t="inlineStr">
        <is>
          <t>EI Du Pont de Nemours and Co</t>
        </is>
      </c>
      <c r="D122" s="8" t="inlineStr">
        <is>
          <t>Perfluoroelastomer compositions</t>
        </is>
      </c>
      <c r="E122" s="8" t="inlineStr">
        <is>
          <t>https://patents.google.com/patent/US5696189A/en</t>
        </is>
      </c>
      <c r="F122" s="8" t="inlineStr">
        <is>
          <t>Example 4</t>
        </is>
      </c>
      <c r="G122" s="8" t="inlineStr">
        <is>
          <t>FFKM</t>
        </is>
      </c>
      <c r="H122" s="8" t="inlineStr">
        <is>
          <t>TFE/PMVE/8-CNVE (42.5 wt% PMVE, 3.3 wt% 8-CNVE), ML-10(150C)=30</t>
        </is>
      </c>
      <c r="I122" s="8" t="inlineStr">
        <is>
          <t>nitrile_organotin</t>
        </is>
      </c>
      <c r="J122" s="8" t="n">
        <v>100</v>
      </c>
      <c r="K122" s="8" t="n">
        <v>0</v>
      </c>
      <c r="L122" s="8" t="n">
        <v>0</v>
      </c>
      <c r="M122" s="8" t="n">
        <v>0</v>
      </c>
      <c r="N122" s="8" t="n">
        <v>12.5</v>
      </c>
      <c r="O122" s="8" t="n">
        <v>12.5</v>
      </c>
      <c r="P122" s="8" t="n">
        <v>12.5</v>
      </c>
      <c r="Q122" s="8" t="n">
        <v>0</v>
      </c>
      <c r="R122" s="8" t="n">
        <v>0</v>
      </c>
      <c r="S122" s="8" t="n">
        <v>1</v>
      </c>
      <c r="T122" s="8" t="n">
        <v>1</v>
      </c>
      <c r="U122" s="8" t="n">
        <v>2</v>
      </c>
      <c r="V122" s="8" t="n">
        <v>0</v>
      </c>
      <c r="W122" s="8" t="n">
        <v>1</v>
      </c>
      <c r="X122" s="8" t="n">
        <v>0</v>
      </c>
      <c r="Y122" s="8" t="inlineStr">
        <is>
          <t>tetraphenyltin 2; Luperco 101XL peroxide 1; TAIC (DIAK #7) 1 (dual cure); fluoropolymer filler 12.5; ZnO acid acceptor</t>
        </is>
      </c>
      <c r="Z122" s="8" t="n">
        <v>79</v>
      </c>
      <c r="AA122" s="8" t="n">
        <v>15.07</v>
      </c>
      <c r="AB122" s="8" t="n">
        <v>205</v>
      </c>
      <c r="AC122" s="8" t="n">
        <v>5.41</v>
      </c>
      <c r="AD122" s="8" t="n">
        <v>34</v>
      </c>
      <c r="AE122" s="8" t="inlineStr">
        <is>
          <t>200C x 70h, pellets, ASTM D395</t>
        </is>
      </c>
      <c r="AF122" s="8" t="n">
        <v>0.103</v>
      </c>
      <c r="AG122" s="8" t="inlineStr">
        <is>
          <t>100% O2 plasma, Branson IPC barrel etcher, 500 W, 0.5 torr, 200 sccm, 120 min, O-ring at 25% compression</t>
        </is>
      </c>
      <c r="AH122" s="8" t="inlineStr">
        <is>
          <t>psi -&gt; MPa (x0.00689476); Shore A</t>
        </is>
      </c>
      <c r="AI122" s="8" t="inlineStr">
        <is>
          <t>Table II; normal-state values from ASTM slabs/pellets. O-ring (AS568A-214) values: M100 914 psi, Tb 1769 psi, Eb 178%, Shore A 82, CS 70h/200C 38.5%. Eb row labelled 'psi' in source (clearly %). Press cure 210C x 20 min, post cure N2 ramp to 305C, 26 h at 305C. 50/50 O2/C2F6 plasma weight loss = 0.24%. Long-term CS 672h at 200C/250C also reported.</t>
        </is>
      </c>
    </row>
    <row r="123">
      <c r="A123" s="8" t="inlineStr">
        <is>
          <t>US5696189A</t>
        </is>
      </c>
      <c r="B123" s="8" t="inlineStr">
        <is>
          <t>patent</t>
        </is>
      </c>
      <c r="C123" s="8" t="inlineStr">
        <is>
          <t>EI Du Pont de Nemours and Co</t>
        </is>
      </c>
      <c r="D123" s="8" t="inlineStr">
        <is>
          <t>Perfluoroelastomer compositions</t>
        </is>
      </c>
      <c r="E123" s="8" t="inlineStr">
        <is>
          <t>https://patents.google.com/patent/US5696189A/en</t>
        </is>
      </c>
      <c r="F123" s="8" t="inlineStr">
        <is>
          <t>Example 5</t>
        </is>
      </c>
      <c r="G123" s="8" t="inlineStr">
        <is>
          <t>FFKM</t>
        </is>
      </c>
      <c r="H123" s="8" t="inlineStr">
        <is>
          <t>TFE/PMVE/8-CNVE (42.5 wt% PMVE, 3.3 wt% 8-CNVE), ML-10(150C)=30</t>
        </is>
      </c>
      <c r="I123" s="8" t="inlineStr">
        <is>
          <t>nitrile_organotin</t>
        </is>
      </c>
      <c r="J123" s="8" t="n">
        <v>100</v>
      </c>
      <c r="K123" s="8" t="n">
        <v>0</v>
      </c>
      <c r="L123" s="8" t="n">
        <v>17.5</v>
      </c>
      <c r="M123" s="8" t="n">
        <v>0</v>
      </c>
      <c r="N123" s="8" t="n">
        <v>0</v>
      </c>
      <c r="O123" s="8" t="n">
        <v>17.5</v>
      </c>
      <c r="P123" s="8" t="n">
        <v>5</v>
      </c>
      <c r="Q123" s="8" t="n">
        <v>0</v>
      </c>
      <c r="R123" s="8" t="n">
        <v>0</v>
      </c>
      <c r="S123" s="8" t="n">
        <v>1</v>
      </c>
      <c r="T123" s="8" t="n">
        <v>1</v>
      </c>
      <c r="U123" s="8" t="n">
        <v>2</v>
      </c>
      <c r="V123" s="8" t="n">
        <v>0</v>
      </c>
      <c r="W123" s="8" t="n">
        <v>1</v>
      </c>
      <c r="X123" s="8" t="n">
        <v>0</v>
      </c>
      <c r="Y123" s="8" t="inlineStr">
        <is>
          <t>tetraphenyltin 2; Luperco 101XL peroxide 1; TAIC (DIAK #7) 1 (dual cure); fluoropolymer filler 5.0; ZnO acid acceptor</t>
        </is>
      </c>
      <c r="Z123" s="8" t="n">
        <v>82</v>
      </c>
      <c r="AA123" s="8" t="n">
        <v>15.35</v>
      </c>
      <c r="AB123" s="8" t="n">
        <v>186</v>
      </c>
      <c r="AC123" s="8" t="n">
        <v>7.89</v>
      </c>
      <c r="AD123" s="8" t="n">
        <v>30.5</v>
      </c>
      <c r="AE123" s="8" t="inlineStr">
        <is>
          <t>200C x 70h, pellets, ASTM D395</t>
        </is>
      </c>
      <c r="AF123" s="8" t="n">
        <v>0.103</v>
      </c>
      <c r="AG123" s="8" t="inlineStr">
        <is>
          <t>100% O2 plasma, Branson IPC barrel etcher, 500 W, 0.5 torr, 200 sccm, 120 min, O-ring at 25% compression</t>
        </is>
      </c>
      <c r="AH123" s="8" t="inlineStr">
        <is>
          <t>psi -&gt; MPa (x0.00689476); Shore A</t>
        </is>
      </c>
      <c r="AI123" s="8" t="inlineStr">
        <is>
          <t>Table II; normal-state values from ASTM slabs/pellets. O-ring (AS568A-214) values: M100 1081 psi, Tb 1853 psi, Eb 196%, Shore A 83, CS 70h/200C 39.5%. Eb row labelled 'psi' in source (clearly %). Press cure 210C x 20 min, post cure N2 ramp to 305C, 26 h at 305C. 50/50 O2/C2F6 plasma weight loss = 0.155%. Long-term CS 672h at 200C/250C also reported.</t>
        </is>
      </c>
    </row>
    <row r="124">
      <c r="A124" s="8" t="inlineStr">
        <is>
          <t>US5696189A</t>
        </is>
      </c>
      <c r="B124" s="8" t="inlineStr">
        <is>
          <t>patent</t>
        </is>
      </c>
      <c r="C124" s="8" t="inlineStr">
        <is>
          <t>EI Du Pont de Nemours and Co</t>
        </is>
      </c>
      <c r="D124" s="8" t="inlineStr">
        <is>
          <t>Perfluoroelastomer compositions</t>
        </is>
      </c>
      <c r="E124" s="8" t="inlineStr">
        <is>
          <t>https://patents.google.com/patent/US5696189A/en</t>
        </is>
      </c>
      <c r="F124" s="8" t="inlineStr">
        <is>
          <t>Example 6</t>
        </is>
      </c>
      <c r="G124" s="8" t="inlineStr">
        <is>
          <t>FFKM</t>
        </is>
      </c>
      <c r="H124" s="8" t="inlineStr">
        <is>
          <t>TFE/PMVE/8-CNVE (42.5 wt% PMVE, 3.3 wt% 8-CNVE), ML-10(150C)=30</t>
        </is>
      </c>
      <c r="I124" s="8" t="inlineStr">
        <is>
          <t>nitrile_organotin</t>
        </is>
      </c>
      <c r="J124" s="8" t="n">
        <v>100</v>
      </c>
      <c r="K124" s="8" t="n">
        <v>0</v>
      </c>
      <c r="L124" s="8" t="n">
        <v>17.5</v>
      </c>
      <c r="M124" s="8" t="n">
        <v>0</v>
      </c>
      <c r="N124" s="8" t="n">
        <v>0</v>
      </c>
      <c r="O124" s="8" t="n">
        <v>17.5</v>
      </c>
      <c r="P124" s="8" t="n">
        <v>5</v>
      </c>
      <c r="Q124" s="8" t="n">
        <v>0</v>
      </c>
      <c r="R124" s="8" t="n">
        <v>0</v>
      </c>
      <c r="S124" s="8" t="n">
        <v>1</v>
      </c>
      <c r="T124" s="8" t="n">
        <v>1</v>
      </c>
      <c r="U124" s="8" t="n">
        <v>2</v>
      </c>
      <c r="V124" s="8" t="n">
        <v>0</v>
      </c>
      <c r="W124" s="8" t="n">
        <v>0</v>
      </c>
      <c r="X124" s="8" t="n">
        <v>0</v>
      </c>
      <c r="Y124" s="8" t="inlineStr">
        <is>
          <t>tetraphenyltin 2; Luperco 101XL peroxide 1; TAIC (DIAK #7) 1 (dual cure); fluoropolymer filler 5.0</t>
        </is>
      </c>
      <c r="Z124" s="8" t="n">
        <v>80</v>
      </c>
      <c r="AA124" s="8" t="n">
        <v>14.3</v>
      </c>
      <c r="AB124" s="8" t="n">
        <v>227</v>
      </c>
      <c r="AC124" s="8" t="n">
        <v>6.42</v>
      </c>
      <c r="AD124" s="8" t="n">
        <v>31.8</v>
      </c>
      <c r="AE124" s="8" t="inlineStr">
        <is>
          <t>200C x 70h, pellets, ASTM D395</t>
        </is>
      </c>
      <c r="AF124" s="8" t="n">
        <v>0.097</v>
      </c>
      <c r="AG124" s="8" t="inlineStr">
        <is>
          <t>100% O2 plasma, Branson IPC barrel etcher, 500 W, 0.5 torr, 200 sccm, 120 min, O-ring at 25% compression</t>
        </is>
      </c>
      <c r="AH124" s="8" t="inlineStr">
        <is>
          <t>psi -&gt; MPa (x0.00689476); Shore A</t>
        </is>
      </c>
      <c r="AI124" s="8" t="inlineStr">
        <is>
          <t>Table II; normal-state values from ASTM slabs/pellets. O-ring (AS568A-214) values: M100 909 psi, Tb 1826 psi, Eb 210%, Shore A 83, CS 70h/200C 29.6%. Eb row labelled 'psi' in source (clearly %). Press cure 210C x 20 min, post cure N2 ramp to 305C, 26 h at 305C. 50/50 O2/C2F6 plasma weight loss = 0.273%. Long-term CS 672h at 200C/250C also reported.</t>
        </is>
      </c>
    </row>
    <row r="125">
      <c r="A125" s="8" t="inlineStr">
        <is>
          <t>US5696189A</t>
        </is>
      </c>
      <c r="B125" s="8" t="inlineStr">
        <is>
          <t>patent</t>
        </is>
      </c>
      <c r="C125" s="8" t="inlineStr">
        <is>
          <t>EI Du Pont de Nemours and Co</t>
        </is>
      </c>
      <c r="D125" s="8" t="inlineStr">
        <is>
          <t>Perfluoroelastomer compositions</t>
        </is>
      </c>
      <c r="E125" s="8" t="inlineStr">
        <is>
          <t>https://patents.google.com/patent/US5696189A/en</t>
        </is>
      </c>
      <c r="F125" s="8" t="inlineStr">
        <is>
          <t>Example 7</t>
        </is>
      </c>
      <c r="G125" s="8" t="inlineStr">
        <is>
          <t>FFKM</t>
        </is>
      </c>
      <c r="H125" s="8" t="inlineStr">
        <is>
          <t>TFE/PMVE/8-CNVE (42.5 wt% PMVE, 3.3 wt% 8-CNVE), ML-10(150C)=30</t>
        </is>
      </c>
      <c r="I125" s="8" t="inlineStr">
        <is>
          <t>nitrile_organotin</t>
        </is>
      </c>
      <c r="J125" s="8" t="n">
        <v>100</v>
      </c>
      <c r="K125" s="8" t="n">
        <v>0</v>
      </c>
      <c r="L125" s="8" t="n">
        <v>0</v>
      </c>
      <c r="M125" s="8" t="n">
        <v>0</v>
      </c>
      <c r="N125" s="8" t="n">
        <v>0</v>
      </c>
      <c r="O125" s="8" t="n">
        <v>12.5</v>
      </c>
      <c r="P125" s="8" t="n">
        <v>12.5</v>
      </c>
      <c r="Q125" s="8" t="n">
        <v>12.5</v>
      </c>
      <c r="R125" s="8" t="n">
        <v>0</v>
      </c>
      <c r="S125" s="8" t="n">
        <v>1</v>
      </c>
      <c r="T125" s="8" t="n">
        <v>1</v>
      </c>
      <c r="U125" s="8" t="n">
        <v>2</v>
      </c>
      <c r="V125" s="8" t="n">
        <v>0</v>
      </c>
      <c r="W125" s="8" t="n">
        <v>1</v>
      </c>
      <c r="X125" s="8" t="n">
        <v>0</v>
      </c>
      <c r="Y125" s="8" t="inlineStr">
        <is>
          <t>tetraphenyltin 2; Luperco 101XL peroxide 1; TAIC (DIAK #7) 1 (dual cure); fluoropolymer filler 12.5; aluminum silicate 12.5; ZnO acid acceptor</t>
        </is>
      </c>
      <c r="Z125" s="8" t="n">
        <v>78</v>
      </c>
      <c r="AA125" s="8" t="n">
        <v>12.34</v>
      </c>
      <c r="AB125" s="8" t="n">
        <v>201</v>
      </c>
      <c r="AC125" s="8" t="n">
        <v>7.03</v>
      </c>
      <c r="AD125" s="8" t="n">
        <v>41.4</v>
      </c>
      <c r="AE125" s="8" t="inlineStr">
        <is>
          <t>200C x 70h, pellets, ASTM D395</t>
        </is>
      </c>
      <c r="AF125" s="8" t="n"/>
      <c r="AG125" s="8" t="n"/>
      <c r="AH125" s="8" t="inlineStr">
        <is>
          <t>psi -&gt; MPa (x0.00689476); Shore A</t>
        </is>
      </c>
      <c r="AI125" s="8" t="inlineStr">
        <is>
          <t xml:space="preserve">Table II; normal-state values from ASTM slabs/pellets (O-ring values not reported). Eb row labelled 'psi' in source (clearly %). Press cure 210C x 20 min, post cure N2 ramp to 305C, 26 h at 305C. </t>
        </is>
      </c>
    </row>
    <row r="126">
      <c r="A126" s="8" t="inlineStr">
        <is>
          <t>US7247749B2</t>
        </is>
      </c>
      <c r="B126" s="8" t="inlineStr">
        <is>
          <t>patent</t>
        </is>
      </c>
      <c r="C126" s="8" t="inlineStr">
        <is>
          <t>Federal State Unitary Enterprise S V Lebedev Institute of Synthetic Rubber; Greene Tweed of Delaware Inc</t>
        </is>
      </c>
      <c r="D126" s="8" t="inlineStr">
        <is>
          <t>Bisaminophenyl-based curatives and amidine-based curatives and cure accelerators for perfluoroelastomeric compositions</t>
        </is>
      </c>
      <c r="E126" s="8" t="inlineStr">
        <is>
          <t>https://patents.google.com/patent/US7247749B2/en</t>
        </is>
      </c>
      <c r="F126" s="8" t="inlineStr">
        <is>
          <t>Sample 1</t>
        </is>
      </c>
      <c r="G126" s="8" t="inlineStr">
        <is>
          <t>FFKM</t>
        </is>
      </c>
      <c r="H126" s="8" t="inlineStr">
        <is>
          <t>TFE/PMVE/2 cyano CSM tetrapolymer, Polymer A (redox, ML 45)</t>
        </is>
      </c>
      <c r="I126" s="8" t="inlineStr">
        <is>
          <t>nitrile_bisaminophenol</t>
        </is>
      </c>
      <c r="J126" s="8" t="n">
        <v>100</v>
      </c>
      <c r="K126" s="8" t="n">
        <v>25</v>
      </c>
      <c r="L126" s="8" t="n">
        <v>0</v>
      </c>
      <c r="M126" s="8" t="n">
        <v>0</v>
      </c>
      <c r="N126" s="8" t="n">
        <v>0</v>
      </c>
      <c r="O126" s="8" t="n">
        <v>0</v>
      </c>
      <c r="P126" s="8" t="n">
        <v>0</v>
      </c>
      <c r="Q126" s="8" t="n">
        <v>0</v>
      </c>
      <c r="R126" s="8" t="n">
        <v>0</v>
      </c>
      <c r="S126" s="8" t="n">
        <v>0</v>
      </c>
      <c r="T126" s="8" t="n">
        <v>0</v>
      </c>
      <c r="U126" s="8" t="n">
        <v>1.8</v>
      </c>
      <c r="V126" s="8" t="n">
        <v>0</v>
      </c>
      <c r="W126" s="8" t="n">
        <v>0</v>
      </c>
      <c r="X126" s="8" t="n">
        <v>1.5</v>
      </c>
      <c r="Y126" s="8" t="inlineStr">
        <is>
          <t>Curative A 1.8; N990 carbon black 25; Fluorogard PCA 1.5</t>
        </is>
      </c>
      <c r="Z126" s="8" t="n"/>
      <c r="AA126" s="8" t="n">
        <v>13</v>
      </c>
      <c r="AB126" s="8" t="n">
        <v>197</v>
      </c>
      <c r="AC126" s="8" t="n">
        <v>4.28</v>
      </c>
      <c r="AD126" s="8" t="n">
        <v>29</v>
      </c>
      <c r="AE126" s="8" t="inlineStr">
        <is>
          <t>204C x 70h, 25% deflection</t>
        </is>
      </c>
      <c r="AF126" s="8" t="n"/>
      <c r="AG126" s="8" t="n"/>
      <c r="AH126" s="8" t="inlineStr">
        <is>
          <t>MPa (psi also given)</t>
        </is>
      </c>
      <c r="AI126"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27">
      <c r="A127" s="8" t="inlineStr">
        <is>
          <t>US7247749B2</t>
        </is>
      </c>
      <c r="B127" s="8" t="inlineStr">
        <is>
          <t>patent</t>
        </is>
      </c>
      <c r="C127" s="8" t="inlineStr">
        <is>
          <t>Federal State Unitary Enterprise S V Lebedev Institute of Synthetic Rubber; Greene Tweed of Delaware Inc</t>
        </is>
      </c>
      <c r="D127" s="8" t="inlineStr">
        <is>
          <t>Bisaminophenyl-based curatives and amidine-based curatives and cure accelerators for perfluoroelastomeric compositions</t>
        </is>
      </c>
      <c r="E127" s="8" t="inlineStr">
        <is>
          <t>https://patents.google.com/patent/US7247749B2/en</t>
        </is>
      </c>
      <c r="F127" s="8" t="inlineStr">
        <is>
          <t>Sample 2</t>
        </is>
      </c>
      <c r="G127" s="8" t="inlineStr">
        <is>
          <t>FFKM</t>
        </is>
      </c>
      <c r="H127" s="8" t="inlineStr">
        <is>
          <t>TFE/PMVE/2 cyano CSM tetrapolymer, Polymer B (non-redox, ML 65)</t>
        </is>
      </c>
      <c r="I127" s="8" t="inlineStr">
        <is>
          <t>nitrile_bisaminophenol</t>
        </is>
      </c>
      <c r="J127" s="8" t="n">
        <v>100</v>
      </c>
      <c r="K127" s="8" t="n">
        <v>25</v>
      </c>
      <c r="L127" s="8" t="n">
        <v>0</v>
      </c>
      <c r="M127" s="8" t="n">
        <v>0</v>
      </c>
      <c r="N127" s="8" t="n">
        <v>0</v>
      </c>
      <c r="O127" s="8" t="n">
        <v>0</v>
      </c>
      <c r="P127" s="8" t="n">
        <v>0</v>
      </c>
      <c r="Q127" s="8" t="n">
        <v>0</v>
      </c>
      <c r="R127" s="8" t="n">
        <v>0</v>
      </c>
      <c r="S127" s="8" t="n">
        <v>0</v>
      </c>
      <c r="T127" s="8" t="n">
        <v>0</v>
      </c>
      <c r="U127" s="8" t="n">
        <v>1.8</v>
      </c>
      <c r="V127" s="8" t="n">
        <v>0</v>
      </c>
      <c r="W127" s="8" t="n">
        <v>0</v>
      </c>
      <c r="X127" s="8" t="n">
        <v>1.5</v>
      </c>
      <c r="Y127" s="8" t="inlineStr">
        <is>
          <t>Curative A 1.8; N990 carbon black 25; Fluorogard PCA 1.5</t>
        </is>
      </c>
      <c r="Z127" s="8" t="n"/>
      <c r="AA127" s="8" t="n">
        <v>14.95</v>
      </c>
      <c r="AB127" s="8" t="n">
        <v>171</v>
      </c>
      <c r="AC127" s="8" t="n">
        <v>5.7</v>
      </c>
      <c r="AD127" s="8" t="n">
        <v>20</v>
      </c>
      <c r="AE127" s="8" t="inlineStr">
        <is>
          <t>204C x 70h, 25% deflection</t>
        </is>
      </c>
      <c r="AF127" s="8" t="n"/>
      <c r="AG127" s="8" t="n"/>
      <c r="AH127" s="8" t="inlineStr">
        <is>
          <t>MPa (psi also given)</t>
        </is>
      </c>
      <c r="AI127"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28">
      <c r="A128" s="8" t="inlineStr">
        <is>
          <t>US7247749B2</t>
        </is>
      </c>
      <c r="B128" s="8" t="inlineStr">
        <is>
          <t>patent</t>
        </is>
      </c>
      <c r="C128" s="8" t="inlineStr">
        <is>
          <t>Federal State Unitary Enterprise S V Lebedev Institute of Synthetic Rubber; Greene Tweed of Delaware Inc</t>
        </is>
      </c>
      <c r="D128" s="8" t="inlineStr">
        <is>
          <t>Bisaminophenyl-based curatives and amidine-based curatives and cure accelerators for perfluoroelastomeric compositions</t>
        </is>
      </c>
      <c r="E128" s="8" t="inlineStr">
        <is>
          <t>https://patents.google.com/patent/US7247749B2/en</t>
        </is>
      </c>
      <c r="F128" s="8" t="inlineStr">
        <is>
          <t>Sample 3</t>
        </is>
      </c>
      <c r="G128" s="8" t="inlineStr">
        <is>
          <t>FFKM</t>
        </is>
      </c>
      <c r="H128" s="8" t="inlineStr">
        <is>
          <t>TFE/PMVE/2 cyano CSM tetrapolymer, Polymer B (non-redox, ML 65)</t>
        </is>
      </c>
      <c r="I128" s="8" t="inlineStr">
        <is>
          <t>nitrile_bisaminophenol</t>
        </is>
      </c>
      <c r="J128" s="8" t="n">
        <v>100</v>
      </c>
      <c r="K128" s="8" t="n">
        <v>25</v>
      </c>
      <c r="L128" s="8" t="n">
        <v>0</v>
      </c>
      <c r="M128" s="8" t="n">
        <v>0</v>
      </c>
      <c r="N128" s="8" t="n">
        <v>0</v>
      </c>
      <c r="O128" s="8" t="n">
        <v>0</v>
      </c>
      <c r="P128" s="8" t="n">
        <v>0</v>
      </c>
      <c r="Q128" s="8" t="n">
        <v>0</v>
      </c>
      <c r="R128" s="8" t="n">
        <v>0</v>
      </c>
      <c r="S128" s="8" t="n">
        <v>0</v>
      </c>
      <c r="T128" s="8" t="n">
        <v>0</v>
      </c>
      <c r="U128" s="8" t="n">
        <v>1</v>
      </c>
      <c r="V128" s="8" t="n">
        <v>1</v>
      </c>
      <c r="W128" s="8" t="n">
        <v>0</v>
      </c>
      <c r="X128" s="8" t="n">
        <v>1.5</v>
      </c>
      <c r="Y128" s="8" t="inlineStr">
        <is>
          <t>Curative A 1; perfluorooctanamidine 1 (accelerator, in other_curative); N990 carbon black 25; Fluorogard PCA 1.5</t>
        </is>
      </c>
      <c r="Z128" s="8" t="n"/>
      <c r="AA128" s="8" t="n">
        <v>13.42</v>
      </c>
      <c r="AB128" s="8" t="n">
        <v>179</v>
      </c>
      <c r="AC128" s="8" t="n">
        <v>4.27</v>
      </c>
      <c r="AD128" s="8" t="n">
        <v>23</v>
      </c>
      <c r="AE128" s="8" t="inlineStr">
        <is>
          <t>204C x 70h, 25% deflection</t>
        </is>
      </c>
      <c r="AF128" s="8" t="n"/>
      <c r="AG128" s="8" t="n"/>
      <c r="AH128" s="8" t="inlineStr">
        <is>
          <t>MPa (psi also given)</t>
        </is>
      </c>
      <c r="AI128"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29">
      <c r="A129" s="8" t="inlineStr">
        <is>
          <t>US7247749B2</t>
        </is>
      </c>
      <c r="B129" s="8" t="inlineStr">
        <is>
          <t>patent</t>
        </is>
      </c>
      <c r="C129" s="8" t="inlineStr">
        <is>
          <t>Federal State Unitary Enterprise S V Lebedev Institute of Synthetic Rubber; Greene Tweed of Delaware Inc</t>
        </is>
      </c>
      <c r="D129" s="8" t="inlineStr">
        <is>
          <t>Bisaminophenyl-based curatives and amidine-based curatives and cure accelerators for perfluoroelastomeric compositions</t>
        </is>
      </c>
      <c r="E129" s="8" t="inlineStr">
        <is>
          <t>https://patents.google.com/patent/US7247749B2/en</t>
        </is>
      </c>
      <c r="F129" s="8" t="inlineStr">
        <is>
          <t>Sample 4</t>
        </is>
      </c>
      <c r="G129" s="8" t="inlineStr">
        <is>
          <t>FFKM</t>
        </is>
      </c>
      <c r="H129" s="8" t="inlineStr">
        <is>
          <t>TFE/PMVE/2 cyano CSM tetrapolymer, Polymer B (non-redox, ML 65)</t>
        </is>
      </c>
      <c r="I129" s="8" t="inlineStr">
        <is>
          <t>nitrile_bisaminophenol</t>
        </is>
      </c>
      <c r="J129" s="8" t="n">
        <v>100</v>
      </c>
      <c r="K129" s="8" t="n">
        <v>25</v>
      </c>
      <c r="L129" s="8" t="n">
        <v>0</v>
      </c>
      <c r="M129" s="8" t="n">
        <v>0</v>
      </c>
      <c r="N129" s="8" t="n">
        <v>0</v>
      </c>
      <c r="O129" s="8" t="n">
        <v>0</v>
      </c>
      <c r="P129" s="8" t="n">
        <v>0</v>
      </c>
      <c r="Q129" s="8" t="n">
        <v>0</v>
      </c>
      <c r="R129" s="8" t="n">
        <v>0</v>
      </c>
      <c r="S129" s="8" t="n">
        <v>0</v>
      </c>
      <c r="T129" s="8" t="n">
        <v>0</v>
      </c>
      <c r="U129" s="8" t="n">
        <v>1.5</v>
      </c>
      <c r="V129" s="8" t="n">
        <v>1.5</v>
      </c>
      <c r="W129" s="8" t="n">
        <v>0</v>
      </c>
      <c r="X129" s="8" t="n">
        <v>1.5</v>
      </c>
      <c r="Y129" s="8" t="inlineStr">
        <is>
          <t>Curative A 1.5; perfluorooctanamidine 1.5 (accelerator, in other_curative); N990 carbon black 25; Fluorogard PCA 1.5</t>
        </is>
      </c>
      <c r="Z129" s="8" t="n"/>
      <c r="AA129" s="8" t="n">
        <v>8.4</v>
      </c>
      <c r="AB129" s="8" t="n">
        <v>105</v>
      </c>
      <c r="AC129" s="8" t="n">
        <v>7.28</v>
      </c>
      <c r="AD129" s="8" t="n"/>
      <c r="AE129" s="8" t="n"/>
      <c r="AF129" s="8" t="n"/>
      <c r="AG129" s="8" t="n"/>
      <c r="AH129" s="8" t="inlineStr">
        <is>
          <t>MPa (psi also given)</t>
        </is>
      </c>
      <c r="AI129"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0">
      <c r="A130" s="8" t="inlineStr">
        <is>
          <t>US7247749B2</t>
        </is>
      </c>
      <c r="B130" s="8" t="inlineStr">
        <is>
          <t>patent</t>
        </is>
      </c>
      <c r="C130" s="8" t="inlineStr">
        <is>
          <t>Federal State Unitary Enterprise S V Lebedev Institute of Synthetic Rubber; Greene Tweed of Delaware Inc</t>
        </is>
      </c>
      <c r="D130" s="8" t="inlineStr">
        <is>
          <t>Bisaminophenyl-based curatives and amidine-based curatives and cure accelerators for perfluoroelastomeric compositions</t>
        </is>
      </c>
      <c r="E130" s="8" t="inlineStr">
        <is>
          <t>https://patents.google.com/patent/US7247749B2/en</t>
        </is>
      </c>
      <c r="F130" s="8" t="inlineStr">
        <is>
          <t>Sample 5</t>
        </is>
      </c>
      <c r="G130" s="8" t="inlineStr">
        <is>
          <t>FFKM</t>
        </is>
      </c>
      <c r="H130" s="8" t="inlineStr">
        <is>
          <t>TFE/PMVE/2 cyano CSM tetrapolymer, Polymer B (non-redox, ML 65)</t>
        </is>
      </c>
      <c r="I130" s="8" t="inlineStr">
        <is>
          <t>nitrile_bisaminophenol</t>
        </is>
      </c>
      <c r="J130" s="8" t="n">
        <v>100</v>
      </c>
      <c r="K130" s="8" t="n">
        <v>25</v>
      </c>
      <c r="L130" s="8" t="n">
        <v>0</v>
      </c>
      <c r="M130" s="8" t="n">
        <v>0</v>
      </c>
      <c r="N130" s="8" t="n">
        <v>0</v>
      </c>
      <c r="O130" s="8" t="n">
        <v>0</v>
      </c>
      <c r="P130" s="8" t="n">
        <v>0</v>
      </c>
      <c r="Q130" s="8" t="n">
        <v>0</v>
      </c>
      <c r="R130" s="8" t="n">
        <v>0</v>
      </c>
      <c r="S130" s="8" t="n">
        <v>0</v>
      </c>
      <c r="T130" s="8" t="n">
        <v>0</v>
      </c>
      <c r="U130" s="8" t="n">
        <v>2.5</v>
      </c>
      <c r="V130" s="8" t="n">
        <v>1.5</v>
      </c>
      <c r="W130" s="8" t="n">
        <v>0</v>
      </c>
      <c r="X130" s="8" t="n">
        <v>1.5</v>
      </c>
      <c r="Y130" s="8" t="inlineStr">
        <is>
          <t>Curative A 2.5; perfluorooctanamidine 1.5 (accelerator, in other_curative); N990 carbon black 25; Fluorogard PCA 1.5</t>
        </is>
      </c>
      <c r="Z130" s="8" t="n"/>
      <c r="AA130" s="8" t="n">
        <v>13.58</v>
      </c>
      <c r="AB130" s="8" t="n">
        <v>162</v>
      </c>
      <c r="AC130" s="8" t="n">
        <v>6.09</v>
      </c>
      <c r="AD130" s="8" t="n">
        <v>13</v>
      </c>
      <c r="AE130" s="8" t="inlineStr">
        <is>
          <t>204C x 70h, 25% deflection</t>
        </is>
      </c>
      <c r="AF130" s="8" t="n"/>
      <c r="AG130" s="8" t="n"/>
      <c r="AH130" s="8" t="inlineStr">
        <is>
          <t>MPa (psi also given)</t>
        </is>
      </c>
      <c r="AI130"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1">
      <c r="A131" s="8" t="inlineStr">
        <is>
          <t>US7247749B2</t>
        </is>
      </c>
      <c r="B131" s="8" t="inlineStr">
        <is>
          <t>patent</t>
        </is>
      </c>
      <c r="C131" s="8" t="inlineStr">
        <is>
          <t>Federal State Unitary Enterprise S V Lebedev Institute of Synthetic Rubber; Greene Tweed of Delaware Inc</t>
        </is>
      </c>
      <c r="D131" s="8" t="inlineStr">
        <is>
          <t>Bisaminophenyl-based curatives and amidine-based curatives and cure accelerators for perfluoroelastomeric compositions</t>
        </is>
      </c>
      <c r="E131" s="8" t="inlineStr">
        <is>
          <t>https://patents.google.com/patent/US7247749B2/en</t>
        </is>
      </c>
      <c r="F131" s="8" t="inlineStr">
        <is>
          <t>Sample 6</t>
        </is>
      </c>
      <c r="G131" s="8" t="inlineStr">
        <is>
          <t>FFKM</t>
        </is>
      </c>
      <c r="H131" s="8" t="inlineStr">
        <is>
          <t>TFE/PMVE/2 cyano CSM tetrapolymer, Polymer B (non-redox, ML 65)</t>
        </is>
      </c>
      <c r="I131" s="8" t="inlineStr">
        <is>
          <t>nitrile_bisaminophenol</t>
        </is>
      </c>
      <c r="J131" s="8" t="n">
        <v>100</v>
      </c>
      <c r="K131" s="8" t="n">
        <v>25</v>
      </c>
      <c r="L131" s="8" t="n">
        <v>0</v>
      </c>
      <c r="M131" s="8" t="n">
        <v>0</v>
      </c>
      <c r="N131" s="8" t="n">
        <v>0</v>
      </c>
      <c r="O131" s="8" t="n">
        <v>0</v>
      </c>
      <c r="P131" s="8" t="n">
        <v>0</v>
      </c>
      <c r="Q131" s="8" t="n">
        <v>0</v>
      </c>
      <c r="R131" s="8" t="n">
        <v>0</v>
      </c>
      <c r="S131" s="8" t="n">
        <v>0</v>
      </c>
      <c r="T131" s="8" t="n">
        <v>0</v>
      </c>
      <c r="U131" s="8" t="n">
        <v>3</v>
      </c>
      <c r="V131" s="8" t="n">
        <v>1</v>
      </c>
      <c r="W131" s="8" t="n">
        <v>0</v>
      </c>
      <c r="X131" s="8" t="n">
        <v>1.5</v>
      </c>
      <c r="Y131" s="8" t="inlineStr">
        <is>
          <t>Curative A 3; perfluorooctanamidine 1 (accelerator, in other_curative); N990 carbon black 25; Fluorogard PCA 1.5</t>
        </is>
      </c>
      <c r="Z131" s="8" t="n"/>
      <c r="AA131" s="8" t="n">
        <v>13.72</v>
      </c>
      <c r="AB131" s="8" t="n">
        <v>145</v>
      </c>
      <c r="AC131" s="8" t="n">
        <v>6.93</v>
      </c>
      <c r="AD131" s="8" t="n">
        <v>9.199999999999999</v>
      </c>
      <c r="AE131" s="8" t="inlineStr">
        <is>
          <t>204C x 70h, 25% deflection</t>
        </is>
      </c>
      <c r="AF131" s="8" t="n"/>
      <c r="AG131" s="8" t="n"/>
      <c r="AH131" s="8" t="inlineStr">
        <is>
          <t>MPa (psi also given)</t>
        </is>
      </c>
      <c r="AI131"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2">
      <c r="A132" s="8" t="inlineStr">
        <is>
          <t>US7247749B2</t>
        </is>
      </c>
      <c r="B132" s="8" t="inlineStr">
        <is>
          <t>patent</t>
        </is>
      </c>
      <c r="C132" s="8" t="inlineStr">
        <is>
          <t>Federal State Unitary Enterprise S V Lebedev Institute of Synthetic Rubber; Greene Tweed of Delaware Inc</t>
        </is>
      </c>
      <c r="D132" s="8" t="inlineStr">
        <is>
          <t>Bisaminophenyl-based curatives and amidine-based curatives and cure accelerators for perfluoroelastomeric compositions</t>
        </is>
      </c>
      <c r="E132" s="8" t="inlineStr">
        <is>
          <t>https://patents.google.com/patent/US7247749B2/en</t>
        </is>
      </c>
      <c r="F132" s="8" t="inlineStr">
        <is>
          <t>Sample 7</t>
        </is>
      </c>
      <c r="G132" s="8" t="inlineStr">
        <is>
          <t>FFKM</t>
        </is>
      </c>
      <c r="H132" s="8" t="inlineStr">
        <is>
          <t>TFE/PMVE/2 cyano CSM tetrapolymer, Polymer B (non-redox, ML 65)</t>
        </is>
      </c>
      <c r="I132" s="8" t="inlineStr">
        <is>
          <t>nitrile_bisaminophenol</t>
        </is>
      </c>
      <c r="J132" s="8" t="n">
        <v>100</v>
      </c>
      <c r="K132" s="8" t="n">
        <v>25</v>
      </c>
      <c r="L132" s="8" t="n">
        <v>0</v>
      </c>
      <c r="M132" s="8" t="n">
        <v>0</v>
      </c>
      <c r="N132" s="8" t="n">
        <v>0</v>
      </c>
      <c r="O132" s="8" t="n">
        <v>0</v>
      </c>
      <c r="P132" s="8" t="n">
        <v>0</v>
      </c>
      <c r="Q132" s="8" t="n">
        <v>0</v>
      </c>
      <c r="R132" s="8" t="n">
        <v>0</v>
      </c>
      <c r="S132" s="8" t="n">
        <v>0</v>
      </c>
      <c r="T132" s="8" t="n">
        <v>0</v>
      </c>
      <c r="U132" s="8" t="n">
        <v>3</v>
      </c>
      <c r="V132" s="8" t="n">
        <v>1.5</v>
      </c>
      <c r="W132" s="8" t="n">
        <v>0</v>
      </c>
      <c r="X132" s="8" t="n">
        <v>1.5</v>
      </c>
      <c r="Y132" s="8" t="inlineStr">
        <is>
          <t>Curative A 3; perfluorooctanamidine 1.5 (accelerator, in other_curative); N990 carbon black 25; Fluorogard PCA 1.5</t>
        </is>
      </c>
      <c r="Z132" s="8" t="n"/>
      <c r="AA132" s="8" t="n">
        <v>12.87</v>
      </c>
      <c r="AB132" s="8" t="n">
        <v>148</v>
      </c>
      <c r="AC132" s="8" t="n">
        <v>6.34</v>
      </c>
      <c r="AD132" s="8" t="n">
        <v>10</v>
      </c>
      <c r="AE132" s="8" t="inlineStr">
        <is>
          <t>204C x 70h, 25% deflection</t>
        </is>
      </c>
      <c r="AF132" s="8" t="n"/>
      <c r="AG132" s="8" t="n"/>
      <c r="AH132" s="8" t="inlineStr">
        <is>
          <t>MPa (psi also given)</t>
        </is>
      </c>
      <c r="AI132"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3">
      <c r="A133" s="8" t="inlineStr">
        <is>
          <t>US7247749B2</t>
        </is>
      </c>
      <c r="B133" s="8" t="inlineStr">
        <is>
          <t>patent</t>
        </is>
      </c>
      <c r="C133" s="8" t="inlineStr">
        <is>
          <t>Federal State Unitary Enterprise S V Lebedev Institute of Synthetic Rubber; Greene Tweed of Delaware Inc</t>
        </is>
      </c>
      <c r="D133" s="8" t="inlineStr">
        <is>
          <t>Bisaminophenyl-based curatives and amidine-based curatives and cure accelerators for perfluoroelastomeric compositions</t>
        </is>
      </c>
      <c r="E133" s="8" t="inlineStr">
        <is>
          <t>https://patents.google.com/patent/US7247749B2/en</t>
        </is>
      </c>
      <c r="F133" s="8" t="inlineStr">
        <is>
          <t>Sample 8</t>
        </is>
      </c>
      <c r="G133" s="8" t="inlineStr">
        <is>
          <t>FFKM</t>
        </is>
      </c>
      <c r="H133" s="8" t="inlineStr">
        <is>
          <t>TFE/PMVE/2 cyano CSM tetrapolymer, Polymer B (non-redox, ML 65)</t>
        </is>
      </c>
      <c r="I133" s="8" t="inlineStr">
        <is>
          <t>nitrile_bisaminophenol</t>
        </is>
      </c>
      <c r="J133" s="8" t="n">
        <v>100</v>
      </c>
      <c r="K133" s="8" t="n">
        <v>25</v>
      </c>
      <c r="L133" s="8" t="n">
        <v>0</v>
      </c>
      <c r="M133" s="8" t="n">
        <v>0</v>
      </c>
      <c r="N133" s="8" t="n">
        <v>0</v>
      </c>
      <c r="O133" s="8" t="n">
        <v>0</v>
      </c>
      <c r="P133" s="8" t="n">
        <v>0</v>
      </c>
      <c r="Q133" s="8" t="n">
        <v>0</v>
      </c>
      <c r="R133" s="8" t="n">
        <v>0</v>
      </c>
      <c r="S133" s="8" t="n">
        <v>0</v>
      </c>
      <c r="T133" s="8" t="n">
        <v>0</v>
      </c>
      <c r="U133" s="8" t="n">
        <v>4</v>
      </c>
      <c r="V133" s="8" t="n">
        <v>2</v>
      </c>
      <c r="W133" s="8" t="n">
        <v>0</v>
      </c>
      <c r="X133" s="8" t="n">
        <v>1.5</v>
      </c>
      <c r="Y133" s="8" t="inlineStr">
        <is>
          <t>Curative A 4; perfluorooctanamidine 2 (accelerator, in other_curative); N990 carbon black 25; Fluorogard PCA 1.5</t>
        </is>
      </c>
      <c r="Z133" s="8" t="n"/>
      <c r="AA133" s="8" t="n">
        <v>12.94</v>
      </c>
      <c r="AB133" s="8" t="n">
        <v>149</v>
      </c>
      <c r="AC133" s="8" t="n">
        <v>6.77</v>
      </c>
      <c r="AD133" s="8" t="n">
        <v>11</v>
      </c>
      <c r="AE133" s="8" t="inlineStr">
        <is>
          <t>204C x 70h, 25% deflection</t>
        </is>
      </c>
      <c r="AF133" s="8" t="n"/>
      <c r="AG133" s="8" t="n"/>
      <c r="AH133" s="8" t="inlineStr">
        <is>
          <t>MPa (psi also given)</t>
        </is>
      </c>
      <c r="AI133"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4">
      <c r="A134" s="8" t="inlineStr">
        <is>
          <t>US7247749B2</t>
        </is>
      </c>
      <c r="B134" s="8" t="inlineStr">
        <is>
          <t>patent</t>
        </is>
      </c>
      <c r="C134" s="8" t="inlineStr">
        <is>
          <t>Federal State Unitary Enterprise S V Lebedev Institute of Synthetic Rubber; Greene Tweed of Delaware Inc</t>
        </is>
      </c>
      <c r="D134" s="8" t="inlineStr">
        <is>
          <t>Bisaminophenyl-based curatives and amidine-based curatives and cure accelerators for perfluoroelastomeric compositions</t>
        </is>
      </c>
      <c r="E134" s="8" t="inlineStr">
        <is>
          <t>https://patents.google.com/patent/US7247749B2/en</t>
        </is>
      </c>
      <c r="F134" s="8" t="inlineStr">
        <is>
          <t>Sample 9</t>
        </is>
      </c>
      <c r="G134" s="8" t="inlineStr">
        <is>
          <t>FFKM</t>
        </is>
      </c>
      <c r="H134" s="8" t="inlineStr">
        <is>
          <t>TFE/PMVE/2 cyano CSM tetrapolymer, Polymer D (non-redox, ML 93)</t>
        </is>
      </c>
      <c r="I134" s="8" t="inlineStr">
        <is>
          <t>nitrile_bisaminophenol</t>
        </is>
      </c>
      <c r="J134" s="8" t="n">
        <v>100</v>
      </c>
      <c r="K134" s="8" t="n">
        <v>25</v>
      </c>
      <c r="L134" s="8" t="n">
        <v>0</v>
      </c>
      <c r="M134" s="8" t="n">
        <v>0</v>
      </c>
      <c r="N134" s="8" t="n">
        <v>0</v>
      </c>
      <c r="O134" s="8" t="n">
        <v>0</v>
      </c>
      <c r="P134" s="8" t="n">
        <v>0</v>
      </c>
      <c r="Q134" s="8" t="n">
        <v>0</v>
      </c>
      <c r="R134" s="8" t="n">
        <v>0</v>
      </c>
      <c r="S134" s="8" t="n">
        <v>0</v>
      </c>
      <c r="T134" s="8" t="n">
        <v>0</v>
      </c>
      <c r="U134" s="8" t="n">
        <v>1</v>
      </c>
      <c r="V134" s="8" t="n">
        <v>1.25</v>
      </c>
      <c r="W134" s="8" t="n">
        <v>0</v>
      </c>
      <c r="X134" s="8" t="n">
        <v>1.5</v>
      </c>
      <c r="Y134" s="8" t="inlineStr">
        <is>
          <t>BOAP 1; perfluorooctanamidine 1.25 (accelerator, in other_curative); N990 carbon black 25; Fluorogard PCA 1.5</t>
        </is>
      </c>
      <c r="Z134" s="8" t="n"/>
      <c r="AA134" s="8" t="n">
        <v>13.28</v>
      </c>
      <c r="AB134" s="8" t="n">
        <v>151</v>
      </c>
      <c r="AC134" s="8" t="n">
        <v>6.64</v>
      </c>
      <c r="AD134" s="8" t="n">
        <v>16</v>
      </c>
      <c r="AE134" s="8" t="inlineStr">
        <is>
          <t>204C x 70h, 25% deflection</t>
        </is>
      </c>
      <c r="AF134" s="8" t="n"/>
      <c r="AG134" s="8" t="n"/>
      <c r="AH134" s="8" t="inlineStr">
        <is>
          <t>MPa (psi also given)</t>
        </is>
      </c>
      <c r="AI134" s="8" t="inlineStr">
        <is>
          <t>Tables 3/4 (Example 5). BOAP 1 phr = 2.27 mmol.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5">
      <c r="A135" s="8" t="inlineStr">
        <is>
          <t>US7247749B2</t>
        </is>
      </c>
      <c r="B135" s="8" t="inlineStr">
        <is>
          <t>patent</t>
        </is>
      </c>
      <c r="C135" s="8" t="inlineStr">
        <is>
          <t>Federal State Unitary Enterprise S V Lebedev Institute of Synthetic Rubber; Greene Tweed of Delaware Inc</t>
        </is>
      </c>
      <c r="D135" s="8" t="inlineStr">
        <is>
          <t>Bisaminophenyl-based curatives and amidine-based curatives and cure accelerators for perfluoroelastomeric compositions</t>
        </is>
      </c>
      <c r="E135" s="8" t="inlineStr">
        <is>
          <t>https://patents.google.com/patent/US7247749B2/en</t>
        </is>
      </c>
      <c r="F135" s="8" t="inlineStr">
        <is>
          <t>Sample 10</t>
        </is>
      </c>
      <c r="G135" s="8" t="inlineStr">
        <is>
          <t>FFKM</t>
        </is>
      </c>
      <c r="H135" s="8" t="inlineStr">
        <is>
          <t>TFE/PMVE/2 cyano CSM tetrapolymer, Polymer D (non-redox, ML 93)</t>
        </is>
      </c>
      <c r="I135" s="8" t="inlineStr">
        <is>
          <t>nitrile_bisaminophenol</t>
        </is>
      </c>
      <c r="J135" s="8" t="n">
        <v>100</v>
      </c>
      <c r="K135" s="8" t="n">
        <v>25</v>
      </c>
      <c r="L135" s="8" t="n">
        <v>0</v>
      </c>
      <c r="M135" s="8" t="n">
        <v>0</v>
      </c>
      <c r="N135" s="8" t="n">
        <v>0</v>
      </c>
      <c r="O135" s="8" t="n">
        <v>0</v>
      </c>
      <c r="P135" s="8" t="n">
        <v>0</v>
      </c>
      <c r="Q135" s="8" t="n">
        <v>0</v>
      </c>
      <c r="R135" s="8" t="n">
        <v>0</v>
      </c>
      <c r="S135" s="8" t="n">
        <v>0</v>
      </c>
      <c r="T135" s="8" t="n">
        <v>0</v>
      </c>
      <c r="U135" s="8" t="n">
        <v>2</v>
      </c>
      <c r="V135" s="8" t="n">
        <v>1.25</v>
      </c>
      <c r="W135" s="8" t="n">
        <v>0</v>
      </c>
      <c r="X135" s="8" t="n">
        <v>1.5</v>
      </c>
      <c r="Y135" s="8" t="inlineStr">
        <is>
          <t>Curative A 2; perfluorooctanamidine 1.25 (accelerator, in other_curative); N990 carbon black 25; Fluorogard PCA 1.5</t>
        </is>
      </c>
      <c r="Z135" s="8" t="n"/>
      <c r="AA135" s="8" t="n">
        <v>11.73</v>
      </c>
      <c r="AB135" s="8" t="n">
        <v>144</v>
      </c>
      <c r="AC135" s="8" t="n">
        <v>6.17</v>
      </c>
      <c r="AD135" s="8" t="n"/>
      <c r="AE135" s="8" t="n"/>
      <c r="AF135" s="8" t="n"/>
      <c r="AG135" s="8" t="n"/>
      <c r="AH135" s="8" t="inlineStr">
        <is>
          <t>MPa (psi also given)</t>
        </is>
      </c>
      <c r="AI135" s="8" t="inlineStr">
        <is>
          <t>Tables 3/4 (Example 5). Curative A 2 phr = 3.2 mmol.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6">
      <c r="A136" s="8" t="inlineStr">
        <is>
          <t>US7247749B2</t>
        </is>
      </c>
      <c r="B136" s="8" t="inlineStr">
        <is>
          <t>patent</t>
        </is>
      </c>
      <c r="C136" s="8" t="inlineStr">
        <is>
          <t>Federal State Unitary Enterprise S V Lebedev Institute of Synthetic Rubber; Greene Tweed of Delaware Inc</t>
        </is>
      </c>
      <c r="D136" s="8" t="inlineStr">
        <is>
          <t>Bisaminophenyl-based curatives and amidine-based curatives and cure accelerators for perfluoroelastomeric compositions</t>
        </is>
      </c>
      <c r="E136" s="8" t="inlineStr">
        <is>
          <t>https://patents.google.com/patent/US7247749B2/en</t>
        </is>
      </c>
      <c r="F136" s="8" t="inlineStr">
        <is>
          <t>Comparative Sample 11</t>
        </is>
      </c>
      <c r="G136" s="8" t="inlineStr">
        <is>
          <t>FFKM</t>
        </is>
      </c>
      <c r="H136" s="8" t="inlineStr">
        <is>
          <t>TFE/PMVE/2 cyano CSM tetrapolymer, Polymer C (non-redox, ML 64)</t>
        </is>
      </c>
      <c r="I136" s="8" t="inlineStr">
        <is>
          <t>nitrile_bisaminophenol</t>
        </is>
      </c>
      <c r="J136" s="8" t="n">
        <v>100</v>
      </c>
      <c r="K136" s="8" t="n">
        <v>25</v>
      </c>
      <c r="L136" s="8" t="n">
        <v>0</v>
      </c>
      <c r="M136" s="8" t="n">
        <v>0</v>
      </c>
      <c r="N136" s="8" t="n">
        <v>0</v>
      </c>
      <c r="O136" s="8" t="n">
        <v>0</v>
      </c>
      <c r="P136" s="8" t="n">
        <v>0</v>
      </c>
      <c r="Q136" s="8" t="n">
        <v>0</v>
      </c>
      <c r="R136" s="8" t="n">
        <v>0</v>
      </c>
      <c r="S136" s="8" t="n">
        <v>0</v>
      </c>
      <c r="T136" s="8" t="n">
        <v>0</v>
      </c>
      <c r="U136" s="8" t="n">
        <v>1</v>
      </c>
      <c r="V136" s="8" t="n">
        <v>0</v>
      </c>
      <c r="W136" s="8" t="n">
        <v>0</v>
      </c>
      <c r="X136" s="8" t="n">
        <v>1.5</v>
      </c>
      <c r="Y136" s="8" t="inlineStr">
        <is>
          <t>BOAP 1; N990 carbon black 25; Fluorogard PCA 1.5</t>
        </is>
      </c>
      <c r="Z136" s="8" t="n"/>
      <c r="AA136" s="8" t="n">
        <v>13.4</v>
      </c>
      <c r="AB136" s="8" t="n">
        <v>165</v>
      </c>
      <c r="AC136" s="8" t="n">
        <v>7.4</v>
      </c>
      <c r="AD136" s="8" t="n">
        <v>16</v>
      </c>
      <c r="AE136" s="8" t="inlineStr">
        <is>
          <t>230C x 70h</t>
        </is>
      </c>
      <c r="AF136" s="8" t="n"/>
      <c r="AG136" s="8" t="n"/>
      <c r="AH136" s="8" t="inlineStr">
        <is>
          <t>MPa (psi also given)</t>
        </is>
      </c>
      <c r="AI136" s="8" t="inlineStr">
        <is>
          <t>Tables 3/4 (Example 5).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7">
      <c r="A137" s="8" t="inlineStr">
        <is>
          <t>US7247749B2</t>
        </is>
      </c>
      <c r="B137" s="8" t="inlineStr">
        <is>
          <t>patent</t>
        </is>
      </c>
      <c r="C137" s="8" t="inlineStr">
        <is>
          <t>Federal State Unitary Enterprise S V Lebedev Institute of Synthetic Rubber; Greene Tweed of Delaware Inc</t>
        </is>
      </c>
      <c r="D137" s="8" t="inlineStr">
        <is>
          <t>Bisaminophenyl-based curatives and amidine-based curatives and cure accelerators for perfluoroelastomeric compositions</t>
        </is>
      </c>
      <c r="E137" s="8" t="inlineStr">
        <is>
          <t>https://patents.google.com/patent/US7247749B2/en</t>
        </is>
      </c>
      <c r="F137" s="8" t="inlineStr">
        <is>
          <t>Sample 12</t>
        </is>
      </c>
      <c r="G137" s="8" t="inlineStr">
        <is>
          <t>FFKM</t>
        </is>
      </c>
      <c r="H137" s="8" t="inlineStr">
        <is>
          <t>TFE/PMVE/2 cyano CSM tetrapolymer, Polymer C (non-redox, ML 64)</t>
        </is>
      </c>
      <c r="I137" s="8" t="inlineStr">
        <is>
          <t>nitrile_bisaminophenol</t>
        </is>
      </c>
      <c r="J137" s="8" t="n">
        <v>100</v>
      </c>
      <c r="K137" s="8" t="n">
        <v>25</v>
      </c>
      <c r="L137" s="8" t="n">
        <v>0</v>
      </c>
      <c r="M137" s="8" t="n">
        <v>0</v>
      </c>
      <c r="N137" s="8" t="n">
        <v>0</v>
      </c>
      <c r="O137" s="8" t="n">
        <v>0</v>
      </c>
      <c r="P137" s="8" t="n">
        <v>0</v>
      </c>
      <c r="Q137" s="8" t="n">
        <v>0</v>
      </c>
      <c r="R137" s="8" t="n">
        <v>0</v>
      </c>
      <c r="S137" s="8" t="n">
        <v>0</v>
      </c>
      <c r="T137" s="8" t="n">
        <v>0</v>
      </c>
      <c r="U137" s="8" t="n">
        <v>1.9</v>
      </c>
      <c r="V137" s="8" t="n">
        <v>0</v>
      </c>
      <c r="W137" s="8" t="n">
        <v>0</v>
      </c>
      <c r="X137" s="8" t="n">
        <v>1.5</v>
      </c>
      <c r="Y137" s="8" t="inlineStr">
        <is>
          <t>Curative B 1.9; N990 carbon black 25; Fluorogard PCA 1.5</t>
        </is>
      </c>
      <c r="Z137" s="8" t="n"/>
      <c r="AA137" s="8" t="n">
        <v>14.2</v>
      </c>
      <c r="AB137" s="8" t="n">
        <v>145</v>
      </c>
      <c r="AC137" s="8" t="n">
        <v>9.1</v>
      </c>
      <c r="AD137" s="8" t="n">
        <v>14</v>
      </c>
      <c r="AE137" s="8" t="inlineStr">
        <is>
          <t>230C x 70h</t>
        </is>
      </c>
      <c r="AF137" s="8" t="n"/>
      <c r="AG137" s="8" t="n"/>
      <c r="AH137" s="8" t="inlineStr">
        <is>
          <t>MPa (psi also given)</t>
        </is>
      </c>
      <c r="AI137" s="8" t="inlineStr">
        <is>
          <t>Tables 3/4 (Example 5). Curative B 1.9 phr = 2.8 mmol.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8">
      <c r="A138" s="8" t="inlineStr">
        <is>
          <t>US7247749B2</t>
        </is>
      </c>
      <c r="B138" s="8" t="inlineStr">
        <is>
          <t>patent</t>
        </is>
      </c>
      <c r="C138" s="8" t="inlineStr">
        <is>
          <t>Federal State Unitary Enterprise S V Lebedev Institute of Synthetic Rubber; Greene Tweed of Delaware Inc</t>
        </is>
      </c>
      <c r="D138" s="8" t="inlineStr">
        <is>
          <t>Bisaminophenyl-based curatives and amidine-based curatives and cure accelerators for perfluoroelastomeric compositions</t>
        </is>
      </c>
      <c r="E138" s="8" t="inlineStr">
        <is>
          <t>https://patents.google.com/patent/US7247749B2/en</t>
        </is>
      </c>
      <c r="F138" s="8" t="inlineStr">
        <is>
          <t>Sample 13</t>
        </is>
      </c>
      <c r="G138" s="8" t="inlineStr">
        <is>
          <t>FFKM</t>
        </is>
      </c>
      <c r="H138" s="8" t="inlineStr">
        <is>
          <t>TFE/PMVE/2 cyano CSM tetrapolymer, Polymer A (redox, ML 45)</t>
        </is>
      </c>
      <c r="I138" s="8" t="inlineStr">
        <is>
          <t>nitrile_other</t>
        </is>
      </c>
      <c r="J138" s="8" t="n">
        <v>100</v>
      </c>
      <c r="K138" s="8" t="n">
        <v>25</v>
      </c>
      <c r="L138" s="8" t="n">
        <v>0</v>
      </c>
      <c r="M138" s="8" t="n">
        <v>0</v>
      </c>
      <c r="N138" s="8" t="n">
        <v>0</v>
      </c>
      <c r="O138" s="8" t="n">
        <v>0</v>
      </c>
      <c r="P138" s="8" t="n">
        <v>0</v>
      </c>
      <c r="Q138" s="8" t="n">
        <v>0</v>
      </c>
      <c r="R138" s="8" t="n">
        <v>0</v>
      </c>
      <c r="S138" s="8" t="n">
        <v>0</v>
      </c>
      <c r="T138" s="8" t="n">
        <v>0</v>
      </c>
      <c r="U138" s="8" t="n">
        <v>0.7</v>
      </c>
      <c r="V138" s="8" t="n">
        <v>0</v>
      </c>
      <c r="W138" s="8" t="n">
        <v>0</v>
      </c>
      <c r="X138" s="8" t="n">
        <v>1.5</v>
      </c>
      <c r="Y138" s="8" t="inlineStr">
        <is>
          <t>perfluorosebacamidine 0.7 (sole amidine curative); N990 carbon black 25; Fluorogard PCA 1.5</t>
        </is>
      </c>
      <c r="Z138" s="8" t="n"/>
      <c r="AA138" s="8" t="n">
        <v>8.56</v>
      </c>
      <c r="AB138" s="8" t="n">
        <v>247</v>
      </c>
      <c r="AC138" s="8" t="n">
        <v>2.46</v>
      </c>
      <c r="AD138" s="8" t="n">
        <v>11</v>
      </c>
      <c r="AE138" s="8" t="inlineStr">
        <is>
          <t>204C x 70h (deflection not stated)</t>
        </is>
      </c>
      <c r="AF138" s="8" t="n"/>
      <c r="AG138" s="8" t="n"/>
      <c r="AH138" s="8" t="inlineStr">
        <is>
          <t>MPa (psi also given)</t>
        </is>
      </c>
      <c r="AI138" s="8" t="inlineStr">
        <is>
          <t>Table 5; CB 25 / Fluorogard 1.5 stated in text. Post cure G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39">
      <c r="A139" s="8" t="inlineStr">
        <is>
          <t>US7247749B2</t>
        </is>
      </c>
      <c r="B139" s="8" t="inlineStr">
        <is>
          <t>patent</t>
        </is>
      </c>
      <c r="C139" s="8" t="inlineStr">
        <is>
          <t>Federal State Unitary Enterprise S V Lebedev Institute of Synthetic Rubber; Greene Tweed of Delaware Inc</t>
        </is>
      </c>
      <c r="D139" s="8" t="inlineStr">
        <is>
          <t>Bisaminophenyl-based curatives and amidine-based curatives and cure accelerators for perfluoroelastomeric compositions</t>
        </is>
      </c>
      <c r="E139" s="8" t="inlineStr">
        <is>
          <t>https://patents.google.com/patent/US7247749B2/en</t>
        </is>
      </c>
      <c r="F139" s="8" t="inlineStr">
        <is>
          <t>Sample 14</t>
        </is>
      </c>
      <c r="G139" s="8" t="inlineStr">
        <is>
          <t>FFKM</t>
        </is>
      </c>
      <c r="H139" s="8" t="inlineStr">
        <is>
          <t>TFE/PMVE/2 cyano CSM tetrapolymer, Polymer A (redox, ML 45)</t>
        </is>
      </c>
      <c r="I139" s="8" t="inlineStr">
        <is>
          <t>nitrile_other</t>
        </is>
      </c>
      <c r="J139" s="8" t="n">
        <v>100</v>
      </c>
      <c r="K139" s="8" t="n">
        <v>25</v>
      </c>
      <c r="L139" s="8" t="n">
        <v>0</v>
      </c>
      <c r="M139" s="8" t="n">
        <v>0</v>
      </c>
      <c r="N139" s="8" t="n">
        <v>0</v>
      </c>
      <c r="O139" s="8" t="n">
        <v>0</v>
      </c>
      <c r="P139" s="8" t="n">
        <v>0</v>
      </c>
      <c r="Q139" s="8" t="n">
        <v>0</v>
      </c>
      <c r="R139" s="8" t="n">
        <v>0</v>
      </c>
      <c r="S139" s="8" t="n">
        <v>0</v>
      </c>
      <c r="T139" s="8" t="n">
        <v>0</v>
      </c>
      <c r="U139" s="8" t="n">
        <v>1</v>
      </c>
      <c r="V139" s="8" t="n">
        <v>0</v>
      </c>
      <c r="W139" s="8" t="n">
        <v>0</v>
      </c>
      <c r="X139" s="8" t="n">
        <v>1.5</v>
      </c>
      <c r="Y139" s="8" t="inlineStr">
        <is>
          <t>perfluorosebacamidine 1.0 (sole amidine curative); N990 carbon black 25; Fluorogard PCA 1.5</t>
        </is>
      </c>
      <c r="Z139" s="8" t="n"/>
      <c r="AA139" s="8" t="n">
        <v>9</v>
      </c>
      <c r="AB139" s="8" t="n">
        <v>191</v>
      </c>
      <c r="AC139" s="8" t="n">
        <v>2.8</v>
      </c>
      <c r="AD139" s="8" t="n">
        <v>17</v>
      </c>
      <c r="AE139" s="8" t="inlineStr">
        <is>
          <t>204C x 70h (deflection not stated)</t>
        </is>
      </c>
      <c r="AF139" s="8" t="n"/>
      <c r="AG139" s="8" t="n"/>
      <c r="AH139" s="8" t="inlineStr">
        <is>
          <t>MPa (psi also given)</t>
        </is>
      </c>
      <c r="AI139" s="8" t="inlineStr">
        <is>
          <t>Table 5; CB 25 / Fluorogard 1.5 stated in text. Post cure 8h/288C/N2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0">
      <c r="A140" s="8" t="inlineStr">
        <is>
          <t>US7247749B2</t>
        </is>
      </c>
      <c r="B140" s="8" t="inlineStr">
        <is>
          <t>patent</t>
        </is>
      </c>
      <c r="C140" s="8" t="inlineStr">
        <is>
          <t>Federal State Unitary Enterprise S V Lebedev Institute of Synthetic Rubber; Greene Tweed of Delaware Inc</t>
        </is>
      </c>
      <c r="D140" s="8" t="inlineStr">
        <is>
          <t>Bisaminophenyl-based curatives and amidine-based curatives and cure accelerators for perfluoroelastomeric compositions</t>
        </is>
      </c>
      <c r="E140" s="8" t="inlineStr">
        <is>
          <t>https://patents.google.com/patent/US7247749B2/en</t>
        </is>
      </c>
      <c r="F140" s="8" t="inlineStr">
        <is>
          <t>Sample 15</t>
        </is>
      </c>
      <c r="G140" s="8" t="inlineStr">
        <is>
          <t>FFKM</t>
        </is>
      </c>
      <c r="H140" s="8" t="inlineStr">
        <is>
          <t>TFE/PMVE/2 cyano CSM tetrapolymer, Polymer A (redox, ML 45)</t>
        </is>
      </c>
      <c r="I140" s="8" t="inlineStr">
        <is>
          <t>nitrile_other</t>
        </is>
      </c>
      <c r="J140" s="8" t="n">
        <v>100</v>
      </c>
      <c r="K140" s="8" t="n">
        <v>25</v>
      </c>
      <c r="L140" s="8" t="n">
        <v>0</v>
      </c>
      <c r="M140" s="8" t="n">
        <v>0</v>
      </c>
      <c r="N140" s="8" t="n">
        <v>0</v>
      </c>
      <c r="O140" s="8" t="n">
        <v>0</v>
      </c>
      <c r="P140" s="8" t="n">
        <v>0</v>
      </c>
      <c r="Q140" s="8" t="n">
        <v>0</v>
      </c>
      <c r="R140" s="8" t="n">
        <v>0</v>
      </c>
      <c r="S140" s="8" t="n">
        <v>0</v>
      </c>
      <c r="T140" s="8" t="n">
        <v>0</v>
      </c>
      <c r="U140" s="8" t="n">
        <v>1.25</v>
      </c>
      <c r="V140" s="8" t="n">
        <v>0</v>
      </c>
      <c r="W140" s="8" t="n">
        <v>0</v>
      </c>
      <c r="X140" s="8" t="n">
        <v>1.5</v>
      </c>
      <c r="Y140" s="8" t="inlineStr">
        <is>
          <t>perfluorosebacamidine 1.25 (sole amidine curative); N990 carbon black 25; Fluorogard PCA 1.5</t>
        </is>
      </c>
      <c r="Z140" s="8" t="n"/>
      <c r="AA140" s="8" t="n">
        <v>9.720000000000001</v>
      </c>
      <c r="AB140" s="8" t="n">
        <v>168</v>
      </c>
      <c r="AC140" s="8" t="n">
        <v>3.43</v>
      </c>
      <c r="AD140" s="8" t="n">
        <v>19</v>
      </c>
      <c r="AE140" s="8" t="inlineStr">
        <is>
          <t>204C x 70h (deflection not stated)</t>
        </is>
      </c>
      <c r="AF140" s="8" t="n"/>
      <c r="AG140" s="8" t="n"/>
      <c r="AH140" s="8" t="inlineStr">
        <is>
          <t>MPa (psi also given)</t>
        </is>
      </c>
      <c r="AI140" s="8" t="inlineStr">
        <is>
          <t>Table 5; CB 25 / Fluorogard 1.5 stated in text. Post cure 8h/288C/N2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1">
      <c r="A141" s="8" t="inlineStr">
        <is>
          <t>US7247749B2</t>
        </is>
      </c>
      <c r="B141" s="8" t="inlineStr">
        <is>
          <t>patent</t>
        </is>
      </c>
      <c r="C141" s="8" t="inlineStr">
        <is>
          <t>Federal State Unitary Enterprise S V Lebedev Institute of Synthetic Rubber; Greene Tweed of Delaware Inc</t>
        </is>
      </c>
      <c r="D141" s="8" t="inlineStr">
        <is>
          <t>Bisaminophenyl-based curatives and amidine-based curatives and cure accelerators for perfluoroelastomeric compositions</t>
        </is>
      </c>
      <c r="E141" s="8" t="inlineStr">
        <is>
          <t>https://patents.google.com/patent/US7247749B2/en</t>
        </is>
      </c>
      <c r="F141" s="8" t="inlineStr">
        <is>
          <t>Sample 16</t>
        </is>
      </c>
      <c r="G141" s="8" t="inlineStr">
        <is>
          <t>FFKM</t>
        </is>
      </c>
      <c r="H141" s="8" t="inlineStr">
        <is>
          <t>TFE/PMVE/2 cyano CSM tetrapolymer, Polymer A (redox, ML 45)</t>
        </is>
      </c>
      <c r="I141" s="8" t="inlineStr">
        <is>
          <t>nitrile_other</t>
        </is>
      </c>
      <c r="J141" s="8" t="n">
        <v>100</v>
      </c>
      <c r="K141" s="8" t="n">
        <v>25</v>
      </c>
      <c r="L141" s="8" t="n">
        <v>0</v>
      </c>
      <c r="M141" s="8" t="n">
        <v>0</v>
      </c>
      <c r="N141" s="8" t="n">
        <v>0</v>
      </c>
      <c r="O141" s="8" t="n">
        <v>0</v>
      </c>
      <c r="P141" s="8" t="n">
        <v>0</v>
      </c>
      <c r="Q141" s="8" t="n">
        <v>0</v>
      </c>
      <c r="R141" s="8" t="n">
        <v>0</v>
      </c>
      <c r="S141" s="8" t="n">
        <v>0</v>
      </c>
      <c r="T141" s="8" t="n">
        <v>0</v>
      </c>
      <c r="U141" s="8" t="n">
        <v>1.5</v>
      </c>
      <c r="V141" s="8" t="n">
        <v>0</v>
      </c>
      <c r="W141" s="8" t="n">
        <v>0</v>
      </c>
      <c r="X141" s="8" t="n">
        <v>1.5</v>
      </c>
      <c r="Y141" s="8" t="inlineStr">
        <is>
          <t>perfluorosebacamidine 1.5 (sole amidine curative); N990 carbon black 25; Fluorogard PCA 1.5</t>
        </is>
      </c>
      <c r="Z141" s="8" t="n"/>
      <c r="AA141" s="8" t="n">
        <v>10.51</v>
      </c>
      <c r="AB141" s="8" t="n">
        <v>106</v>
      </c>
      <c r="AC141" s="8" t="n">
        <v>9.470000000000001</v>
      </c>
      <c r="AD141" s="8" t="n">
        <v>11</v>
      </c>
      <c r="AE141" s="8" t="inlineStr">
        <is>
          <t>204C x 70h (deflection not stated)</t>
        </is>
      </c>
      <c r="AF141" s="8" t="n"/>
      <c r="AG141" s="8" t="n"/>
      <c r="AH141" s="8" t="inlineStr">
        <is>
          <t>MPa (psi also given)</t>
        </is>
      </c>
      <c r="AI141" s="8" t="inlineStr">
        <is>
          <t>Table 5; CB 25 / Fluorogard 1.5 stated in text. Post cure G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2">
      <c r="A142" s="8" t="inlineStr">
        <is>
          <t>US7247749B2</t>
        </is>
      </c>
      <c r="B142" s="8" t="inlineStr">
        <is>
          <t>patent</t>
        </is>
      </c>
      <c r="C142" s="8" t="inlineStr">
        <is>
          <t>Federal State Unitary Enterprise S V Lebedev Institute of Synthetic Rubber; Greene Tweed of Delaware Inc</t>
        </is>
      </c>
      <c r="D142" s="8" t="inlineStr">
        <is>
          <t>Bisaminophenyl-based curatives and amidine-based curatives and cure accelerators for perfluoroelastomeric compositions</t>
        </is>
      </c>
      <c r="E142" s="8" t="inlineStr">
        <is>
          <t>https://patents.google.com/patent/US7247749B2/en</t>
        </is>
      </c>
      <c r="F142" s="8" t="inlineStr">
        <is>
          <t>Sample 17</t>
        </is>
      </c>
      <c r="G142" s="8" t="inlineStr">
        <is>
          <t>FFKM</t>
        </is>
      </c>
      <c r="H142" s="8" t="inlineStr">
        <is>
          <t>TFE/PMVE/2 cyano CSM tetrapolymer, Polymer A (redox, ML 45)</t>
        </is>
      </c>
      <c r="I142" s="8" t="inlineStr">
        <is>
          <t>nitrile_other</t>
        </is>
      </c>
      <c r="J142" s="8" t="n">
        <v>100</v>
      </c>
      <c r="K142" s="8" t="n">
        <v>25</v>
      </c>
      <c r="L142" s="8" t="n">
        <v>0</v>
      </c>
      <c r="M142" s="8" t="n">
        <v>0</v>
      </c>
      <c r="N142" s="8" t="n">
        <v>0</v>
      </c>
      <c r="O142" s="8" t="n">
        <v>0</v>
      </c>
      <c r="P142" s="8" t="n">
        <v>0</v>
      </c>
      <c r="Q142" s="8" t="n">
        <v>0</v>
      </c>
      <c r="R142" s="8" t="n">
        <v>0</v>
      </c>
      <c r="S142" s="8" t="n">
        <v>0</v>
      </c>
      <c r="T142" s="8" t="n">
        <v>0</v>
      </c>
      <c r="U142" s="8" t="n">
        <v>1</v>
      </c>
      <c r="V142" s="8" t="n">
        <v>0</v>
      </c>
      <c r="W142" s="8" t="n">
        <v>0</v>
      </c>
      <c r="X142" s="8" t="n">
        <v>1.5</v>
      </c>
      <c r="Y142" s="8" t="inlineStr">
        <is>
          <t>perfluorooctanamidine 1 (sole amidine curative); N990 carbon black 25; Fluorogard PCA 1.5</t>
        </is>
      </c>
      <c r="Z142" s="8" t="n"/>
      <c r="AA142" s="8" t="n">
        <v>6.63</v>
      </c>
      <c r="AB142" s="8" t="n">
        <v>328</v>
      </c>
      <c r="AC142" s="8" t="n">
        <v>1.86</v>
      </c>
      <c r="AD142" s="8" t="n">
        <v>63</v>
      </c>
      <c r="AE142" s="8" t="inlineStr">
        <is>
          <t>204C x 70h (deflection not stated)</t>
        </is>
      </c>
      <c r="AF142" s="8" t="n"/>
      <c r="AG142" s="8" t="n"/>
      <c r="AH142" s="8" t="inlineStr">
        <is>
          <t>MPa (psi also given)</t>
        </is>
      </c>
      <c r="AI142" s="8" t="inlineStr">
        <is>
          <t>Table 5; CB 25 / Fluorogard 1.5 stated in text. Post cure 8h/288C/N2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3">
      <c r="A143" s="8" t="inlineStr">
        <is>
          <t>US7247749B2</t>
        </is>
      </c>
      <c r="B143" s="8" t="inlineStr">
        <is>
          <t>patent</t>
        </is>
      </c>
      <c r="C143" s="8" t="inlineStr">
        <is>
          <t>Federal State Unitary Enterprise S V Lebedev Institute of Synthetic Rubber; Greene Tweed of Delaware Inc</t>
        </is>
      </c>
      <c r="D143" s="8" t="inlineStr">
        <is>
          <t>Bisaminophenyl-based curatives and amidine-based curatives and cure accelerators for perfluoroelastomeric compositions</t>
        </is>
      </c>
      <c r="E143" s="8" t="inlineStr">
        <is>
          <t>https://patents.google.com/patent/US7247749B2/en</t>
        </is>
      </c>
      <c r="F143" s="8" t="inlineStr">
        <is>
          <t>Sample 18</t>
        </is>
      </c>
      <c r="G143" s="8" t="inlineStr">
        <is>
          <t>FFKM</t>
        </is>
      </c>
      <c r="H143" s="8" t="inlineStr">
        <is>
          <t>TFE/PMVE/2 cyano CSM tetrapolymer, Polymer A (redox, ML 45)</t>
        </is>
      </c>
      <c r="I143" s="8" t="inlineStr">
        <is>
          <t>nitrile_other</t>
        </is>
      </c>
      <c r="J143" s="8" t="n">
        <v>100</v>
      </c>
      <c r="K143" s="8" t="n">
        <v>25</v>
      </c>
      <c r="L143" s="8" t="n">
        <v>0</v>
      </c>
      <c r="M143" s="8" t="n">
        <v>0</v>
      </c>
      <c r="N143" s="8" t="n">
        <v>0</v>
      </c>
      <c r="O143" s="8" t="n">
        <v>0</v>
      </c>
      <c r="P143" s="8" t="n">
        <v>0</v>
      </c>
      <c r="Q143" s="8" t="n">
        <v>0</v>
      </c>
      <c r="R143" s="8" t="n">
        <v>0</v>
      </c>
      <c r="S143" s="8" t="n">
        <v>0</v>
      </c>
      <c r="T143" s="8" t="n">
        <v>0</v>
      </c>
      <c r="U143" s="8" t="n">
        <v>2</v>
      </c>
      <c r="V143" s="8" t="n">
        <v>0</v>
      </c>
      <c r="W143" s="8" t="n">
        <v>0</v>
      </c>
      <c r="X143" s="8" t="n">
        <v>1.5</v>
      </c>
      <c r="Y143" s="8" t="inlineStr">
        <is>
          <t>perfluorooctanamidine 2 (sole amidine curative); N990 carbon black 25; Fluorogard PCA 1.5</t>
        </is>
      </c>
      <c r="Z143" s="8" t="n"/>
      <c r="AA143" s="8" t="n">
        <v>8.890000000000001</v>
      </c>
      <c r="AB143" s="8" t="n">
        <v>212</v>
      </c>
      <c r="AC143" s="8" t="n">
        <v>2.61</v>
      </c>
      <c r="AD143" s="8" t="n">
        <v>40</v>
      </c>
      <c r="AE143" s="8" t="inlineStr">
        <is>
          <t>204C x 70h (deflection not stated)</t>
        </is>
      </c>
      <c r="AF143" s="8" t="n"/>
      <c r="AG143" s="8" t="n"/>
      <c r="AH143" s="8" t="inlineStr">
        <is>
          <t>MPa (psi also given)</t>
        </is>
      </c>
      <c r="AI143" s="8" t="inlineStr">
        <is>
          <t>Table 5; CB 25 / Fluorogard 1.5 stated in text. Post cure 8h/288C/N2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4">
      <c r="A144" s="8" t="inlineStr">
        <is>
          <t>US7247749B2</t>
        </is>
      </c>
      <c r="B144" s="8" t="inlineStr">
        <is>
          <t>patent</t>
        </is>
      </c>
      <c r="C144" s="8" t="inlineStr">
        <is>
          <t>Federal State Unitary Enterprise S V Lebedev Institute of Synthetic Rubber; Greene Tweed of Delaware Inc</t>
        </is>
      </c>
      <c r="D144" s="8" t="inlineStr">
        <is>
          <t>Bisaminophenyl-based curatives and amidine-based curatives and cure accelerators for perfluoroelastomeric compositions</t>
        </is>
      </c>
      <c r="E144" s="8" t="inlineStr">
        <is>
          <t>https://patents.google.com/patent/US7247749B2/en</t>
        </is>
      </c>
      <c r="F144" s="8" t="inlineStr">
        <is>
          <t>Sample 19</t>
        </is>
      </c>
      <c r="G144" s="8" t="inlineStr">
        <is>
          <t>FFKM</t>
        </is>
      </c>
      <c r="H144" s="8" t="inlineStr">
        <is>
          <t>TFE/PMVE/2 cyano CSM tetrapolymer, Polymer A (redox, ML 45)</t>
        </is>
      </c>
      <c r="I144" s="8" t="inlineStr">
        <is>
          <t>nitrile_other</t>
        </is>
      </c>
      <c r="J144" s="8" t="n">
        <v>100</v>
      </c>
      <c r="K144" s="8" t="n">
        <v>25</v>
      </c>
      <c r="L144" s="8" t="n">
        <v>0</v>
      </c>
      <c r="M144" s="8" t="n">
        <v>0</v>
      </c>
      <c r="N144" s="8" t="n">
        <v>0</v>
      </c>
      <c r="O144" s="8" t="n">
        <v>0</v>
      </c>
      <c r="P144" s="8" t="n">
        <v>0</v>
      </c>
      <c r="Q144" s="8" t="n">
        <v>0</v>
      </c>
      <c r="R144" s="8" t="n">
        <v>0</v>
      </c>
      <c r="S144" s="8" t="n">
        <v>0</v>
      </c>
      <c r="T144" s="8" t="n">
        <v>0</v>
      </c>
      <c r="U144" s="8" t="n">
        <v>3</v>
      </c>
      <c r="V144" s="8" t="n">
        <v>0</v>
      </c>
      <c r="W144" s="8" t="n">
        <v>0</v>
      </c>
      <c r="X144" s="8" t="n">
        <v>1.5</v>
      </c>
      <c r="Y144" s="8" t="inlineStr">
        <is>
          <t>perfluorooctanamidine 3 (sole amidine curative); N990 carbon black 25; Fluorogard PCA 1.5</t>
        </is>
      </c>
      <c r="Z144" s="8" t="n"/>
      <c r="AA144" s="8" t="n">
        <v>10.49</v>
      </c>
      <c r="AB144" s="8" t="n">
        <v>167</v>
      </c>
      <c r="AC144" s="8" t="n">
        <v>4.12</v>
      </c>
      <c r="AD144" s="8" t="n">
        <v>24</v>
      </c>
      <c r="AE144" s="8" t="inlineStr">
        <is>
          <t>204C x 70h (deflection not stated)</t>
        </is>
      </c>
      <c r="AF144" s="8" t="n"/>
      <c r="AG144" s="8" t="n"/>
      <c r="AH144" s="8" t="inlineStr">
        <is>
          <t>MPa (psi also given)</t>
        </is>
      </c>
      <c r="AI144" s="8" t="inlineStr">
        <is>
          <t>Table 5; CB 25 / Fluorogard 1.5 stated in text. Post cure 8h/288C/N2 (G = stepped to 260C x 18 h).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5">
      <c r="A145" s="8" t="inlineStr">
        <is>
          <t>US7247749B2</t>
        </is>
      </c>
      <c r="B145" s="8" t="inlineStr">
        <is>
          <t>patent</t>
        </is>
      </c>
      <c r="C145" s="8" t="inlineStr">
        <is>
          <t>Federal State Unitary Enterprise S V Lebedev Institute of Synthetic Rubber; Greene Tweed of Delaware Inc</t>
        </is>
      </c>
      <c r="D145" s="8" t="inlineStr">
        <is>
          <t>Bisaminophenyl-based curatives and amidine-based curatives and cure accelerators for perfluoroelastomeric compositions</t>
        </is>
      </c>
      <c r="E145" s="8" t="inlineStr">
        <is>
          <t>https://patents.google.com/patent/US7247749B2/en</t>
        </is>
      </c>
      <c r="F145" s="8" t="inlineStr">
        <is>
          <t>Comparative Sample 20</t>
        </is>
      </c>
      <c r="G145" s="8" t="inlineStr">
        <is>
          <t>FFKM</t>
        </is>
      </c>
      <c r="H145" s="8" t="inlineStr">
        <is>
          <t>TFE/PMVE/2 cyano CSM tetrapolymer, Polymer A (redox, ML 45)</t>
        </is>
      </c>
      <c r="I145" s="8" t="inlineStr">
        <is>
          <t>nitrile_bisaminophenol</t>
        </is>
      </c>
      <c r="J145" s="8" t="n">
        <v>100</v>
      </c>
      <c r="K145" s="8" t="n">
        <v>25</v>
      </c>
      <c r="L145" s="8" t="n">
        <v>0</v>
      </c>
      <c r="M145" s="8" t="n">
        <v>0</v>
      </c>
      <c r="N145" s="8" t="n">
        <v>0</v>
      </c>
      <c r="O145" s="8" t="n">
        <v>0</v>
      </c>
      <c r="P145" s="8" t="n">
        <v>0</v>
      </c>
      <c r="Q145" s="8" t="n">
        <v>0</v>
      </c>
      <c r="R145" s="8" t="n">
        <v>0</v>
      </c>
      <c r="S145" s="8" t="n">
        <v>0</v>
      </c>
      <c r="T145" s="8" t="n">
        <v>0</v>
      </c>
      <c r="U145" s="8" t="n">
        <v>1</v>
      </c>
      <c r="V145" s="8" t="n">
        <v>0</v>
      </c>
      <c r="W145" s="8" t="n">
        <v>0</v>
      </c>
      <c r="X145" s="8" t="n">
        <v>1.5</v>
      </c>
      <c r="Y145" s="8" t="inlineStr">
        <is>
          <t>BOAP 1; N990 carbon black 25; Fluorogard PCA 1.5</t>
        </is>
      </c>
      <c r="Z145" s="8" t="n"/>
      <c r="AA145" s="8" t="n">
        <v>14.29</v>
      </c>
      <c r="AB145" s="8" t="n">
        <v>136</v>
      </c>
      <c r="AC145" s="8" t="n">
        <v>8.130000000000001</v>
      </c>
      <c r="AD145" s="8" t="n">
        <v>21</v>
      </c>
      <c r="AE145" s="8" t="inlineStr">
        <is>
          <t>230C x 70h</t>
        </is>
      </c>
      <c r="AF145" s="8" t="n"/>
      <c r="AG145" s="8" t="n"/>
      <c r="AH145" s="8" t="inlineStr">
        <is>
          <t>MPa (psi also given)</t>
        </is>
      </c>
      <c r="AI145"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6">
      <c r="A146" s="8" t="inlineStr">
        <is>
          <t>US7247749B2</t>
        </is>
      </c>
      <c r="B146" s="8" t="inlineStr">
        <is>
          <t>patent</t>
        </is>
      </c>
      <c r="C146" s="8" t="inlineStr">
        <is>
          <t>Federal State Unitary Enterprise S V Lebedev Institute of Synthetic Rubber; Greene Tweed of Delaware Inc</t>
        </is>
      </c>
      <c r="D146" s="8" t="inlineStr">
        <is>
          <t>Bisaminophenyl-based curatives and amidine-based curatives and cure accelerators for perfluoroelastomeric compositions</t>
        </is>
      </c>
      <c r="E146" s="8" t="inlineStr">
        <is>
          <t>https://patents.google.com/patent/US7247749B2/en</t>
        </is>
      </c>
      <c r="F146" s="8" t="inlineStr">
        <is>
          <t>Sample 21</t>
        </is>
      </c>
      <c r="G146" s="8" t="inlineStr">
        <is>
          <t>FFKM</t>
        </is>
      </c>
      <c r="H146" s="8" t="inlineStr">
        <is>
          <t>TFE/PMVE/2 cyano CSM tetrapolymer, Polymer A (redox, ML 45)</t>
        </is>
      </c>
      <c r="I146" s="8" t="inlineStr">
        <is>
          <t>nitrile_bisaminophenol</t>
        </is>
      </c>
      <c r="J146" s="8" t="n">
        <v>100</v>
      </c>
      <c r="K146" s="8" t="n">
        <v>25</v>
      </c>
      <c r="L146" s="8" t="n">
        <v>0</v>
      </c>
      <c r="M146" s="8" t="n">
        <v>0</v>
      </c>
      <c r="N146" s="8" t="n">
        <v>0</v>
      </c>
      <c r="O146" s="8" t="n">
        <v>0</v>
      </c>
      <c r="P146" s="8" t="n">
        <v>0</v>
      </c>
      <c r="Q146" s="8" t="n">
        <v>0</v>
      </c>
      <c r="R146" s="8" t="n">
        <v>0</v>
      </c>
      <c r="S146" s="8" t="n">
        <v>0</v>
      </c>
      <c r="T146" s="8" t="n">
        <v>0</v>
      </c>
      <c r="U146" s="8" t="n">
        <v>0.5</v>
      </c>
      <c r="V146" s="8" t="n">
        <v>0.5</v>
      </c>
      <c r="W146" s="8" t="n">
        <v>0</v>
      </c>
      <c r="X146" s="8" t="n">
        <v>1.5</v>
      </c>
      <c r="Y146" s="8" t="inlineStr">
        <is>
          <t>BOAP 0.5; perfluorosuberamidine 0.5 (accelerator, in other_curative); N990 carbon black 25; Fluorogard PCA 1.5</t>
        </is>
      </c>
      <c r="Z146" s="8" t="n"/>
      <c r="AA146" s="8" t="n">
        <v>9.33</v>
      </c>
      <c r="AB146" s="8" t="n">
        <v>243</v>
      </c>
      <c r="AC146" s="8" t="n">
        <v>2.4</v>
      </c>
      <c r="AD146" s="8" t="n">
        <v>31</v>
      </c>
      <c r="AE146" s="8" t="inlineStr">
        <is>
          <t>230C x 70h</t>
        </is>
      </c>
      <c r="AF146" s="8" t="n"/>
      <c r="AG146" s="8" t="n"/>
      <c r="AH146" s="8" t="inlineStr">
        <is>
          <t>MPa (psi also given)</t>
        </is>
      </c>
      <c r="AI146"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7">
      <c r="A147" s="8" t="inlineStr">
        <is>
          <t>US7247749B2</t>
        </is>
      </c>
      <c r="B147" s="8" t="inlineStr">
        <is>
          <t>patent</t>
        </is>
      </c>
      <c r="C147" s="8" t="inlineStr">
        <is>
          <t>Federal State Unitary Enterprise S V Lebedev Institute of Synthetic Rubber; Greene Tweed of Delaware Inc</t>
        </is>
      </c>
      <c r="D147" s="8" t="inlineStr">
        <is>
          <t>Bisaminophenyl-based curatives and amidine-based curatives and cure accelerators for perfluoroelastomeric compositions</t>
        </is>
      </c>
      <c r="E147" s="8" t="inlineStr">
        <is>
          <t>https://patents.google.com/patent/US7247749B2/en</t>
        </is>
      </c>
      <c r="F147" s="8" t="inlineStr">
        <is>
          <t>Sample 22</t>
        </is>
      </c>
      <c r="G147" s="8" t="inlineStr">
        <is>
          <t>FFKM</t>
        </is>
      </c>
      <c r="H147" s="8" t="inlineStr">
        <is>
          <t>TFE/PMVE/2 cyano CSM tetrapolymer, Polymer A (redox, ML 45)</t>
        </is>
      </c>
      <c r="I147" s="8" t="inlineStr">
        <is>
          <t>nitrile_bisaminophenol</t>
        </is>
      </c>
      <c r="J147" s="8" t="n">
        <v>100</v>
      </c>
      <c r="K147" s="8" t="n">
        <v>25</v>
      </c>
      <c r="L147" s="8" t="n">
        <v>0</v>
      </c>
      <c r="M147" s="8" t="n">
        <v>0</v>
      </c>
      <c r="N147" s="8" t="n">
        <v>0</v>
      </c>
      <c r="O147" s="8" t="n">
        <v>0</v>
      </c>
      <c r="P147" s="8" t="n">
        <v>0</v>
      </c>
      <c r="Q147" s="8" t="n">
        <v>0</v>
      </c>
      <c r="R147" s="8" t="n">
        <v>0</v>
      </c>
      <c r="S147" s="8" t="n">
        <v>0</v>
      </c>
      <c r="T147" s="8" t="n">
        <v>0</v>
      </c>
      <c r="U147" s="8" t="n">
        <v>1</v>
      </c>
      <c r="V147" s="8" t="n">
        <v>0.5</v>
      </c>
      <c r="W147" s="8" t="n">
        <v>0</v>
      </c>
      <c r="X147" s="8" t="n">
        <v>1.5</v>
      </c>
      <c r="Y147" s="8" t="inlineStr">
        <is>
          <t>BOAP 1; perfluorosuberamidine 0.5 (accelerator, in other_curative); N990 carbon black 25; Fluorogard PCA 1.5</t>
        </is>
      </c>
      <c r="Z147" s="8" t="n"/>
      <c r="AA147" s="8" t="n">
        <v>13.62</v>
      </c>
      <c r="AB147" s="8" t="n">
        <v>135</v>
      </c>
      <c r="AC147" s="8" t="n">
        <v>8.35</v>
      </c>
      <c r="AD147" s="8" t="n">
        <v>17</v>
      </c>
      <c r="AE147" s="8" t="inlineStr">
        <is>
          <t>230C x 70h</t>
        </is>
      </c>
      <c r="AF147" s="8" t="n"/>
      <c r="AG147" s="8" t="n"/>
      <c r="AH147" s="8" t="inlineStr">
        <is>
          <t>MPa (psi also given)</t>
        </is>
      </c>
      <c r="AI147"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8">
      <c r="A148" s="8" t="inlineStr">
        <is>
          <t>US7247749B2</t>
        </is>
      </c>
      <c r="B148" s="8" t="inlineStr">
        <is>
          <t>patent</t>
        </is>
      </c>
      <c r="C148" s="8" t="inlineStr">
        <is>
          <t>Federal State Unitary Enterprise S V Lebedev Institute of Synthetic Rubber; Greene Tweed of Delaware Inc</t>
        </is>
      </c>
      <c r="D148" s="8" t="inlineStr">
        <is>
          <t>Bisaminophenyl-based curatives and amidine-based curatives and cure accelerators for perfluoroelastomeric compositions</t>
        </is>
      </c>
      <c r="E148" s="8" t="inlineStr">
        <is>
          <t>https://patents.google.com/patent/US7247749B2/en</t>
        </is>
      </c>
      <c r="F148" s="8" t="inlineStr">
        <is>
          <t>Sample 23</t>
        </is>
      </c>
      <c r="G148" s="8" t="inlineStr">
        <is>
          <t>FFKM</t>
        </is>
      </c>
      <c r="H148" s="8" t="inlineStr">
        <is>
          <t>TFE/PMVE/2 cyano CSM tetrapolymer, Polymer A (redox, ML 45)</t>
        </is>
      </c>
      <c r="I148" s="8" t="inlineStr">
        <is>
          <t>nitrile_bisaminophenol</t>
        </is>
      </c>
      <c r="J148" s="8" t="n">
        <v>100</v>
      </c>
      <c r="K148" s="8" t="n">
        <v>25</v>
      </c>
      <c r="L148" s="8" t="n">
        <v>0</v>
      </c>
      <c r="M148" s="8" t="n">
        <v>0</v>
      </c>
      <c r="N148" s="8" t="n">
        <v>0</v>
      </c>
      <c r="O148" s="8" t="n">
        <v>0</v>
      </c>
      <c r="P148" s="8" t="n">
        <v>0</v>
      </c>
      <c r="Q148" s="8" t="n">
        <v>0</v>
      </c>
      <c r="R148" s="8" t="n">
        <v>0</v>
      </c>
      <c r="S148" s="8" t="n">
        <v>0</v>
      </c>
      <c r="T148" s="8" t="n">
        <v>0</v>
      </c>
      <c r="U148" s="8" t="n">
        <v>1</v>
      </c>
      <c r="V148" s="8" t="n">
        <v>0.25</v>
      </c>
      <c r="W148" s="8" t="n">
        <v>0</v>
      </c>
      <c r="X148" s="8" t="n">
        <v>1.5</v>
      </c>
      <c r="Y148" s="8" t="inlineStr">
        <is>
          <t>BOAP 1; perfluorosebacamidine 0.25 (accelerator, in other_curative); N990 carbon black 25; Fluorogard PCA 1.5</t>
        </is>
      </c>
      <c r="Z148" s="8" t="n"/>
      <c r="AA148" s="8" t="n">
        <v>11.44</v>
      </c>
      <c r="AB148" s="8" t="n">
        <v>190</v>
      </c>
      <c r="AC148" s="8" t="n">
        <v>3.46</v>
      </c>
      <c r="AD148" s="8" t="n">
        <v>31</v>
      </c>
      <c r="AE148" s="8" t="inlineStr">
        <is>
          <t>230C x 70h</t>
        </is>
      </c>
      <c r="AF148" s="8" t="n"/>
      <c r="AG148" s="8" t="n"/>
      <c r="AH148" s="8" t="inlineStr">
        <is>
          <t>MPa (psi also given)</t>
        </is>
      </c>
      <c r="AI148"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49">
      <c r="A149" s="8" t="inlineStr">
        <is>
          <t>US7247749B2</t>
        </is>
      </c>
      <c r="B149" s="8" t="inlineStr">
        <is>
          <t>patent</t>
        </is>
      </c>
      <c r="C149" s="8" t="inlineStr">
        <is>
          <t>Federal State Unitary Enterprise S V Lebedev Institute of Synthetic Rubber; Greene Tweed of Delaware Inc</t>
        </is>
      </c>
      <c r="D149" s="8" t="inlineStr">
        <is>
          <t>Bisaminophenyl-based curatives and amidine-based curatives and cure accelerators for perfluoroelastomeric compositions</t>
        </is>
      </c>
      <c r="E149" s="8" t="inlineStr">
        <is>
          <t>https://patents.google.com/patent/US7247749B2/en</t>
        </is>
      </c>
      <c r="F149" s="8" t="inlineStr">
        <is>
          <t>Sample 24</t>
        </is>
      </c>
      <c r="G149" s="8" t="inlineStr">
        <is>
          <t>FFKM</t>
        </is>
      </c>
      <c r="H149" s="8" t="inlineStr">
        <is>
          <t>TFE/PMVE/2 cyano CSM tetrapolymer, Polymer A (redox, ML 45)</t>
        </is>
      </c>
      <c r="I149" s="8" t="inlineStr">
        <is>
          <t>nitrile_bisaminophenol</t>
        </is>
      </c>
      <c r="J149" s="8" t="n">
        <v>100</v>
      </c>
      <c r="K149" s="8" t="n">
        <v>25</v>
      </c>
      <c r="L149" s="8" t="n">
        <v>0</v>
      </c>
      <c r="M149" s="8" t="n">
        <v>0</v>
      </c>
      <c r="N149" s="8" t="n">
        <v>0</v>
      </c>
      <c r="O149" s="8" t="n">
        <v>0</v>
      </c>
      <c r="P149" s="8" t="n">
        <v>0</v>
      </c>
      <c r="Q149" s="8" t="n">
        <v>0</v>
      </c>
      <c r="R149" s="8" t="n">
        <v>0</v>
      </c>
      <c r="S149" s="8" t="n">
        <v>0</v>
      </c>
      <c r="T149" s="8" t="n">
        <v>0</v>
      </c>
      <c r="U149" s="8" t="n">
        <v>1</v>
      </c>
      <c r="V149" s="8" t="n">
        <v>0.75</v>
      </c>
      <c r="W149" s="8" t="n">
        <v>0</v>
      </c>
      <c r="X149" s="8" t="n">
        <v>1.5</v>
      </c>
      <c r="Y149" s="8" t="inlineStr">
        <is>
          <t>BOAP 1; perfluorosebacamidine 0.75 (accelerator, in other_curative); N990 carbon black 25; Fluorogard PCA 1.5</t>
        </is>
      </c>
      <c r="Z149" s="8" t="n"/>
      <c r="AA149" s="8" t="n">
        <v>9.529999999999999</v>
      </c>
      <c r="AB149" s="8" t="n">
        <v>138</v>
      </c>
      <c r="AC149" s="8" t="n">
        <v>5.17</v>
      </c>
      <c r="AD149" s="8" t="n">
        <v>20</v>
      </c>
      <c r="AE149" s="8" t="inlineStr">
        <is>
          <t>230C x 70h</t>
        </is>
      </c>
      <c r="AF149" s="8" t="n"/>
      <c r="AG149" s="8" t="n"/>
      <c r="AH149" s="8" t="inlineStr">
        <is>
          <t>MPa (psi also given)</t>
        </is>
      </c>
      <c r="AI149"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0">
      <c r="A150" s="8" t="inlineStr">
        <is>
          <t>US7247749B2</t>
        </is>
      </c>
      <c r="B150" s="8" t="inlineStr">
        <is>
          <t>patent</t>
        </is>
      </c>
      <c r="C150" s="8" t="inlineStr">
        <is>
          <t>Federal State Unitary Enterprise S V Lebedev Institute of Synthetic Rubber; Greene Tweed of Delaware Inc</t>
        </is>
      </c>
      <c r="D150" s="8" t="inlineStr">
        <is>
          <t>Bisaminophenyl-based curatives and amidine-based curatives and cure accelerators for perfluoroelastomeric compositions</t>
        </is>
      </c>
      <c r="E150" s="8" t="inlineStr">
        <is>
          <t>https://patents.google.com/patent/US7247749B2/en</t>
        </is>
      </c>
      <c r="F150" s="8" t="inlineStr">
        <is>
          <t>Sample 25</t>
        </is>
      </c>
      <c r="G150" s="8" t="inlineStr">
        <is>
          <t>FFKM</t>
        </is>
      </c>
      <c r="H150" s="8" t="inlineStr">
        <is>
          <t>TFE/PMVE/2 cyano CSM tetrapolymer, Polymer A (redox, ML 45)</t>
        </is>
      </c>
      <c r="I150" s="8" t="inlineStr">
        <is>
          <t>nitrile_bisaminophenol</t>
        </is>
      </c>
      <c r="J150" s="8" t="n">
        <v>100</v>
      </c>
      <c r="K150" s="8" t="n">
        <v>25</v>
      </c>
      <c r="L150" s="8" t="n">
        <v>0</v>
      </c>
      <c r="M150" s="8" t="n">
        <v>0</v>
      </c>
      <c r="N150" s="8" t="n">
        <v>0</v>
      </c>
      <c r="O150" s="8" t="n">
        <v>0</v>
      </c>
      <c r="P150" s="8" t="n">
        <v>0</v>
      </c>
      <c r="Q150" s="8" t="n">
        <v>0</v>
      </c>
      <c r="R150" s="8" t="n">
        <v>0</v>
      </c>
      <c r="S150" s="8" t="n">
        <v>0</v>
      </c>
      <c r="T150" s="8" t="n">
        <v>0</v>
      </c>
      <c r="U150" s="8" t="n">
        <v>1</v>
      </c>
      <c r="V150" s="8" t="n">
        <v>1</v>
      </c>
      <c r="W150" s="8" t="n">
        <v>0</v>
      </c>
      <c r="X150" s="8" t="n">
        <v>1.5</v>
      </c>
      <c r="Y150" s="8" t="inlineStr">
        <is>
          <t>BOAP 1; perfluorooctanamidine 1 (accelerator, in other_curative); N990 carbon black 25; Fluorogard PCA 1.5</t>
        </is>
      </c>
      <c r="Z150" s="8" t="n"/>
      <c r="AA150" s="8" t="n">
        <v>12.95</v>
      </c>
      <c r="AB150" s="8" t="n">
        <v>195</v>
      </c>
      <c r="AC150" s="8" t="n">
        <v>4.06</v>
      </c>
      <c r="AD150" s="8" t="n">
        <v>27</v>
      </c>
      <c r="AE150" s="8" t="inlineStr">
        <is>
          <t>204C x 70h, 25% deflection</t>
        </is>
      </c>
      <c r="AF150" s="8" t="n"/>
      <c r="AG150" s="8" t="n"/>
      <c r="AH150" s="8" t="inlineStr">
        <is>
          <t>MPa (psi also given)</t>
        </is>
      </c>
      <c r="AI150"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1">
      <c r="A151" s="8" t="inlineStr">
        <is>
          <t>US7247749B2</t>
        </is>
      </c>
      <c r="B151" s="8" t="inlineStr">
        <is>
          <t>patent</t>
        </is>
      </c>
      <c r="C151" s="8" t="inlineStr">
        <is>
          <t>Federal State Unitary Enterprise S V Lebedev Institute of Synthetic Rubber; Greene Tweed of Delaware Inc</t>
        </is>
      </c>
      <c r="D151" s="8" t="inlineStr">
        <is>
          <t>Bisaminophenyl-based curatives and amidine-based curatives and cure accelerators for perfluoroelastomeric compositions</t>
        </is>
      </c>
      <c r="E151" s="8" t="inlineStr">
        <is>
          <t>https://patents.google.com/patent/US7247749B2/en</t>
        </is>
      </c>
      <c r="F151" s="8" t="inlineStr">
        <is>
          <t>Sample 26</t>
        </is>
      </c>
      <c r="G151" s="8" t="inlineStr">
        <is>
          <t>FFKM</t>
        </is>
      </c>
      <c r="H151" s="8" t="inlineStr">
        <is>
          <t>TFE/PMVE/2 cyano CSM tetrapolymer, Polymer B (non-redox, ML 65)</t>
        </is>
      </c>
      <c r="I151" s="8" t="inlineStr">
        <is>
          <t>nitrile_bisaminophenol</t>
        </is>
      </c>
      <c r="J151" s="8" t="n">
        <v>100</v>
      </c>
      <c r="K151" s="8" t="n">
        <v>25</v>
      </c>
      <c r="L151" s="8" t="n">
        <v>0</v>
      </c>
      <c r="M151" s="8" t="n">
        <v>0</v>
      </c>
      <c r="N151" s="8" t="n">
        <v>0</v>
      </c>
      <c r="O151" s="8" t="n">
        <v>0</v>
      </c>
      <c r="P151" s="8" t="n">
        <v>0</v>
      </c>
      <c r="Q151" s="8" t="n">
        <v>0</v>
      </c>
      <c r="R151" s="8" t="n">
        <v>0</v>
      </c>
      <c r="S151" s="8" t="n">
        <v>0</v>
      </c>
      <c r="T151" s="8" t="n">
        <v>0</v>
      </c>
      <c r="U151" s="8" t="n">
        <v>1</v>
      </c>
      <c r="V151" s="8" t="n">
        <v>1</v>
      </c>
      <c r="W151" s="8" t="n">
        <v>0</v>
      </c>
      <c r="X151" s="8" t="n">
        <v>1.5</v>
      </c>
      <c r="Y151" s="8" t="inlineStr">
        <is>
          <t>BOAP 1; perfluorooctanamidine 1 (accelerator, in other_curative); N990 carbon black 25; Fluorogard PCA 1.5</t>
        </is>
      </c>
      <c r="Z151" s="8" t="n"/>
      <c r="AA151" s="8" t="n">
        <v>11.51</v>
      </c>
      <c r="AB151" s="8" t="n">
        <v>143</v>
      </c>
      <c r="AC151" s="8" t="n">
        <v>5.52</v>
      </c>
      <c r="AD151" s="8" t="n">
        <v>9</v>
      </c>
      <c r="AE151" s="8" t="inlineStr">
        <is>
          <t>204C x 70h, 25% deflection</t>
        </is>
      </c>
      <c r="AF151" s="8" t="n"/>
      <c r="AG151" s="8" t="n"/>
      <c r="AH151" s="8" t="inlineStr">
        <is>
          <t>MPa (psi also given)</t>
        </is>
      </c>
      <c r="AI151" s="8" t="inlineStr">
        <is>
          <t>Tables 6/7.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2">
      <c r="A152" s="8" t="inlineStr">
        <is>
          <t>US7247749B2</t>
        </is>
      </c>
      <c r="B152" s="8" t="inlineStr">
        <is>
          <t>patent</t>
        </is>
      </c>
      <c r="C152" s="8" t="inlineStr">
        <is>
          <t>Federal State Unitary Enterprise S V Lebedev Institute of Synthetic Rubber; Greene Tweed of Delaware Inc</t>
        </is>
      </c>
      <c r="D152" s="8" t="inlineStr">
        <is>
          <t>Bisaminophenyl-based curatives and amidine-based curatives and cure accelerators for perfluoroelastomeric compositions</t>
        </is>
      </c>
      <c r="E152" s="8" t="inlineStr">
        <is>
          <t>https://patents.google.com/patent/US7247749B2/en</t>
        </is>
      </c>
      <c r="F152" s="8" t="inlineStr">
        <is>
          <t>Sample 27</t>
        </is>
      </c>
      <c r="G152" s="8" t="inlineStr">
        <is>
          <t>FFKM</t>
        </is>
      </c>
      <c r="H152" s="8" t="inlineStr">
        <is>
          <t>TFE/PMVE/2 cyano CSM tetrapolymer, Polymer A (redox, ML 45)</t>
        </is>
      </c>
      <c r="I152" s="8" t="inlineStr">
        <is>
          <t>nitrile_bisaminophenol</t>
        </is>
      </c>
      <c r="J152" s="8" t="n">
        <v>100</v>
      </c>
      <c r="K152" s="8" t="n">
        <v>25</v>
      </c>
      <c r="L152" s="8" t="n">
        <v>0</v>
      </c>
      <c r="M152" s="8" t="n">
        <v>0</v>
      </c>
      <c r="N152" s="8" t="n">
        <v>0</v>
      </c>
      <c r="O152" s="8" t="n">
        <v>0</v>
      </c>
      <c r="P152" s="8" t="n">
        <v>0</v>
      </c>
      <c r="Q152" s="8" t="n">
        <v>0</v>
      </c>
      <c r="R152" s="8" t="n">
        <v>0</v>
      </c>
      <c r="S152" s="8" t="n">
        <v>0</v>
      </c>
      <c r="T152" s="8" t="n">
        <v>0</v>
      </c>
      <c r="U152" s="8" t="n">
        <v>1.5</v>
      </c>
      <c r="V152" s="8" t="n">
        <v>1.25</v>
      </c>
      <c r="W152" s="8" t="n">
        <v>0</v>
      </c>
      <c r="X152" s="8" t="n"/>
      <c r="Y152" s="8" t="inlineStr">
        <is>
          <t>BOAP 1.5; perfluorooctanamidine 1.25 (accelerator, in other_curative); N990 carbon black 25</t>
        </is>
      </c>
      <c r="Z152" s="8" t="n"/>
      <c r="AA152" s="8" t="n">
        <v>14.88</v>
      </c>
      <c r="AB152" s="8" t="n">
        <v>169</v>
      </c>
      <c r="AC152" s="8" t="n">
        <v>6.43</v>
      </c>
      <c r="AD152" s="8" t="n">
        <v>17</v>
      </c>
      <c r="AE152" s="8" t="inlineStr">
        <is>
          <t>204C x 70h, 25% deflection</t>
        </is>
      </c>
      <c r="AF152" s="8" t="n"/>
      <c r="AG152" s="8" t="n"/>
      <c r="AH152" s="8" t="inlineStr">
        <is>
          <t>MPa (psi also given)</t>
        </is>
      </c>
      <c r="AI152" s="8" t="inlineStr">
        <is>
          <t>Tables 6/7. Fluorogard PCA left blank: Table 6 lists 1.5 phr only for Samples 20-26 but text says all of Samples 20-30 contain 1.5 phr.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3">
      <c r="A153" s="8" t="inlineStr">
        <is>
          <t>US7247749B2</t>
        </is>
      </c>
      <c r="B153" s="8" t="inlineStr">
        <is>
          <t>patent</t>
        </is>
      </c>
      <c r="C153" s="8" t="inlineStr">
        <is>
          <t>Federal State Unitary Enterprise S V Lebedev Institute of Synthetic Rubber; Greene Tweed of Delaware Inc</t>
        </is>
      </c>
      <c r="D153" s="8" t="inlineStr">
        <is>
          <t>Bisaminophenyl-based curatives and amidine-based curatives and cure accelerators for perfluoroelastomeric compositions</t>
        </is>
      </c>
      <c r="E153" s="8" t="inlineStr">
        <is>
          <t>https://patents.google.com/patent/US7247749B2/en</t>
        </is>
      </c>
      <c r="F153" s="8" t="inlineStr">
        <is>
          <t>Sample 28</t>
        </is>
      </c>
      <c r="G153" s="8" t="inlineStr">
        <is>
          <t>FFKM</t>
        </is>
      </c>
      <c r="H153" s="8" t="inlineStr">
        <is>
          <t>TFE/PMVE/2 cyano CSM tetrapolymer, Polymer A (redox, ML 45)</t>
        </is>
      </c>
      <c r="I153" s="8" t="inlineStr">
        <is>
          <t>nitrile_bisaminophenol</t>
        </is>
      </c>
      <c r="J153" s="8" t="n">
        <v>100</v>
      </c>
      <c r="K153" s="8" t="n">
        <v>25</v>
      </c>
      <c r="L153" s="8" t="n">
        <v>0</v>
      </c>
      <c r="M153" s="8" t="n">
        <v>0</v>
      </c>
      <c r="N153" s="8" t="n">
        <v>0</v>
      </c>
      <c r="O153" s="8" t="n">
        <v>0</v>
      </c>
      <c r="P153" s="8" t="n">
        <v>0</v>
      </c>
      <c r="Q153" s="8" t="n">
        <v>0</v>
      </c>
      <c r="R153" s="8" t="n">
        <v>0</v>
      </c>
      <c r="S153" s="8" t="n">
        <v>0</v>
      </c>
      <c r="T153" s="8" t="n">
        <v>0</v>
      </c>
      <c r="U153" s="8" t="n">
        <v>2</v>
      </c>
      <c r="V153" s="8" t="n">
        <v>1.25</v>
      </c>
      <c r="W153" s="8" t="n">
        <v>0</v>
      </c>
      <c r="X153" s="8" t="n"/>
      <c r="Y153" s="8" t="inlineStr">
        <is>
          <t>BOAP 2; perfluorooctanamidine 1.25 (accelerator, in other_curative); N990 carbon black 25</t>
        </is>
      </c>
      <c r="Z153" s="8" t="n"/>
      <c r="AA153" s="8" t="n">
        <v>13.26</v>
      </c>
      <c r="AB153" s="8" t="n">
        <v>142</v>
      </c>
      <c r="AC153" s="8" t="n">
        <v>6.62</v>
      </c>
      <c r="AD153" s="8" t="n">
        <v>14</v>
      </c>
      <c r="AE153" s="8" t="inlineStr">
        <is>
          <t>204C x 70h, 18% deflection</t>
        </is>
      </c>
      <c r="AF153" s="8" t="n"/>
      <c r="AG153" s="8" t="n"/>
      <c r="AH153" s="8" t="inlineStr">
        <is>
          <t>MPa (psi also given)</t>
        </is>
      </c>
      <c r="AI153" s="8" t="inlineStr">
        <is>
          <t>Tables 6/7. Fluorogard PCA left blank: Table 6 lists 1.5 phr only for Samples 20-26 but text says all of Samples 20-30 contain 1.5 phr.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4">
      <c r="A154" s="8" t="inlineStr">
        <is>
          <t>US7247749B2</t>
        </is>
      </c>
      <c r="B154" s="8" t="inlineStr">
        <is>
          <t>patent</t>
        </is>
      </c>
      <c r="C154" s="8" t="inlineStr">
        <is>
          <t>Federal State Unitary Enterprise S V Lebedev Institute of Synthetic Rubber; Greene Tweed of Delaware Inc</t>
        </is>
      </c>
      <c r="D154" s="8" t="inlineStr">
        <is>
          <t>Bisaminophenyl-based curatives and amidine-based curatives and cure accelerators for perfluoroelastomeric compositions</t>
        </is>
      </c>
      <c r="E154" s="8" t="inlineStr">
        <is>
          <t>https://patents.google.com/patent/US7247749B2/en</t>
        </is>
      </c>
      <c r="F154" s="8" t="inlineStr">
        <is>
          <t>Sample 29</t>
        </is>
      </c>
      <c r="G154" s="8" t="inlineStr">
        <is>
          <t>FFKM</t>
        </is>
      </c>
      <c r="H154" s="8" t="inlineStr">
        <is>
          <t>TFE/PMVE/2 cyano CSM tetrapolymer, Polymer A (redox, ML 45)</t>
        </is>
      </c>
      <c r="I154" s="8" t="inlineStr">
        <is>
          <t>nitrile_bisaminophenol</t>
        </is>
      </c>
      <c r="J154" s="8" t="n">
        <v>100</v>
      </c>
      <c r="K154" s="8" t="n">
        <v>25</v>
      </c>
      <c r="L154" s="8" t="n">
        <v>0</v>
      </c>
      <c r="M154" s="8" t="n">
        <v>0</v>
      </c>
      <c r="N154" s="8" t="n">
        <v>0</v>
      </c>
      <c r="O154" s="8" t="n">
        <v>0</v>
      </c>
      <c r="P154" s="8" t="n">
        <v>0</v>
      </c>
      <c r="Q154" s="8" t="n">
        <v>0</v>
      </c>
      <c r="R154" s="8" t="n">
        <v>0</v>
      </c>
      <c r="S154" s="8" t="n">
        <v>0</v>
      </c>
      <c r="T154" s="8" t="n">
        <v>0</v>
      </c>
      <c r="U154" s="8" t="n">
        <v>1.5</v>
      </c>
      <c r="V154" s="8" t="n">
        <v>1.25</v>
      </c>
      <c r="W154" s="8" t="n">
        <v>0</v>
      </c>
      <c r="X154" s="8" t="n"/>
      <c r="Y154" s="8" t="inlineStr">
        <is>
          <t>BOAP 1.5; perfluoroheptanamidine 1.25 (accelerator, in other_curative); N990 carbon black 25</t>
        </is>
      </c>
      <c r="Z154" s="8" t="n"/>
      <c r="AA154" s="8" t="n">
        <v>13.85</v>
      </c>
      <c r="AB154" s="8" t="n">
        <v>166</v>
      </c>
      <c r="AC154" s="8" t="n"/>
      <c r="AD154" s="8" t="n">
        <v>19</v>
      </c>
      <c r="AE154" s="8" t="inlineStr">
        <is>
          <t>260C x 70h, 18% deflection</t>
        </is>
      </c>
      <c r="AF154" s="8" t="n"/>
      <c r="AG154" s="8" t="n"/>
      <c r="AH154" s="8" t="inlineStr">
        <is>
          <t>MPa (psi also given)</t>
        </is>
      </c>
      <c r="AI154" s="8" t="inlineStr">
        <is>
          <t>Tables 6/7. Fluorogard PCA left blank: Table 6 lists 1.5 phr only for Samples 20-26 but text says all of Samples 20-30 contain 1.5 phr. M100 printed as 0.01 MPa with no psi value (apparent error) - omitted.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5">
      <c r="A155" s="8" t="inlineStr">
        <is>
          <t>US7247749B2</t>
        </is>
      </c>
      <c r="B155" s="8" t="inlineStr">
        <is>
          <t>patent</t>
        </is>
      </c>
      <c r="C155" s="8" t="inlineStr">
        <is>
          <t>Federal State Unitary Enterprise S V Lebedev Institute of Synthetic Rubber; Greene Tweed of Delaware Inc</t>
        </is>
      </c>
      <c r="D155" s="8" t="inlineStr">
        <is>
          <t>Bisaminophenyl-based curatives and amidine-based curatives and cure accelerators for perfluoroelastomeric compositions</t>
        </is>
      </c>
      <c r="E155" s="8" t="inlineStr">
        <is>
          <t>https://patents.google.com/patent/US7247749B2/en</t>
        </is>
      </c>
      <c r="F155" s="8" t="inlineStr">
        <is>
          <t>Sample 30</t>
        </is>
      </c>
      <c r="G155" s="8" t="inlineStr">
        <is>
          <t>FFKM</t>
        </is>
      </c>
      <c r="H155" s="8" t="inlineStr">
        <is>
          <t>TFE/PMVE/2 cyano CSM tetrapolymer, Polymer D (non-redox, ML 93)</t>
        </is>
      </c>
      <c r="I155" s="8" t="inlineStr">
        <is>
          <t>nitrile_bisaminophenol</t>
        </is>
      </c>
      <c r="J155" s="8" t="n">
        <v>100</v>
      </c>
      <c r="K155" s="8" t="n">
        <v>25</v>
      </c>
      <c r="L155" s="8" t="n">
        <v>0</v>
      </c>
      <c r="M155" s="8" t="n">
        <v>0</v>
      </c>
      <c r="N155" s="8" t="n">
        <v>0</v>
      </c>
      <c r="O155" s="8" t="n">
        <v>0</v>
      </c>
      <c r="P155" s="8" t="n">
        <v>0</v>
      </c>
      <c r="Q155" s="8" t="n">
        <v>0</v>
      </c>
      <c r="R155" s="8" t="n">
        <v>0</v>
      </c>
      <c r="S155" s="8" t="n">
        <v>0</v>
      </c>
      <c r="T155" s="8" t="n">
        <v>0</v>
      </c>
      <c r="U155" s="8" t="n">
        <v>1.5</v>
      </c>
      <c r="V155" s="8" t="n">
        <v>1.25</v>
      </c>
      <c r="W155" s="8" t="n">
        <v>0</v>
      </c>
      <c r="X155" s="8" t="n"/>
      <c r="Y155" s="8" t="inlineStr">
        <is>
          <t>BOAP 1.5; perfluoroheptanamidine 1.25 (accelerator, in other_curative); N990 carbon black 25</t>
        </is>
      </c>
      <c r="Z155" s="8" t="n"/>
      <c r="AA155" s="8" t="n">
        <v>16.44</v>
      </c>
      <c r="AB155" s="8" t="n">
        <v>143</v>
      </c>
      <c r="AC155" s="8" t="n"/>
      <c r="AD155" s="8" t="n">
        <v>19</v>
      </c>
      <c r="AE155" s="8" t="inlineStr">
        <is>
          <t>260C x 70h, 18% deflection</t>
        </is>
      </c>
      <c r="AF155" s="8" t="n"/>
      <c r="AG155" s="8" t="n"/>
      <c r="AH155" s="8" t="inlineStr">
        <is>
          <t>MPa (psi also given)</t>
        </is>
      </c>
      <c r="AI155" s="8" t="inlineStr">
        <is>
          <t>Tables 6/7. Fluorogard PCA left blank: Table 6 lists 1.5 phr only for Samples 20-26 but text says all of Samples 20-30 contain 1.5 phr. M100 printed as 0.01 MPa with no psi value (apparent error) - omitted.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6">
      <c r="A156" s="8" t="inlineStr">
        <is>
          <t>US7247749B2</t>
        </is>
      </c>
      <c r="B156" s="8" t="inlineStr">
        <is>
          <t>patent</t>
        </is>
      </c>
      <c r="C156" s="8" t="inlineStr">
        <is>
          <t>Federal State Unitary Enterprise S V Lebedev Institute of Synthetic Rubber; Greene Tweed of Delaware Inc</t>
        </is>
      </c>
      <c r="D156" s="8" t="inlineStr">
        <is>
          <t>Bisaminophenyl-based curatives and amidine-based curatives and cure accelerators for perfluoroelastomeric compositions</t>
        </is>
      </c>
      <c r="E156" s="8" t="inlineStr">
        <is>
          <t>https://patents.google.com/patent/US7247749B2/en</t>
        </is>
      </c>
      <c r="F156" s="8" t="inlineStr">
        <is>
          <t>Control Sample 31</t>
        </is>
      </c>
      <c r="G156" s="8" t="inlineStr">
        <is>
          <t>FFKM</t>
        </is>
      </c>
      <c r="H156" s="8" t="inlineStr">
        <is>
          <t>TFE/PMVE/2 cyano CSM tetrapolymer, Polymer B 114 ML 75 + 24 ML 25</t>
        </is>
      </c>
      <c r="I156" s="8" t="inlineStr">
        <is>
          <t>nitrile_bisaminophenol</t>
        </is>
      </c>
      <c r="J156" s="8" t="n">
        <v>100</v>
      </c>
      <c r="K156" s="8" t="n">
        <v>25</v>
      </c>
      <c r="L156" s="8" t="n">
        <v>0</v>
      </c>
      <c r="M156" s="8" t="n">
        <v>0</v>
      </c>
      <c r="N156" s="8" t="n">
        <v>0</v>
      </c>
      <c r="O156" s="8" t="n">
        <v>0</v>
      </c>
      <c r="P156" s="8" t="n">
        <v>0</v>
      </c>
      <c r="Q156" s="8" t="n">
        <v>0</v>
      </c>
      <c r="R156" s="8" t="n">
        <v>0</v>
      </c>
      <c r="S156" s="8" t="n">
        <v>0</v>
      </c>
      <c r="T156" s="8" t="n">
        <v>0</v>
      </c>
      <c r="U156" s="8" t="n">
        <v>1.5</v>
      </c>
      <c r="V156" s="8" t="n">
        <v>0</v>
      </c>
      <c r="W156" s="8" t="n">
        <v>0</v>
      </c>
      <c r="X156" s="8" t="n">
        <v>0</v>
      </c>
      <c r="Y156" s="8" t="inlineStr">
        <is>
          <t>BOAP 1.5; N990 carbon black 25</t>
        </is>
      </c>
      <c r="Z156" s="8" t="n"/>
      <c r="AA156" s="8" t="n">
        <v>21.86</v>
      </c>
      <c r="AB156" s="8" t="n">
        <v>122</v>
      </c>
      <c r="AC156" s="8" t="n">
        <v>16.5</v>
      </c>
      <c r="AD156" s="8" t="n">
        <v>9.99</v>
      </c>
      <c r="AE156" s="8" t="inlineStr">
        <is>
          <t>204C x 70h, 25% deflection</t>
        </is>
      </c>
      <c r="AF156" s="8" t="n"/>
      <c r="AG156" s="8" t="n"/>
      <c r="AH156" s="8" t="inlineStr">
        <is>
          <t>psi -&gt; MPa (x0.00689476)</t>
        </is>
      </c>
      <c r="AI156" s="8" t="inlineStr">
        <is>
          <t>Tables 8/9 (Example 6). Polymer = Polymer B 114 ML 75 + 24 ML 25 (Mooney at 100C). Durometer M hardness = 84 (Shore A not reported). CS 204C/70h/18% = 10.0; 230C/70h/18% = 12.0; 230C/70h/25% = 11.42. Post cure 24h/288C/N2.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7">
      <c r="A157" s="8" t="inlineStr">
        <is>
          <t>US7247749B2</t>
        </is>
      </c>
      <c r="B157" s="8" t="inlineStr">
        <is>
          <t>patent</t>
        </is>
      </c>
      <c r="C157" s="8" t="inlineStr">
        <is>
          <t>Federal State Unitary Enterprise S V Lebedev Institute of Synthetic Rubber; Greene Tweed of Delaware Inc</t>
        </is>
      </c>
      <c r="D157" s="8" t="inlineStr">
        <is>
          <t>Bisaminophenyl-based curatives and amidine-based curatives and cure accelerators for perfluoroelastomeric compositions</t>
        </is>
      </c>
      <c r="E157" s="8" t="inlineStr">
        <is>
          <t>https://patents.google.com/patent/US7247749B2/en</t>
        </is>
      </c>
      <c r="F157" s="8" t="inlineStr">
        <is>
          <t>Sample 32</t>
        </is>
      </c>
      <c r="G157" s="8" t="inlineStr">
        <is>
          <t>FFKM</t>
        </is>
      </c>
      <c r="H157" s="8" t="inlineStr">
        <is>
          <t>TFE/PMVE/2 cyano CSM tetrapolymer, Polymer B 114 ML 75 + 24 ML 25</t>
        </is>
      </c>
      <c r="I157" s="8" t="inlineStr">
        <is>
          <t>nitrile_other</t>
        </is>
      </c>
      <c r="J157" s="8" t="n">
        <v>100</v>
      </c>
      <c r="K157" s="8" t="n">
        <v>25</v>
      </c>
      <c r="L157" s="8" t="n">
        <v>0</v>
      </c>
      <c r="M157" s="8" t="n">
        <v>0</v>
      </c>
      <c r="N157" s="8" t="n">
        <v>0</v>
      </c>
      <c r="O157" s="8" t="n">
        <v>0</v>
      </c>
      <c r="P157" s="8" t="n">
        <v>0</v>
      </c>
      <c r="Q157" s="8" t="n">
        <v>0</v>
      </c>
      <c r="R157" s="8" t="n">
        <v>0</v>
      </c>
      <c r="S157" s="8" t="n">
        <v>0</v>
      </c>
      <c r="T157" s="8" t="n">
        <v>0</v>
      </c>
      <c r="U157" s="8" t="n">
        <v>1.54</v>
      </c>
      <c r="V157" s="8" t="n">
        <v>0</v>
      </c>
      <c r="W157" s="8" t="n">
        <v>0</v>
      </c>
      <c r="X157" s="8" t="n">
        <v>0</v>
      </c>
      <c r="Y157" s="8" t="inlineStr">
        <is>
          <t>heptafluorobutyrylamidine 1.54 (sole curative); N990 carbon black 25</t>
        </is>
      </c>
      <c r="Z157" s="8" t="n"/>
      <c r="AA157" s="8" t="n">
        <v>13.81</v>
      </c>
      <c r="AB157" s="8" t="n">
        <v>121</v>
      </c>
      <c r="AC157" s="8" t="n">
        <v>9.84</v>
      </c>
      <c r="AD157" s="8" t="n">
        <v>8.33</v>
      </c>
      <c r="AE157" s="8" t="inlineStr">
        <is>
          <t>204C x 70h, 25% deflection</t>
        </is>
      </c>
      <c r="AF157" s="8" t="n"/>
      <c r="AG157" s="8" t="n"/>
      <c r="AH157" s="8" t="inlineStr">
        <is>
          <t>psi -&gt; MPa (x0.00689476)</t>
        </is>
      </c>
      <c r="AI157" s="8" t="inlineStr">
        <is>
          <t>Tables 8/9 (Example 6). Polymer = Polymer B 114 ML 75 + 24 ML 25 (Mooney at 100C). Durometer M hardness = 78 (Shore A not reported). CS 204C/70h/18% = 7.69; 230C/70h/18% = 3.84; 230C/70h/25% = 8.33. Post cure 24h/288C/N2.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8">
      <c r="A158" s="8" t="inlineStr">
        <is>
          <t>US7247749B2</t>
        </is>
      </c>
      <c r="B158" s="8" t="inlineStr">
        <is>
          <t>patent</t>
        </is>
      </c>
      <c r="C158" s="8" t="inlineStr">
        <is>
          <t>Federal State Unitary Enterprise S V Lebedev Institute of Synthetic Rubber; Greene Tweed of Delaware Inc</t>
        </is>
      </c>
      <c r="D158" s="8" t="inlineStr">
        <is>
          <t>Bisaminophenyl-based curatives and amidine-based curatives and cure accelerators for perfluoroelastomeric compositions</t>
        </is>
      </c>
      <c r="E158" s="8" t="inlineStr">
        <is>
          <t>https://patents.google.com/patent/US7247749B2/en</t>
        </is>
      </c>
      <c r="F158" s="8" t="inlineStr">
        <is>
          <t>Sample 33</t>
        </is>
      </c>
      <c r="G158" s="8" t="inlineStr">
        <is>
          <t>FFKM</t>
        </is>
      </c>
      <c r="H158" s="8" t="inlineStr">
        <is>
          <t>TFE/PMVE/2 cyano CSM tetrapolymer, Polymer B 114 ML 75 + 24 ML 25</t>
        </is>
      </c>
      <c r="I158" s="8" t="inlineStr">
        <is>
          <t>nitrile_bisaminophenol</t>
        </is>
      </c>
      <c r="J158" s="8" t="n">
        <v>100</v>
      </c>
      <c r="K158" s="8" t="n">
        <v>25</v>
      </c>
      <c r="L158" s="8" t="n">
        <v>0</v>
      </c>
      <c r="M158" s="8" t="n">
        <v>0</v>
      </c>
      <c r="N158" s="8" t="n">
        <v>0</v>
      </c>
      <c r="O158" s="8" t="n">
        <v>0</v>
      </c>
      <c r="P158" s="8" t="n">
        <v>0</v>
      </c>
      <c r="Q158" s="8" t="n">
        <v>0</v>
      </c>
      <c r="R158" s="8" t="n">
        <v>0</v>
      </c>
      <c r="S158" s="8" t="n">
        <v>0</v>
      </c>
      <c r="T158" s="8" t="n">
        <v>0</v>
      </c>
      <c r="U158" s="8" t="n">
        <v>1.5</v>
      </c>
      <c r="V158" s="8" t="n">
        <v>0.64</v>
      </c>
      <c r="W158" s="8" t="n">
        <v>0</v>
      </c>
      <c r="X158" s="8" t="n">
        <v>0</v>
      </c>
      <c r="Y158" s="8" t="inlineStr">
        <is>
          <t>BOAP 1.5; heptafluorobutyrylamidine 0.64 (accelerator, in other_curative); N990 carbon black 25</t>
        </is>
      </c>
      <c r="Z158" s="8" t="n"/>
      <c r="AA158" s="8" t="n">
        <v>16.38</v>
      </c>
      <c r="AB158" s="8" t="n">
        <v>117</v>
      </c>
      <c r="AC158" s="8" t="n">
        <v>13.27</v>
      </c>
      <c r="AD158" s="8" t="n">
        <v>8.57</v>
      </c>
      <c r="AE158" s="8" t="inlineStr">
        <is>
          <t>204C x 70h, 25% deflection</t>
        </is>
      </c>
      <c r="AF158" s="8" t="n"/>
      <c r="AG158" s="8" t="n"/>
      <c r="AH158" s="8" t="inlineStr">
        <is>
          <t>psi -&gt; MPa (x0.00689476)</t>
        </is>
      </c>
      <c r="AI158" s="8" t="inlineStr">
        <is>
          <t>Tables 8/9 (Example 6). Polymer = Polymer B 114 ML 75 + 24 ML 25 (Mooney at 100C). Durometer M hardness = 84 (Shore A not reported). CS 204C/70h/18% = 12.0; 230C/70h/18% = 8.0; 230C/70h/25% = 8.57. Post cure 24h/288C/N2.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59">
      <c r="A159" s="8" t="inlineStr">
        <is>
          <t>US7247749B2</t>
        </is>
      </c>
      <c r="B159" s="8" t="inlineStr">
        <is>
          <t>patent</t>
        </is>
      </c>
      <c r="C159" s="8" t="inlineStr">
        <is>
          <t>Federal State Unitary Enterprise S V Lebedev Institute of Synthetic Rubber; Greene Tweed of Delaware Inc</t>
        </is>
      </c>
      <c r="D159" s="8" t="inlineStr">
        <is>
          <t>Bisaminophenyl-based curatives and amidine-based curatives and cure accelerators for perfluoroelastomeric compositions</t>
        </is>
      </c>
      <c r="E159" s="8" t="inlineStr">
        <is>
          <t>https://patents.google.com/patent/US7247749B2/en</t>
        </is>
      </c>
      <c r="F159" s="8" t="inlineStr">
        <is>
          <t>Sample 34</t>
        </is>
      </c>
      <c r="G159" s="8" t="inlineStr">
        <is>
          <t>FFKM</t>
        </is>
      </c>
      <c r="H159" s="8" t="inlineStr">
        <is>
          <t>TFE/PMVE/2 cyano CSM tetrapolymer, Polymer B 110 ML 75 + 24 ML 25</t>
        </is>
      </c>
      <c r="I159" s="8" t="inlineStr">
        <is>
          <t>nitrile_other</t>
        </is>
      </c>
      <c r="J159" s="8" t="n">
        <v>100</v>
      </c>
      <c r="K159" s="8" t="n">
        <v>25</v>
      </c>
      <c r="L159" s="8" t="n">
        <v>0</v>
      </c>
      <c r="M159" s="8" t="n">
        <v>0</v>
      </c>
      <c r="N159" s="8" t="n">
        <v>0</v>
      </c>
      <c r="O159" s="8" t="n">
        <v>0</v>
      </c>
      <c r="P159" s="8" t="n">
        <v>0</v>
      </c>
      <c r="Q159" s="8" t="n">
        <v>0</v>
      </c>
      <c r="R159" s="8" t="n">
        <v>0</v>
      </c>
      <c r="S159" s="8" t="n">
        <v>0</v>
      </c>
      <c r="T159" s="8" t="n">
        <v>0</v>
      </c>
      <c r="U159" s="8" t="n">
        <v>0.64</v>
      </c>
      <c r="V159" s="8" t="n">
        <v>0</v>
      </c>
      <c r="W159" s="8" t="n">
        <v>0</v>
      </c>
      <c r="X159" s="8" t="n">
        <v>0</v>
      </c>
      <c r="Y159" s="8" t="inlineStr">
        <is>
          <t>heptafluorobutyrylamidine 0.64 (sole curative); N990 carbon black 25</t>
        </is>
      </c>
      <c r="Z159" s="8" t="n"/>
      <c r="AA159" s="8" t="n">
        <v>12.11</v>
      </c>
      <c r="AB159" s="8" t="n">
        <v>225</v>
      </c>
      <c r="AC159" s="8" t="n">
        <v>4.31</v>
      </c>
      <c r="AD159" s="8" t="n">
        <v>28.57</v>
      </c>
      <c r="AE159" s="8" t="inlineStr">
        <is>
          <t>204C x 70h, 25% deflection</t>
        </is>
      </c>
      <c r="AF159" s="8" t="n"/>
      <c r="AG159" s="8" t="n"/>
      <c r="AH159" s="8" t="inlineStr">
        <is>
          <t>psi -&gt; MPa (x0.00689476)</t>
        </is>
      </c>
      <c r="AI159" s="8" t="inlineStr">
        <is>
          <t>Tables 8/9 (Example 6). Polymer = Polymer B 110 ML 75 + 24 ML 25 (Mooney at 100C). Durometer M hardness = 78 (Shore A not reported). CS 204C/70h/18% = 32.0; 230C/70h/18% = 36.0; 230C/70h/25% = 34.28. Post cure 24h/288C/N2. M100 printed as '625£' (footnote not explained). Cyano CSMs: CF2=CFO(CF2)3OCF(CF3)CN + CF2=CFOCF2CF(CF3)O(CF2)2CN. Size 214 O-rings; ASTM D412 B / D395 B. Curative A = 2,2-bis(3-amino-4-hydroxyphenyl)-R, R=-CF2(OCF2)3OCF3; Curative B: R=-CF2OCF2CF2(OCF2)2OCF3. Fluorogard PCA additive (text mentions a perfluorocarbon ether oil additive) recorded in processing_aid. Hardness not reported (only Durometer M in Table 9).</t>
        </is>
      </c>
    </row>
    <row r="160">
      <c r="A160" s="8" t="inlineStr">
        <is>
          <t>US7402630B2</t>
        </is>
      </c>
      <c r="B160" s="8" t="inlineStr">
        <is>
          <t>patent</t>
        </is>
      </c>
      <c r="C160" s="8" t="inlineStr">
        <is>
          <t>3M Innovative Properties Co</t>
        </is>
      </c>
      <c r="D160" s="8" t="inlineStr">
        <is>
          <t>Curing compositions for fluoropolymers</t>
        </is>
      </c>
      <c r="E160" s="8" t="inlineStr">
        <is>
          <t>https://patents.google.com/patent/US7402630B2/en</t>
        </is>
      </c>
      <c r="F160" s="8" t="inlineStr">
        <is>
          <t>Example 1</t>
        </is>
      </c>
      <c r="G160" s="8" t="inlineStr">
        <is>
          <t>FFKM</t>
        </is>
      </c>
      <c r="H160" s="8" t="inlineStr">
        <is>
          <t>Fluoropolymer A: TFE/PMVE/MV5CN 65.6/32.2/2.2 mol%</t>
        </is>
      </c>
      <c r="I160" s="8" t="inlineStr">
        <is>
          <t>nitrile_triazine</t>
        </is>
      </c>
      <c r="J160" s="8" t="n">
        <v>100</v>
      </c>
      <c r="K160" s="8" t="n">
        <v>0</v>
      </c>
      <c r="L160" s="8" t="n">
        <v>0</v>
      </c>
      <c r="M160" s="8" t="n">
        <v>0</v>
      </c>
      <c r="N160" s="8" t="n">
        <v>0</v>
      </c>
      <c r="O160" s="8" t="n">
        <v>0</v>
      </c>
      <c r="P160" s="8" t="n">
        <v>0</v>
      </c>
      <c r="Q160" s="8" t="n">
        <v>0</v>
      </c>
      <c r="R160" s="8" t="n">
        <v>0</v>
      </c>
      <c r="S160" s="8" t="n">
        <v>0</v>
      </c>
      <c r="T160" s="8" t="n">
        <v>0</v>
      </c>
      <c r="U160" s="8" t="n"/>
      <c r="V160" s="8" t="n">
        <v>0</v>
      </c>
      <c r="W160" s="8" t="n">
        <v>0</v>
      </c>
      <c r="X160" s="8" t="n">
        <v>0</v>
      </c>
      <c r="Y160" s="8" t="inlineStr">
        <is>
          <t>SPHI (sodium 2-phenyl-hexafluoroisopropanolate) 2 mmol per 100 g</t>
        </is>
      </c>
      <c r="Z160" s="8" t="n">
        <v>57</v>
      </c>
      <c r="AA160" s="8" t="n">
        <v>9.93</v>
      </c>
      <c r="AB160" s="8" t="n">
        <v>260</v>
      </c>
      <c r="AC160" s="8" t="n">
        <v>1.21</v>
      </c>
      <c r="AD160" s="8" t="n">
        <v>53</v>
      </c>
      <c r="AE160" s="8" t="inlineStr">
        <is>
          <t>300C x 72h, O-ring 3.5 mm CS, ASTM D395 B</t>
        </is>
      </c>
      <c r="AF160" s="8" t="n"/>
      <c r="AG160" s="8" t="n"/>
      <c r="AH160" s="8" t="inlineStr">
        <is>
          <t>MPa (psi also given); Shore A (Type A-2)</t>
        </is>
      </c>
      <c r="AI160" s="8" t="inlineStr">
        <is>
          <t>Table 2/3. Onium/alkali fluorinated-alkoxide catalysts give triazine crosslinks. Catalyst amount given only in mmol per 100 g gum (phr not stated) - nitrile_curative_phr left blank. Unfilled, crystal clear. CS 230C/72h = 17 (25% deflection). Press 190C x 15 min, step post cure to 300C x 6 h. Commercial comparatives C-F (Chemraz/Kalrez/Parker data sheets) not included.</t>
        </is>
      </c>
    </row>
    <row r="161">
      <c r="A161" s="8" t="inlineStr">
        <is>
          <t>US7402630B2</t>
        </is>
      </c>
      <c r="B161" s="8" t="inlineStr">
        <is>
          <t>patent</t>
        </is>
      </c>
      <c r="C161" s="8" t="inlineStr">
        <is>
          <t>3M Innovative Properties Co</t>
        </is>
      </c>
      <c r="D161" s="8" t="inlineStr">
        <is>
          <t>Curing compositions for fluoropolymers</t>
        </is>
      </c>
      <c r="E161" s="8" t="inlineStr">
        <is>
          <t>https://patents.google.com/patent/US7402630B2/en</t>
        </is>
      </c>
      <c r="F161" s="8" t="inlineStr">
        <is>
          <t>Example 5A</t>
        </is>
      </c>
      <c r="G161" s="8" t="inlineStr">
        <is>
          <t>FFKM</t>
        </is>
      </c>
      <c r="H161" s="8" t="inlineStr">
        <is>
          <t>Fluoropolymer A: TFE/PMVE/MV5CN 65.6/32.2/2.2 mol%</t>
        </is>
      </c>
      <c r="I161" s="8" t="inlineStr">
        <is>
          <t>nitrile_triazine</t>
        </is>
      </c>
      <c r="J161" s="8" t="n">
        <v>100</v>
      </c>
      <c r="K161" s="8" t="n">
        <v>30</v>
      </c>
      <c r="L161" s="8" t="n">
        <v>0</v>
      </c>
      <c r="M161" s="8" t="n">
        <v>0</v>
      </c>
      <c r="N161" s="8" t="n">
        <v>0</v>
      </c>
      <c r="O161" s="8" t="n">
        <v>0</v>
      </c>
      <c r="P161" s="8" t="n">
        <v>0</v>
      </c>
      <c r="Q161" s="8" t="n">
        <v>0</v>
      </c>
      <c r="R161" s="8" t="n">
        <v>0</v>
      </c>
      <c r="S161" s="8" t="n">
        <v>0</v>
      </c>
      <c r="T161" s="8" t="n">
        <v>0</v>
      </c>
      <c r="U161" s="8" t="n"/>
      <c r="V161" s="8" t="n">
        <v>0</v>
      </c>
      <c r="W161" s="8" t="n">
        <v>0</v>
      </c>
      <c r="X161" s="8" t="n">
        <v>0</v>
      </c>
      <c r="Y161" s="8" t="inlineStr">
        <is>
          <t>TBPPHI (tetrabutylphosphonium 2-phenyl-hexafluoroisopropanolate) 2 mmol per 100 g; N990 carbon black 30</t>
        </is>
      </c>
      <c r="Z161" s="8" t="n">
        <v>80</v>
      </c>
      <c r="AA161" s="8" t="n">
        <v>10.29</v>
      </c>
      <c r="AB161" s="8" t="n">
        <v>251</v>
      </c>
      <c r="AC161" s="8" t="n">
        <v>6.07</v>
      </c>
      <c r="AD161" s="8" t="n">
        <v>49</v>
      </c>
      <c r="AE161" s="8" t="inlineStr">
        <is>
          <t>316C x 72h, O-ring 3.5 mm CS, ASTM D395 B</t>
        </is>
      </c>
      <c r="AF161" s="8" t="n"/>
      <c r="AG161" s="8" t="n"/>
      <c r="AH161" s="8" t="inlineStr">
        <is>
          <t>MPa (psi also given); Shore A (Type A-2)</t>
        </is>
      </c>
      <c r="AI161" s="8" t="inlineStr">
        <is>
          <t>Table 2/3. Onium/alkali fluorinated-alkoxide catalysts give triazine crosslinks. Catalyst amount given only in mmol per 100 g gum (phr not stated) - nitrile_curative_phr left blank.  Commercial comparatives C-F (Chemraz/Kalrez/Parker data sheets) not included.</t>
        </is>
      </c>
    </row>
    <row r="162">
      <c r="A162" s="8" t="inlineStr">
        <is>
          <t>US7402630B2</t>
        </is>
      </c>
      <c r="B162" s="8" t="inlineStr">
        <is>
          <t>patent</t>
        </is>
      </c>
      <c r="C162" s="8" t="inlineStr">
        <is>
          <t>3M Innovative Properties Co</t>
        </is>
      </c>
      <c r="D162" s="8" t="inlineStr">
        <is>
          <t>Curing compositions for fluoropolymers</t>
        </is>
      </c>
      <c r="E162" s="8" t="inlineStr">
        <is>
          <t>https://patents.google.com/patent/US7402630B2/en</t>
        </is>
      </c>
      <c r="F162" s="8" t="inlineStr">
        <is>
          <t>Example 5B</t>
        </is>
      </c>
      <c r="G162" s="8" t="inlineStr">
        <is>
          <t>FFKM</t>
        </is>
      </c>
      <c r="H162" s="8" t="inlineStr">
        <is>
          <t>Fluoropolymer A: TFE/PMVE/MV5CN 65.6/32.2/2.2 mol%</t>
        </is>
      </c>
      <c r="I162" s="8" t="inlineStr">
        <is>
          <t>nitrile_triazine</t>
        </is>
      </c>
      <c r="J162" s="8" t="n">
        <v>100</v>
      </c>
      <c r="K162" s="8" t="n">
        <v>30</v>
      </c>
      <c r="L162" s="8" t="n">
        <v>0</v>
      </c>
      <c r="M162" s="8" t="n">
        <v>0</v>
      </c>
      <c r="N162" s="8" t="n">
        <v>0</v>
      </c>
      <c r="O162" s="8" t="n">
        <v>0</v>
      </c>
      <c r="P162" s="8" t="n">
        <v>0</v>
      </c>
      <c r="Q162" s="8" t="n">
        <v>0</v>
      </c>
      <c r="R162" s="8" t="n">
        <v>0</v>
      </c>
      <c r="S162" s="8" t="n">
        <v>0</v>
      </c>
      <c r="T162" s="8" t="n">
        <v>0</v>
      </c>
      <c r="U162" s="8" t="n"/>
      <c r="V162" s="8" t="n">
        <v>0</v>
      </c>
      <c r="W162" s="8" t="n">
        <v>0</v>
      </c>
      <c r="X162" s="8" t="n">
        <v>0</v>
      </c>
      <c r="Y162" s="8" t="inlineStr">
        <is>
          <t>TBPPHI 2.5 mmol per 100 g; N990 carbon black 30</t>
        </is>
      </c>
      <c r="Z162" s="8" t="n">
        <v>79</v>
      </c>
      <c r="AA162" s="8" t="n">
        <v>9.85</v>
      </c>
      <c r="AB162" s="8" t="n">
        <v>213</v>
      </c>
      <c r="AC162" s="8" t="n">
        <v>6.56</v>
      </c>
      <c r="AD162" s="8" t="n">
        <v>40</v>
      </c>
      <c r="AE162" s="8" t="inlineStr">
        <is>
          <t>316C x 72h, O-ring 3.5 mm CS, ASTM D395 B</t>
        </is>
      </c>
      <c r="AF162" s="8" t="n"/>
      <c r="AG162" s="8" t="n"/>
      <c r="AH162" s="8" t="inlineStr">
        <is>
          <t>MPa (psi also given); Shore A (Type A-2)</t>
        </is>
      </c>
      <c r="AI162" s="8" t="inlineStr">
        <is>
          <t>Table 2/3. Onium/alkali fluorinated-alkoxide catalysts give triazine crosslinks. Catalyst amount given only in mmol per 100 g gum (phr not stated) - nitrile_curative_phr left blank. Tensile printed 9.846 MPa. Commercial comparatives C-F (Chemraz/Kalrez/Parker data sheets) not included.</t>
        </is>
      </c>
    </row>
    <row r="163">
      <c r="A163" s="8" t="inlineStr">
        <is>
          <t>US7402630B2</t>
        </is>
      </c>
      <c r="B163" s="8" t="inlineStr">
        <is>
          <t>patent</t>
        </is>
      </c>
      <c r="C163" s="8" t="inlineStr">
        <is>
          <t>3M Innovative Properties Co</t>
        </is>
      </c>
      <c r="D163" s="8" t="inlineStr">
        <is>
          <t>Curing compositions for fluoropolymers</t>
        </is>
      </c>
      <c r="E163" s="8" t="inlineStr">
        <is>
          <t>https://patents.google.com/patent/US7402630B2/en</t>
        </is>
      </c>
      <c r="F163" s="8" t="inlineStr">
        <is>
          <t>Example 5C</t>
        </is>
      </c>
      <c r="G163" s="8" t="inlineStr">
        <is>
          <t>FFKM</t>
        </is>
      </c>
      <c r="H163" s="8" t="inlineStr">
        <is>
          <t>Fluoropolymer A: TFE/PMVE/MV5CN 65.6/32.2/2.2 mol%</t>
        </is>
      </c>
      <c r="I163" s="8" t="inlineStr">
        <is>
          <t>nitrile_triazine</t>
        </is>
      </c>
      <c r="J163" s="8" t="n">
        <v>100</v>
      </c>
      <c r="K163" s="8" t="n">
        <v>30</v>
      </c>
      <c r="L163" s="8" t="n">
        <v>0</v>
      </c>
      <c r="M163" s="8" t="n">
        <v>0</v>
      </c>
      <c r="N163" s="8" t="n">
        <v>0</v>
      </c>
      <c r="O163" s="8" t="n">
        <v>0</v>
      </c>
      <c r="P163" s="8" t="n">
        <v>0</v>
      </c>
      <c r="Q163" s="8" t="n">
        <v>0</v>
      </c>
      <c r="R163" s="8" t="n">
        <v>0</v>
      </c>
      <c r="S163" s="8" t="n">
        <v>0</v>
      </c>
      <c r="T163" s="8" t="n">
        <v>0</v>
      </c>
      <c r="U163" s="8" t="n"/>
      <c r="V163" s="8" t="n">
        <v>0</v>
      </c>
      <c r="W163" s="8" t="n">
        <v>0</v>
      </c>
      <c r="X163" s="8" t="n">
        <v>0</v>
      </c>
      <c r="Y163" s="8" t="inlineStr">
        <is>
          <t>TBPPHI 3 mmol per 100 g; N990 carbon black 30</t>
        </is>
      </c>
      <c r="Z163" s="8" t="n">
        <v>79</v>
      </c>
      <c r="AA163" s="8" t="n">
        <v>9.539999999999999</v>
      </c>
      <c r="AB163" s="8" t="n">
        <v>267</v>
      </c>
      <c r="AC163" s="8" t="n">
        <v>6.39</v>
      </c>
      <c r="AD163" s="8" t="n">
        <v>44</v>
      </c>
      <c r="AE163" s="8" t="inlineStr">
        <is>
          <t>316C x 72h, O-ring 3.5 mm CS, ASTM D395 B</t>
        </is>
      </c>
      <c r="AF163" s="8" t="n"/>
      <c r="AG163" s="8" t="n"/>
      <c r="AH163" s="8" t="inlineStr">
        <is>
          <t>MPa (psi also given); Shore A (Type A-2)</t>
        </is>
      </c>
      <c r="AI163" s="8" t="inlineStr">
        <is>
          <t>Table 2/3. Onium/alkali fluorinated-alkoxide catalysts give triazine crosslinks. Catalyst amount given only in mmol per 100 g gum (phr not stated) - nitrile_curative_phr left blank. Tensile printed 9.542 MPa. Commercial comparatives C-F (Chemraz/Kalrez/Parker data sheets) not included.</t>
        </is>
      </c>
    </row>
    <row r="164">
      <c r="A164" s="8" t="inlineStr">
        <is>
          <t>US7402630B2</t>
        </is>
      </c>
      <c r="B164" s="8" t="inlineStr">
        <is>
          <t>patent</t>
        </is>
      </c>
      <c r="C164" s="8" t="inlineStr">
        <is>
          <t>3M Innovative Properties Co</t>
        </is>
      </c>
      <c r="D164" s="8" t="inlineStr">
        <is>
          <t>Curing compositions for fluoropolymers</t>
        </is>
      </c>
      <c r="E164" s="8" t="inlineStr">
        <is>
          <t>https://patents.google.com/patent/US7402630B2/en</t>
        </is>
      </c>
      <c r="F164" s="8" t="inlineStr">
        <is>
          <t>Example 7</t>
        </is>
      </c>
      <c r="G164" s="8" t="inlineStr">
        <is>
          <t>FFKM</t>
        </is>
      </c>
      <c r="H164" s="8" t="inlineStr">
        <is>
          <t>Fluoropolymer B: TFE/PMVE/MV5CN 65.7/33.0/1.3 mol%</t>
        </is>
      </c>
      <c r="I164" s="8" t="inlineStr">
        <is>
          <t>nitrile_triazine</t>
        </is>
      </c>
      <c r="J164" s="8" t="n">
        <v>100</v>
      </c>
      <c r="K164" s="8" t="n">
        <v>30</v>
      </c>
      <c r="L164" s="8" t="n">
        <v>0</v>
      </c>
      <c r="M164" s="8" t="n">
        <v>0</v>
      </c>
      <c r="N164" s="8" t="n">
        <v>0</v>
      </c>
      <c r="O164" s="8" t="n">
        <v>0</v>
      </c>
      <c r="P164" s="8" t="n">
        <v>0</v>
      </c>
      <c r="Q164" s="8" t="n">
        <v>0</v>
      </c>
      <c r="R164" s="8" t="n">
        <v>0</v>
      </c>
      <c r="S164" s="8" t="n">
        <v>0</v>
      </c>
      <c r="T164" s="8" t="n">
        <v>0</v>
      </c>
      <c r="U164" s="8" t="n">
        <v>1</v>
      </c>
      <c r="V164" s="8" t="n">
        <v>0</v>
      </c>
      <c r="W164" s="8" t="n">
        <v>0</v>
      </c>
      <c r="X164" s="8" t="n">
        <v>0</v>
      </c>
      <c r="Y164" s="8" t="inlineStr">
        <is>
          <t>TBPPHI 1 phr; N990 carbon black 30</t>
        </is>
      </c>
      <c r="Z164" s="8" t="n">
        <v>81</v>
      </c>
      <c r="AA164" s="8" t="n">
        <v>12.93</v>
      </c>
      <c r="AB164" s="8" t="n">
        <v>235</v>
      </c>
      <c r="AC164" s="8" t="n">
        <v>9</v>
      </c>
      <c r="AD164" s="8" t="n">
        <v>22</v>
      </c>
      <c r="AE164" s="8" t="inlineStr">
        <is>
          <t>300C x 72h, O-ring 3.5 mm CS, ASTM D395 B</t>
        </is>
      </c>
      <c r="AF164" s="8" t="n"/>
      <c r="AG164" s="8" t="n"/>
      <c r="AH164" s="8" t="inlineStr">
        <is>
          <t>MPa (psi also given); Shore A (Type A-2)</t>
        </is>
      </c>
      <c r="AI164" s="8" t="inlineStr">
        <is>
          <t>Table 2/3. Onium/alkali fluorinated-alkoxide catalysts give triazine crosslinks. Press 188C x 10 min, stepped post cure to 300C x 4 h. Commercial comparatives C-F (Chemraz/Kalrez/Parker data sheets) not included.</t>
        </is>
      </c>
    </row>
    <row r="165">
      <c r="A165" s="8" t="inlineStr">
        <is>
          <t>US7402630B2</t>
        </is>
      </c>
      <c r="B165" s="8" t="inlineStr">
        <is>
          <t>patent</t>
        </is>
      </c>
      <c r="C165" s="8" t="inlineStr">
        <is>
          <t>3M Innovative Properties Co</t>
        </is>
      </c>
      <c r="D165" s="8" t="inlineStr">
        <is>
          <t>Curing compositions for fluoropolymers</t>
        </is>
      </c>
      <c r="E165" s="8" t="inlineStr">
        <is>
          <t>https://patents.google.com/patent/US7402630B2/en</t>
        </is>
      </c>
      <c r="F165" s="8" t="inlineStr">
        <is>
          <t>Example 8</t>
        </is>
      </c>
      <c r="G165" s="8" t="inlineStr">
        <is>
          <t>FFKM</t>
        </is>
      </c>
      <c r="H165" s="8" t="inlineStr">
        <is>
          <t>Fluoropolymer B: TFE/PMVE/MV5CN 65.7/33.0/1.3 mol%</t>
        </is>
      </c>
      <c r="I165" s="8" t="inlineStr">
        <is>
          <t>nitrile_triazine</t>
        </is>
      </c>
      <c r="J165" s="8" t="n">
        <v>100</v>
      </c>
      <c r="K165" s="8" t="n">
        <v>30</v>
      </c>
      <c r="L165" s="8" t="n">
        <v>0</v>
      </c>
      <c r="M165" s="8" t="n">
        <v>0</v>
      </c>
      <c r="N165" s="8" t="n">
        <v>0</v>
      </c>
      <c r="O165" s="8" t="n">
        <v>0</v>
      </c>
      <c r="P165" s="8" t="n">
        <v>0</v>
      </c>
      <c r="Q165" s="8" t="n">
        <v>0</v>
      </c>
      <c r="R165" s="8" t="n">
        <v>0</v>
      </c>
      <c r="S165" s="8" t="n">
        <v>0</v>
      </c>
      <c r="T165" s="8" t="n">
        <v>0</v>
      </c>
      <c r="U165" s="8" t="n">
        <v>1.2</v>
      </c>
      <c r="V165" s="8" t="n">
        <v>0</v>
      </c>
      <c r="W165" s="8" t="n">
        <v>0</v>
      </c>
      <c r="X165" s="8" t="n">
        <v>0</v>
      </c>
      <c r="Y165" s="8" t="inlineStr">
        <is>
          <t>TBPHI (tetrabutylphosphonium hexafluoroisopropanolate) 1.2 phr; N990 carbon black 30</t>
        </is>
      </c>
      <c r="Z165" s="8" t="n">
        <v>82</v>
      </c>
      <c r="AA165" s="8" t="n">
        <v>11.07</v>
      </c>
      <c r="AB165" s="8" t="n">
        <v>220</v>
      </c>
      <c r="AC165" s="8" t="n">
        <v>8.58</v>
      </c>
      <c r="AD165" s="8" t="n">
        <v>31</v>
      </c>
      <c r="AE165" s="8" t="inlineStr">
        <is>
          <t>300C x 72h, O-ring 3.5 mm CS, ASTM D395 B</t>
        </is>
      </c>
      <c r="AF165" s="8" t="n"/>
      <c r="AG165" s="8" t="n"/>
      <c r="AH165" s="8" t="inlineStr">
        <is>
          <t>MPa (psi also given); Shore A (Type A-2)</t>
        </is>
      </c>
      <c r="AI165" s="8" t="inlineStr">
        <is>
          <t>Table 2/3. Onium/alkali fluorinated-alkoxide catalysts give triazine crosslinks. Press/post cure as Example 7. Commercial comparatives C-F (Chemraz/Kalrez/Parker data sheets) not included.</t>
        </is>
      </c>
    </row>
    <row r="166">
      <c r="A166" s="8" t="inlineStr">
        <is>
          <t>US7402630B2</t>
        </is>
      </c>
      <c r="B166" s="8" t="inlineStr">
        <is>
          <t>patent</t>
        </is>
      </c>
      <c r="C166" s="8" t="inlineStr">
        <is>
          <t>3M Innovative Properties Co</t>
        </is>
      </c>
      <c r="D166" s="8" t="inlineStr">
        <is>
          <t>Curing compositions for fluoropolymers</t>
        </is>
      </c>
      <c r="E166" s="8" t="inlineStr">
        <is>
          <t>https://patents.google.com/patent/US7402630B2/en</t>
        </is>
      </c>
      <c r="F166" s="8" t="inlineStr">
        <is>
          <t>Example 13</t>
        </is>
      </c>
      <c r="G166" s="8" t="inlineStr">
        <is>
          <t>FFKM</t>
        </is>
      </c>
      <c r="H166" s="8" t="inlineStr">
        <is>
          <t>Fluoropolymer B: TFE/PMVE/MV5CN 65.7/33.0/1.3 mol%</t>
        </is>
      </c>
      <c r="I166" s="8" t="inlineStr">
        <is>
          <t>nitrile_triazine</t>
        </is>
      </c>
      <c r="J166" s="8" t="n">
        <v>100</v>
      </c>
      <c r="K166" s="8" t="n">
        <v>30</v>
      </c>
      <c r="L166" s="8" t="n">
        <v>1.5</v>
      </c>
      <c r="M166" s="8" t="n">
        <v>0</v>
      </c>
      <c r="N166" s="8" t="n">
        <v>0</v>
      </c>
      <c r="O166" s="8" t="n">
        <v>0</v>
      </c>
      <c r="P166" s="8" t="n">
        <v>0</v>
      </c>
      <c r="Q166" s="8" t="n">
        <v>0</v>
      </c>
      <c r="R166" s="8" t="n">
        <v>0</v>
      </c>
      <c r="S166" s="8" t="n">
        <v>0</v>
      </c>
      <c r="T166" s="8" t="n">
        <v>0</v>
      </c>
      <c r="U166" s="8" t="n"/>
      <c r="V166" s="8" t="n">
        <v>0</v>
      </c>
      <c r="W166" s="8" t="n">
        <v>0</v>
      </c>
      <c r="X166" s="8" t="n">
        <v>0</v>
      </c>
      <c r="Y166" s="8" t="inlineStr">
        <is>
          <t>TMAPHI (tetramethylammonium 2-phenyl-hexafluoroisopropanolate) 2.5 mmol per 100 g; N990 carbon black 30; Aerosil R972 silica 1.5</t>
        </is>
      </c>
      <c r="Z166" s="8" t="n">
        <v>77</v>
      </c>
      <c r="AA166" s="8" t="n">
        <v>13.42</v>
      </c>
      <c r="AB166" s="8" t="n">
        <v>191</v>
      </c>
      <c r="AC166" s="8" t="n">
        <v>8.17</v>
      </c>
      <c r="AD166" s="8" t="n">
        <v>41</v>
      </c>
      <c r="AE166" s="8" t="inlineStr">
        <is>
          <t>300C x 72h, O-ring 3.5 mm CS, ASTM D395 B</t>
        </is>
      </c>
      <c r="AF166" s="8" t="n"/>
      <c r="AG166" s="8" t="n"/>
      <c r="AH166" s="8" t="inlineStr">
        <is>
          <t>MPa (psi also given); Shore A (Type A-2)</t>
        </is>
      </c>
      <c r="AI166" s="8" t="inlineStr">
        <is>
          <t>Table 2/3. Onium/alkali fluorinated-alkoxide catalysts give triazine crosslinks. Catalyst amount given only in mmol per 100 g gum (phr not stated) - nitrile_curative_phr left blank. Press 177C x 15 min, stepped post cure to 300C x 4 h. Commercial comparatives C-F (Chemraz/Kalrez/Parker data sheets) not included.</t>
        </is>
      </c>
    </row>
    <row r="167">
      <c r="A167" s="8" t="inlineStr">
        <is>
          <t>US7402630B2</t>
        </is>
      </c>
      <c r="B167" s="8" t="inlineStr">
        <is>
          <t>patent</t>
        </is>
      </c>
      <c r="C167" s="8" t="inlineStr">
        <is>
          <t>3M Innovative Properties Co</t>
        </is>
      </c>
      <c r="D167" s="8" t="inlineStr">
        <is>
          <t>Curing compositions for fluoropolymers</t>
        </is>
      </c>
      <c r="E167" s="8" t="inlineStr">
        <is>
          <t>https://patents.google.com/patent/US7402630B2/en</t>
        </is>
      </c>
      <c r="F167" s="8" t="inlineStr">
        <is>
          <t>Comparative Example A</t>
        </is>
      </c>
      <c r="G167" s="8" t="inlineStr">
        <is>
          <t>FFKM</t>
        </is>
      </c>
      <c r="H167" s="8" t="inlineStr">
        <is>
          <t>Fluoropolymer B: TFE/PMVE/MV5CN 65.7/33.0/1.3 mol%</t>
        </is>
      </c>
      <c r="I167" s="8" t="inlineStr">
        <is>
          <t>nitrile_triazine</t>
        </is>
      </c>
      <c r="J167" s="8" t="n">
        <v>100</v>
      </c>
      <c r="K167" s="8" t="n">
        <v>15</v>
      </c>
      <c r="L167" s="8" t="n">
        <v>1.5</v>
      </c>
      <c r="M167" s="8" t="n">
        <v>0</v>
      </c>
      <c r="N167" s="8" t="n">
        <v>0</v>
      </c>
      <c r="O167" s="8" t="n">
        <v>0</v>
      </c>
      <c r="P167" s="8" t="n">
        <v>0</v>
      </c>
      <c r="Q167" s="8" t="n">
        <v>0</v>
      </c>
      <c r="R167" s="8" t="n">
        <v>0</v>
      </c>
      <c r="S167" s="8" t="n">
        <v>0</v>
      </c>
      <c r="T167" s="8" t="n">
        <v>0</v>
      </c>
      <c r="U167" s="8" t="n">
        <v>1.5</v>
      </c>
      <c r="V167" s="8" t="n">
        <v>0</v>
      </c>
      <c r="W167" s="8" t="n">
        <v>0</v>
      </c>
      <c r="X167" s="8" t="n">
        <v>0</v>
      </c>
      <c r="Y167" s="8" t="inlineStr">
        <is>
          <t>bis-tetrabutylphosphonium perfluoroadipate 1.5 phr (1.86 mmol); N990 carbon black 15; Aerosil R972 silica 1.5</t>
        </is>
      </c>
      <c r="Z167" s="8" t="n">
        <v>79</v>
      </c>
      <c r="AA167" s="8" t="n">
        <v>13.1</v>
      </c>
      <c r="AB167" s="8" t="n">
        <v>170</v>
      </c>
      <c r="AC167" s="8" t="n">
        <v>7.21</v>
      </c>
      <c r="AD167" s="8" t="n">
        <v>48</v>
      </c>
      <c r="AE167" s="8" t="inlineStr">
        <is>
          <t>300C x 72h, O-ring 3.5 mm CS, ASTM D395 B</t>
        </is>
      </c>
      <c r="AF167" s="8" t="n"/>
      <c r="AG167" s="8" t="n"/>
      <c r="AH167" s="8" t="inlineStr">
        <is>
          <t>MPa (psi also given); Shore A (Type A-2)</t>
        </is>
      </c>
      <c r="AI167" s="8" t="inlineStr">
        <is>
          <t>Table 2/3. Onium/alkali fluorinated-alkoxide catalysts give triazine crosslinks. Molded 188C x 15 min, stepped post cure to 270C x 8 h. Commercial comparatives C-F (Chemraz/Kalrez/Parker data sheets) not included.</t>
        </is>
      </c>
    </row>
    <row r="168">
      <c r="A168" s="8" t="inlineStr">
        <is>
          <t>US6956085B2</t>
        </is>
      </c>
      <c r="B168" s="8" t="inlineStr">
        <is>
          <t>patent</t>
        </is>
      </c>
      <c r="C168" s="8" t="inlineStr">
        <is>
          <t>3M Innovative Properties Co</t>
        </is>
      </c>
      <c r="D168" s="8" t="inlineStr">
        <is>
          <t>Fluoroelastomer compositions</t>
        </is>
      </c>
      <c r="E168" s="8" t="inlineStr">
        <is>
          <t>https://patents.google.com/patent/US6956085B2/en</t>
        </is>
      </c>
      <c r="F168" s="8" t="inlineStr">
        <is>
          <t>Example 1</t>
        </is>
      </c>
      <c r="G168" s="8" t="inlineStr">
        <is>
          <t>FFKM</t>
        </is>
      </c>
      <c r="H168" s="8" t="inlineStr">
        <is>
          <t>Perfluoroelastomer B: TFE/PMVE/MV5CN 66.8/32.0/1.2 mol%</t>
        </is>
      </c>
      <c r="I168" s="8" t="inlineStr">
        <is>
          <t>nitrile_other</t>
        </is>
      </c>
      <c r="J168" s="8" t="n">
        <v>100</v>
      </c>
      <c r="K168" s="8" t="n">
        <v>0</v>
      </c>
      <c r="L168" s="8" t="n">
        <v>1.5</v>
      </c>
      <c r="M168" s="8" t="n">
        <v>0</v>
      </c>
      <c r="N168" s="8" t="n">
        <v>40</v>
      </c>
      <c r="O168" s="8" t="n">
        <v>4</v>
      </c>
      <c r="P168" s="8" t="n">
        <v>0</v>
      </c>
      <c r="Q168" s="8" t="n">
        <v>0</v>
      </c>
      <c r="R168" s="8" t="n">
        <v>0</v>
      </c>
      <c r="S168" s="8" t="n">
        <v>0</v>
      </c>
      <c r="T168" s="8" t="n">
        <v>0</v>
      </c>
      <c r="U168" s="8" t="n">
        <v>0.8</v>
      </c>
      <c r="V168" s="8" t="n">
        <v>0</v>
      </c>
      <c r="W168" s="8" t="n">
        <v>0</v>
      </c>
      <c r="X168" s="8" t="n">
        <v>0</v>
      </c>
      <c r="Y168" s="8" t="inlineStr">
        <is>
          <t>Curative A: 4'',4'''-(hexafluoroisopropylidene)bis(4-phenoxyaniline) 0.8; Aerosil R972 1.5; TiO2 (Sakai A-110) 4; BaSO4 (Sakai No.100) 40</t>
        </is>
      </c>
      <c r="Z168" s="8" t="n">
        <v>75</v>
      </c>
      <c r="AA168" s="8" t="n">
        <v>14.89</v>
      </c>
      <c r="AB168" s="8" t="n">
        <v>165</v>
      </c>
      <c r="AC168" s="8" t="n">
        <v>10.48</v>
      </c>
      <c r="AD168" s="8" t="n">
        <v>47</v>
      </c>
      <c r="AE168" s="8" t="inlineStr">
        <is>
          <t>230C x 70h, 25% deflection, O-ring 3.5 mm CS</t>
        </is>
      </c>
      <c r="AF168" s="8" t="n"/>
      <c r="AG168" s="8" t="n"/>
      <c r="AH168" s="8" t="inlineStr">
        <is>
          <t>MPa; Shore A</t>
        </is>
      </c>
      <c r="AI168" s="8" t="inlineStr">
        <is>
          <t>Tables 1/4. Amino-substituted aromatic curative for nitrile cure sites. CS 250C/70h/15% defl = 57. Press 188C x 20 min, post 200C x 24 h.</t>
        </is>
      </c>
    </row>
    <row r="169">
      <c r="A169" s="8" t="inlineStr">
        <is>
          <t>US6956085B2</t>
        </is>
      </c>
      <c r="B169" s="8" t="inlineStr">
        <is>
          <t>patent</t>
        </is>
      </c>
      <c r="C169" s="8" t="inlineStr">
        <is>
          <t>3M Innovative Properties Co</t>
        </is>
      </c>
      <c r="D169" s="8" t="inlineStr">
        <is>
          <t>Fluoroelastomer compositions</t>
        </is>
      </c>
      <c r="E169" s="8" t="inlineStr">
        <is>
          <t>https://patents.google.com/patent/US6956085B2/en</t>
        </is>
      </c>
      <c r="F169" s="8" t="inlineStr">
        <is>
          <t>Example 2</t>
        </is>
      </c>
      <c r="G169" s="8" t="inlineStr">
        <is>
          <t>FFKM</t>
        </is>
      </c>
      <c r="H169" s="8" t="inlineStr">
        <is>
          <t>Perfluoroelastomer B: TFE/PMVE/MV5CN 66.8/32.0/1.2 mol%</t>
        </is>
      </c>
      <c r="I169" s="8" t="inlineStr">
        <is>
          <t>nitrile_other</t>
        </is>
      </c>
      <c r="J169" s="8" t="n">
        <v>100</v>
      </c>
      <c r="K169" s="8" t="n">
        <v>0</v>
      </c>
      <c r="L169" s="8" t="n">
        <v>1.5</v>
      </c>
      <c r="M169" s="8" t="n">
        <v>0</v>
      </c>
      <c r="N169" s="8" t="n">
        <v>40</v>
      </c>
      <c r="O169" s="8" t="n">
        <v>4</v>
      </c>
      <c r="P169" s="8" t="n">
        <v>0</v>
      </c>
      <c r="Q169" s="8" t="n">
        <v>0</v>
      </c>
      <c r="R169" s="8" t="n">
        <v>0</v>
      </c>
      <c r="S169" s="8" t="n">
        <v>0</v>
      </c>
      <c r="T169" s="8" t="n">
        <v>0</v>
      </c>
      <c r="U169" s="8" t="n">
        <v>0.5</v>
      </c>
      <c r="V169" s="8" t="n">
        <v>0</v>
      </c>
      <c r="W169" s="8" t="n">
        <v>0</v>
      </c>
      <c r="X169" s="8" t="n">
        <v>0</v>
      </c>
      <c r="Y169" s="8" t="inlineStr">
        <is>
          <t>Curative B: 4-phenoxyaniline 0.5; Aerosil R972 1.5; TiO2 (Sakai A-110) 4; BaSO4 (Sakai No.100) 40</t>
        </is>
      </c>
      <c r="Z169" s="8" t="n">
        <v>75</v>
      </c>
      <c r="AA169" s="8" t="n">
        <v>16.31</v>
      </c>
      <c r="AB169" s="8" t="n">
        <v>200</v>
      </c>
      <c r="AC169" s="8" t="n">
        <v>8.27</v>
      </c>
      <c r="AD169" s="8" t="n">
        <v>59</v>
      </c>
      <c r="AE169" s="8" t="inlineStr">
        <is>
          <t>230C x 70h, 25% deflection, O-ring 3.5 mm CS</t>
        </is>
      </c>
      <c r="AF169" s="8" t="n"/>
      <c r="AG169" s="8" t="n"/>
      <c r="AH169" s="8" t="inlineStr">
        <is>
          <t>MPa; Shore A</t>
        </is>
      </c>
      <c r="AI169" s="8" t="inlineStr">
        <is>
          <t>Tables 1/4. Amino-substituted aromatic curative for nitrile cure sites. CS 250C/70h/15% defl = 67. Press 188C x 20 min, post 200C x 24 h.</t>
        </is>
      </c>
    </row>
    <row r="170">
      <c r="A170" s="8" t="inlineStr">
        <is>
          <t>US6956085B2</t>
        </is>
      </c>
      <c r="B170" s="8" t="inlineStr">
        <is>
          <t>patent</t>
        </is>
      </c>
      <c r="C170" s="8" t="inlineStr">
        <is>
          <t>3M Innovative Properties Co</t>
        </is>
      </c>
      <c r="D170" s="8" t="inlineStr">
        <is>
          <t>Fluoroelastomer compositions</t>
        </is>
      </c>
      <c r="E170" s="8" t="inlineStr">
        <is>
          <t>https://patents.google.com/patent/US6956085B2/en</t>
        </is>
      </c>
      <c r="F170" s="8" t="inlineStr">
        <is>
          <t>Example 3</t>
        </is>
      </c>
      <c r="G170" s="8" t="inlineStr">
        <is>
          <t>FFKM</t>
        </is>
      </c>
      <c r="H170" s="8" t="inlineStr">
        <is>
          <t>Perfluoroelastomer B: TFE/PMVE/MV5CN 66.8/32.0/1.2 mol%</t>
        </is>
      </c>
      <c r="I170" s="8" t="inlineStr">
        <is>
          <t>nitrile_other</t>
        </is>
      </c>
      <c r="J170" s="8" t="n">
        <v>100</v>
      </c>
      <c r="K170" s="8" t="n">
        <v>0</v>
      </c>
      <c r="L170" s="8" t="n">
        <v>1.5</v>
      </c>
      <c r="M170" s="8" t="n">
        <v>0</v>
      </c>
      <c r="N170" s="8" t="n">
        <v>40</v>
      </c>
      <c r="O170" s="8" t="n">
        <v>4</v>
      </c>
      <c r="P170" s="8" t="n">
        <v>0</v>
      </c>
      <c r="Q170" s="8" t="n">
        <v>0</v>
      </c>
      <c r="R170" s="8" t="n">
        <v>0</v>
      </c>
      <c r="S170" s="8" t="n">
        <v>0</v>
      </c>
      <c r="T170" s="8" t="n">
        <v>0</v>
      </c>
      <c r="U170" s="8" t="n">
        <v>1</v>
      </c>
      <c r="V170" s="8" t="n">
        <v>0</v>
      </c>
      <c r="W170" s="8" t="n">
        <v>0</v>
      </c>
      <c r="X170" s="8" t="n">
        <v>0</v>
      </c>
      <c r="Y170" s="8" t="inlineStr">
        <is>
          <t>Curative C: 3,4,5-trimethoxyaniline 1.0; Aerosil R972 1.5; TiO2 (Sakai A-110) 4; BaSO4 (Sakai No.100) 40</t>
        </is>
      </c>
      <c r="Z170" s="8" t="n">
        <v>75</v>
      </c>
      <c r="AA170" s="8" t="n">
        <v>13.65</v>
      </c>
      <c r="AB170" s="8" t="n">
        <v>190</v>
      </c>
      <c r="AC170" s="8" t="n">
        <v>7.58</v>
      </c>
      <c r="AD170" s="8" t="n">
        <v>70</v>
      </c>
      <c r="AE170" s="8" t="inlineStr">
        <is>
          <t>230C x 70h, 25% deflection, O-ring 3.5 mm CS</t>
        </is>
      </c>
      <c r="AF170" s="8" t="n"/>
      <c r="AG170" s="8" t="n"/>
      <c r="AH170" s="8" t="inlineStr">
        <is>
          <t>MPa; Shore A</t>
        </is>
      </c>
      <c r="AI170" s="8" t="inlineStr">
        <is>
          <t>Tables 1/4. Amino-substituted aromatic curative for nitrile cure sites. CS 250C/70h/15% defl = 84. Press 188C x 20 min, post 200C x 24 h.</t>
        </is>
      </c>
    </row>
    <row r="171">
      <c r="A171" s="8" t="inlineStr">
        <is>
          <t>US6956085B2</t>
        </is>
      </c>
      <c r="B171" s="8" t="inlineStr">
        <is>
          <t>patent</t>
        </is>
      </c>
      <c r="C171" s="8" t="inlineStr">
        <is>
          <t>3M Innovative Properties Co</t>
        </is>
      </c>
      <c r="D171" s="8" t="inlineStr">
        <is>
          <t>Fluoroelastomer compositions</t>
        </is>
      </c>
      <c r="E171" s="8" t="inlineStr">
        <is>
          <t>https://patents.google.com/patent/US6956085B2/en</t>
        </is>
      </c>
      <c r="F171" s="8" t="inlineStr">
        <is>
          <t>Example 4</t>
        </is>
      </c>
      <c r="G171" s="8" t="inlineStr">
        <is>
          <t>FFKM</t>
        </is>
      </c>
      <c r="H171" s="8" t="inlineStr">
        <is>
          <t>Perfluoroelastomer B: TFE/PMVE/MV5CN 66.8/32.0/1.2 mol%</t>
        </is>
      </c>
      <c r="I171" s="8" t="inlineStr">
        <is>
          <t>nitrile_other</t>
        </is>
      </c>
      <c r="J171" s="8" t="n">
        <v>100</v>
      </c>
      <c r="K171" s="8" t="n">
        <v>0</v>
      </c>
      <c r="L171" s="8" t="n">
        <v>1.5</v>
      </c>
      <c r="M171" s="8" t="n">
        <v>0</v>
      </c>
      <c r="N171" s="8" t="n">
        <v>40</v>
      </c>
      <c r="O171" s="8" t="n">
        <v>4</v>
      </c>
      <c r="P171" s="8" t="n">
        <v>0</v>
      </c>
      <c r="Q171" s="8" t="n">
        <v>0</v>
      </c>
      <c r="R171" s="8" t="n">
        <v>0</v>
      </c>
      <c r="S171" s="8" t="n">
        <v>0</v>
      </c>
      <c r="T171" s="8" t="n">
        <v>0</v>
      </c>
      <c r="U171" s="8" t="n">
        <v>0.5</v>
      </c>
      <c r="V171" s="8" t="n">
        <v>0</v>
      </c>
      <c r="W171" s="8" t="n">
        <v>0</v>
      </c>
      <c r="X171" s="8" t="n">
        <v>0</v>
      </c>
      <c r="Y171" s="8" t="inlineStr">
        <is>
          <t>Curative D: p-anisidine 0.5; Aerosil R972 1.5; TiO2 (Sakai A-110) 4; BaSO4 (Sakai No.100) 40</t>
        </is>
      </c>
      <c r="Z171" s="8" t="n">
        <v>75</v>
      </c>
      <c r="AA171" s="8" t="n">
        <v>15.79</v>
      </c>
      <c r="AB171" s="8" t="n">
        <v>180</v>
      </c>
      <c r="AC171" s="8" t="n">
        <v>9.449999999999999</v>
      </c>
      <c r="AD171" s="8" t="n">
        <v>58</v>
      </c>
      <c r="AE171" s="8" t="inlineStr">
        <is>
          <t>230C x 70h, 25% deflection, O-ring 3.5 mm CS</t>
        </is>
      </c>
      <c r="AF171" s="8" t="n"/>
      <c r="AG171" s="8" t="n"/>
      <c r="AH171" s="8" t="inlineStr">
        <is>
          <t>MPa; Shore A</t>
        </is>
      </c>
      <c r="AI171" s="8" t="inlineStr">
        <is>
          <t>Tables 1/4. Amino-substituted aromatic curative for nitrile cure sites. CS 250C/70h/15% defl = 72. Press 188C x 20 min, post 200C x 24 h.</t>
        </is>
      </c>
    </row>
    <row r="172">
      <c r="A172" s="8" t="inlineStr">
        <is>
          <t>US6956085B2</t>
        </is>
      </c>
      <c r="B172" s="8" t="inlineStr">
        <is>
          <t>patent</t>
        </is>
      </c>
      <c r="C172" s="8" t="inlineStr">
        <is>
          <t>3M Innovative Properties Co</t>
        </is>
      </c>
      <c r="D172" s="8" t="inlineStr">
        <is>
          <t>Fluoroelastomer compositions</t>
        </is>
      </c>
      <c r="E172" s="8" t="inlineStr">
        <is>
          <t>https://patents.google.com/patent/US6956085B2/en</t>
        </is>
      </c>
      <c r="F172" s="8" t="inlineStr">
        <is>
          <t>Example 5</t>
        </is>
      </c>
      <c r="G172" s="8" t="inlineStr">
        <is>
          <t>FFKM</t>
        </is>
      </c>
      <c r="H172" s="8" t="inlineStr">
        <is>
          <t>Perfluoroelastomer B: TFE/PMVE/MV5CN 66.8/32.0/1.2 mol%</t>
        </is>
      </c>
      <c r="I172" s="8" t="inlineStr">
        <is>
          <t>nitrile_other</t>
        </is>
      </c>
      <c r="J172" s="8" t="n">
        <v>100</v>
      </c>
      <c r="K172" s="8" t="n">
        <v>20</v>
      </c>
      <c r="L172" s="8" t="n">
        <v>0</v>
      </c>
      <c r="M172" s="8" t="n">
        <v>0</v>
      </c>
      <c r="N172" s="8" t="n">
        <v>0</v>
      </c>
      <c r="O172" s="8" t="n">
        <v>0</v>
      </c>
      <c r="P172" s="8" t="n">
        <v>0</v>
      </c>
      <c r="Q172" s="8" t="n">
        <v>0</v>
      </c>
      <c r="R172" s="8" t="n">
        <v>0</v>
      </c>
      <c r="S172" s="8" t="n">
        <v>0</v>
      </c>
      <c r="T172" s="8" t="n">
        <v>0</v>
      </c>
      <c r="U172" s="8" t="n">
        <v>0.4</v>
      </c>
      <c r="V172" s="8" t="n">
        <v>0</v>
      </c>
      <c r="W172" s="8" t="n">
        <v>0</v>
      </c>
      <c r="X172" s="8" t="n">
        <v>0</v>
      </c>
      <c r="Y172" s="8" t="inlineStr">
        <is>
          <t>Curative D: p-anisidine 0.4; N990 carbon black 20</t>
        </is>
      </c>
      <c r="Z172" s="8" t="n">
        <v>69</v>
      </c>
      <c r="AA172" s="8" t="n">
        <v>18.39</v>
      </c>
      <c r="AB172" s="8" t="n">
        <v>202</v>
      </c>
      <c r="AC172" s="8" t="n">
        <v>5.05</v>
      </c>
      <c r="AD172" s="8" t="n">
        <v>22</v>
      </c>
      <c r="AE172" s="8" t="inlineStr">
        <is>
          <t>230C x 70h, 25% deflection, O-ring 3.5 mm CS</t>
        </is>
      </c>
      <c r="AF172" s="8" t="n"/>
      <c r="AG172" s="8" t="n"/>
      <c r="AH172" s="8" t="inlineStr">
        <is>
          <t>MPa; Shore A</t>
        </is>
      </c>
      <c r="AI172" s="8" t="inlineStr">
        <is>
          <t>Tables 1/4. Amino-substituted aromatic curative for nitrile cure sites. CS 316C/70h = 38. Press 177C x 30 min, stepped post cure to 300C x 16 h.</t>
        </is>
      </c>
    </row>
    <row r="173">
      <c r="A173" s="8" t="inlineStr">
        <is>
          <t>US6956085B2</t>
        </is>
      </c>
      <c r="B173" s="8" t="inlineStr">
        <is>
          <t>patent</t>
        </is>
      </c>
      <c r="C173" s="8" t="inlineStr">
        <is>
          <t>3M Innovative Properties Co</t>
        </is>
      </c>
      <c r="D173" s="8" t="inlineStr">
        <is>
          <t>Fluoroelastomer compositions</t>
        </is>
      </c>
      <c r="E173" s="8" t="inlineStr">
        <is>
          <t>https://patents.google.com/patent/US6956085B2/en</t>
        </is>
      </c>
      <c r="F173" s="8" t="inlineStr">
        <is>
          <t>Example 6</t>
        </is>
      </c>
      <c r="G173" s="8" t="inlineStr">
        <is>
          <t>FFKM</t>
        </is>
      </c>
      <c r="H173" s="8" t="inlineStr">
        <is>
          <t>Perfluoroelastomer A: TFE/PMVE/MV5CN 66.2/33.0/0.8 mol%</t>
        </is>
      </c>
      <c r="I173" s="8" t="inlineStr">
        <is>
          <t>nitrile_other</t>
        </is>
      </c>
      <c r="J173" s="8" t="n">
        <v>100</v>
      </c>
      <c r="K173" s="8" t="n">
        <v>15</v>
      </c>
      <c r="L173" s="8" t="n">
        <v>0</v>
      </c>
      <c r="M173" s="8" t="n">
        <v>0</v>
      </c>
      <c r="N173" s="8" t="n">
        <v>0</v>
      </c>
      <c r="O173" s="8" t="n">
        <v>0</v>
      </c>
      <c r="P173" s="8" t="n">
        <v>0</v>
      </c>
      <c r="Q173" s="8" t="n">
        <v>0</v>
      </c>
      <c r="R173" s="8" t="n">
        <v>0</v>
      </c>
      <c r="S173" s="8" t="n">
        <v>0</v>
      </c>
      <c r="T173" s="8" t="n">
        <v>0</v>
      </c>
      <c r="U173" s="8" t="n">
        <v>2</v>
      </c>
      <c r="V173" s="8" t="n">
        <v>0</v>
      </c>
      <c r="W173" s="8" t="n">
        <v>0</v>
      </c>
      <c r="X173" s="8" t="n">
        <v>0</v>
      </c>
      <c r="Y173" s="8" t="inlineStr">
        <is>
          <t>Curative E: 2,2-bis(4-aminophenyl)hexafluoropropane 2.0; N990 carbon black 15</t>
        </is>
      </c>
      <c r="Z173" s="8" t="n">
        <v>67</v>
      </c>
      <c r="AA173" s="8" t="n">
        <v>15.03</v>
      </c>
      <c r="AB173" s="8" t="n">
        <v>217</v>
      </c>
      <c r="AC173" s="8" t="n">
        <v>4.14</v>
      </c>
      <c r="AD173" s="8" t="n">
        <v>45.3</v>
      </c>
      <c r="AE173" s="8" t="inlineStr">
        <is>
          <t>200C x 96h, 25% deflection, O-ring 3.5 mm CS</t>
        </is>
      </c>
      <c r="AF173" s="8" t="n"/>
      <c r="AG173" s="8" t="n"/>
      <c r="AH173" s="8" t="inlineStr">
        <is>
          <t>MPa; Shore A</t>
        </is>
      </c>
      <c r="AI173" s="8" t="inlineStr">
        <is>
          <t>Tables 1/4. Amino-substituted aromatic curative for nitrile cure sites. CS 230C/96h = 53.1. Press 177C x 30 min, post 250C x 16 h.</t>
        </is>
      </c>
    </row>
    <row r="174">
      <c r="A174" s="8" t="inlineStr">
        <is>
          <t>US20050107544A1</t>
        </is>
      </c>
      <c r="B174" s="8" t="inlineStr">
        <is>
          <t>patent</t>
        </is>
      </c>
      <c r="C174" s="8" t="inlineStr">
        <is>
          <t>DuPont Dow Elastomers LLC</t>
        </is>
      </c>
      <c r="D174" s="8" t="inlineStr">
        <is>
          <t>Plasma resistant curable fluoroelastomer composition</t>
        </is>
      </c>
      <c r="E174" s="8" t="inlineStr">
        <is>
          <t>https://patents.google.com/patent/US20050107544A1/en</t>
        </is>
      </c>
      <c r="F174" s="8" t="inlineStr">
        <is>
          <t>Sample 1</t>
        </is>
      </c>
      <c r="G174" s="8" t="inlineStr">
        <is>
          <t>FFKM</t>
        </is>
      </c>
      <c r="H174" s="8" t="inlineStr">
        <is>
          <t>Fluoroelastomer 1: TFE/PMVE/8-CNVE 68.2/31.0/0.80 mol%</t>
        </is>
      </c>
      <c r="I174" s="8" t="inlineStr">
        <is>
          <t>nitrile_bisaminophenol</t>
        </is>
      </c>
      <c r="J174" s="8" t="n">
        <v>100</v>
      </c>
      <c r="K174" s="8" t="n">
        <v>0</v>
      </c>
      <c r="L174" s="8" t="n">
        <v>0</v>
      </c>
      <c r="M174" s="8" t="n">
        <v>0</v>
      </c>
      <c r="N174" s="8" t="n">
        <v>10</v>
      </c>
      <c r="O174" s="8" t="n">
        <v>0</v>
      </c>
      <c r="P174" s="8" t="n">
        <v>0</v>
      </c>
      <c r="Q174" s="8" t="n">
        <v>0</v>
      </c>
      <c r="R174" s="8" t="n">
        <v>0</v>
      </c>
      <c r="S174" s="8" t="n">
        <v>0</v>
      </c>
      <c r="T174" s="8" t="n">
        <v>0</v>
      </c>
      <c r="U174" s="8" t="n">
        <v>1.75</v>
      </c>
      <c r="V174" s="8" t="n">
        <v>0</v>
      </c>
      <c r="W174" s="8" t="n">
        <v>0</v>
      </c>
      <c r="X174" s="8" t="n">
        <v>0</v>
      </c>
      <c r="Y174" s="8" t="inlineStr">
        <is>
          <t>Sachtoperse HU-N (100 nm BaSO4) 10; DABPAF 1.75</t>
        </is>
      </c>
      <c r="Z174" s="8" t="n">
        <v>66</v>
      </c>
      <c r="AA174" s="8" t="n">
        <v>10.1</v>
      </c>
      <c r="AB174" s="8" t="n">
        <v>161</v>
      </c>
      <c r="AC174" s="8" t="n">
        <v>1.6</v>
      </c>
      <c r="AD174" s="8" t="n">
        <v>18</v>
      </c>
      <c r="AE174" s="8" t="inlineStr">
        <is>
          <t>204C x 70h, K214 O-ring, ASTM D1414</t>
        </is>
      </c>
      <c r="AF174" s="8" t="n">
        <v>1.69</v>
      </c>
      <c r="AG174" s="8" t="inlineStr">
        <is>
          <t>O2 RIE parallel plate, 50 sccm, 900 W, 13 Pa, 1 h</t>
        </is>
      </c>
      <c r="AH174" s="8" t="inlineStr">
        <is>
          <t>MPa; Shore A</t>
        </is>
      </c>
      <c r="AI174" s="8" t="inlineStr">
        <is>
          <t>Table I/II. Other plasma % weight loss: CF4/O2 (45.5/4.5 sccm, 900 W, 13 Pa, 1 h) 1.04; NF3/Ar (13/37 sccm, 900 W, 31 Pa, 1 h) 1.39. K214 O-rings, ASTM D1414. Post cure N2 305C x 26 h after slow ramp.</t>
        </is>
      </c>
    </row>
    <row r="175">
      <c r="A175" s="8" t="inlineStr">
        <is>
          <t>US20050107544A1</t>
        </is>
      </c>
      <c r="B175" s="8" t="inlineStr">
        <is>
          <t>patent</t>
        </is>
      </c>
      <c r="C175" s="8" t="inlineStr">
        <is>
          <t>DuPont Dow Elastomers LLC</t>
        </is>
      </c>
      <c r="D175" s="8" t="inlineStr">
        <is>
          <t>Plasma resistant curable fluoroelastomer composition</t>
        </is>
      </c>
      <c r="E175" s="8" t="inlineStr">
        <is>
          <t>https://patents.google.com/patent/US20050107544A1/en</t>
        </is>
      </c>
      <c r="F175" s="8" t="inlineStr">
        <is>
          <t>Sample 2</t>
        </is>
      </c>
      <c r="G175" s="8" t="inlineStr">
        <is>
          <t>FFKM</t>
        </is>
      </c>
      <c r="H175" s="8" t="inlineStr">
        <is>
          <t>Fluoroelastomer 1: TFE/PMVE/8-CNVE 68.2/31.0/0.80 mol%</t>
        </is>
      </c>
      <c r="I175" s="8" t="inlineStr">
        <is>
          <t>nitrile_bisaminophenol</t>
        </is>
      </c>
      <c r="J175" s="8" t="n">
        <v>100</v>
      </c>
      <c r="K175" s="8" t="n">
        <v>0</v>
      </c>
      <c r="L175" s="8" t="n">
        <v>0</v>
      </c>
      <c r="M175" s="8" t="n">
        <v>0</v>
      </c>
      <c r="N175" s="8" t="n">
        <v>10</v>
      </c>
      <c r="O175" s="8" t="n">
        <v>0</v>
      </c>
      <c r="P175" s="8" t="n">
        <v>0</v>
      </c>
      <c r="Q175" s="8" t="n">
        <v>0</v>
      </c>
      <c r="R175" s="8" t="n">
        <v>0</v>
      </c>
      <c r="S175" s="8" t="n">
        <v>0</v>
      </c>
      <c r="T175" s="8" t="n">
        <v>0</v>
      </c>
      <c r="U175" s="8" t="n">
        <v>1.75</v>
      </c>
      <c r="V175" s="8" t="n">
        <v>0</v>
      </c>
      <c r="W175" s="8" t="n">
        <v>0</v>
      </c>
      <c r="X175" s="8" t="n">
        <v>0</v>
      </c>
      <c r="Y175" s="8" t="inlineStr">
        <is>
          <t>Sachtoperse HU-D (100 nm organic-surface-treated BaSO4) 10; DABPAF 1.75</t>
        </is>
      </c>
      <c r="Z175" s="8" t="n">
        <v>66</v>
      </c>
      <c r="AA175" s="8" t="n">
        <v>9.1</v>
      </c>
      <c r="AB175" s="8" t="n">
        <v>195</v>
      </c>
      <c r="AC175" s="8" t="n">
        <v>1.8</v>
      </c>
      <c r="AD175" s="8" t="n">
        <v>21</v>
      </c>
      <c r="AE175" s="8" t="inlineStr">
        <is>
          <t>204C x 70h, K214 O-ring, ASTM D1414</t>
        </is>
      </c>
      <c r="AF175" s="8" t="n">
        <v>1.98</v>
      </c>
      <c r="AG175" s="8" t="inlineStr">
        <is>
          <t>O2 RIE parallel plate, 50 sccm, 900 W, 13 Pa, 1 h</t>
        </is>
      </c>
      <c r="AH175" s="8" t="inlineStr">
        <is>
          <t>MPa; Shore A</t>
        </is>
      </c>
      <c r="AI175" s="8" t="inlineStr">
        <is>
          <t>Table I/II. Other plasma % weight loss: CF4/O2 (45.5/4.5 sccm, 900 W, 13 Pa, 1 h) 1.06; NF3/Ar (13/37 sccm, 900 W, 31 Pa, 1 h) 1.47. K214 O-rings, ASTM D1414. Post cure N2 305C x 26 h after slow ramp.</t>
        </is>
      </c>
    </row>
    <row r="176">
      <c r="A176" s="8" t="inlineStr">
        <is>
          <t>US20050107544A1</t>
        </is>
      </c>
      <c r="B176" s="8" t="inlineStr">
        <is>
          <t>patent</t>
        </is>
      </c>
      <c r="C176" s="8" t="inlineStr">
        <is>
          <t>DuPont Dow Elastomers LLC</t>
        </is>
      </c>
      <c r="D176" s="8" t="inlineStr">
        <is>
          <t>Plasma resistant curable fluoroelastomer composition</t>
        </is>
      </c>
      <c r="E176" s="8" t="inlineStr">
        <is>
          <t>https://patents.google.com/patent/US20050107544A1/en</t>
        </is>
      </c>
      <c r="F176" s="8" t="inlineStr">
        <is>
          <t>Sample 3</t>
        </is>
      </c>
      <c r="G176" s="8" t="inlineStr">
        <is>
          <t>FFKM</t>
        </is>
      </c>
      <c r="H176" s="8" t="inlineStr">
        <is>
          <t>Fluoroelastomer 1: TFE/PMVE/8-CNVE 68.2/31.0/0.80 mol%</t>
        </is>
      </c>
      <c r="I176" s="8" t="inlineStr">
        <is>
          <t>nitrile_triazine</t>
        </is>
      </c>
      <c r="J176" s="8" t="n">
        <v>100</v>
      </c>
      <c r="K176" s="8" t="n">
        <v>0</v>
      </c>
      <c r="L176" s="8" t="n">
        <v>0</v>
      </c>
      <c r="M176" s="8" t="n">
        <v>0</v>
      </c>
      <c r="N176" s="8" t="n">
        <v>10</v>
      </c>
      <c r="O176" s="8" t="n">
        <v>0</v>
      </c>
      <c r="P176" s="8" t="n">
        <v>0</v>
      </c>
      <c r="Q176" s="8" t="n">
        <v>0</v>
      </c>
      <c r="R176" s="8" t="n">
        <v>0</v>
      </c>
      <c r="S176" s="8" t="n">
        <v>0</v>
      </c>
      <c r="T176" s="8" t="n">
        <v>0</v>
      </c>
      <c r="U176" s="8" t="n">
        <v>0.3</v>
      </c>
      <c r="V176" s="8" t="n">
        <v>0</v>
      </c>
      <c r="W176" s="8" t="n">
        <v>0</v>
      </c>
      <c r="X176" s="8" t="n">
        <v>0</v>
      </c>
      <c r="Y176" s="8" t="inlineStr">
        <is>
          <t>Sachtoperse HU-N (100 nm BaSO4) 10; urea 0.3</t>
        </is>
      </c>
      <c r="Z176" s="8" t="n">
        <v>65</v>
      </c>
      <c r="AA176" s="8" t="n">
        <v>6.2</v>
      </c>
      <c r="AB176" s="8" t="n">
        <v>214</v>
      </c>
      <c r="AC176" s="8" t="n">
        <v>1.8</v>
      </c>
      <c r="AD176" s="8" t="n">
        <v>33</v>
      </c>
      <c r="AE176" s="8" t="inlineStr">
        <is>
          <t>204C x 70h, K214 O-ring, ASTM D1414</t>
        </is>
      </c>
      <c r="AF176" s="8" t="n">
        <v>1.77</v>
      </c>
      <c r="AG176" s="8" t="inlineStr">
        <is>
          <t>O2 RIE parallel plate, 50 sccm, 900 W, 13 Pa, 1 h</t>
        </is>
      </c>
      <c r="AH176" s="8" t="inlineStr">
        <is>
          <t>MPa; Shore A</t>
        </is>
      </c>
      <c r="AI176" s="8" t="inlineStr">
        <is>
          <t>Table I/II. Other plasma % weight loss: CF4/O2 (45.5/4.5 sccm, 900 W, 13 Pa, 1 h) 1.06; NF3/Ar (13/37 sccm, 900 W, 31 Pa, 1 h) 1.36. K214 O-rings, ASTM D1414. Post cure N2 305C x 26 h after slow ramp.</t>
        </is>
      </c>
    </row>
    <row r="177">
      <c r="A177" s="8" t="inlineStr">
        <is>
          <t>US20050107544A1</t>
        </is>
      </c>
      <c r="B177" s="8" t="inlineStr">
        <is>
          <t>patent</t>
        </is>
      </c>
      <c r="C177" s="8" t="inlineStr">
        <is>
          <t>DuPont Dow Elastomers LLC</t>
        </is>
      </c>
      <c r="D177" s="8" t="inlineStr">
        <is>
          <t>Plasma resistant curable fluoroelastomer composition</t>
        </is>
      </c>
      <c r="E177" s="8" t="inlineStr">
        <is>
          <t>https://patents.google.com/patent/US20050107544A1/en</t>
        </is>
      </c>
      <c r="F177" s="8" t="inlineStr">
        <is>
          <t>Sample 4</t>
        </is>
      </c>
      <c r="G177" s="8" t="inlineStr">
        <is>
          <t>FFKM</t>
        </is>
      </c>
      <c r="H177" s="8" t="inlineStr">
        <is>
          <t>Fluoroelastomer 1: TFE/PMVE/8-CNVE 68.2/31.0/0.80 mol%</t>
        </is>
      </c>
      <c r="I177" s="8" t="inlineStr">
        <is>
          <t>nitrile_bisaminophenol</t>
        </is>
      </c>
      <c r="J177" s="8" t="n">
        <v>100</v>
      </c>
      <c r="K177" s="8" t="n">
        <v>0</v>
      </c>
      <c r="L177" s="8" t="n">
        <v>0</v>
      </c>
      <c r="M177" s="8" t="n">
        <v>0</v>
      </c>
      <c r="N177" s="8" t="n">
        <v>18</v>
      </c>
      <c r="O177" s="8" t="n">
        <v>0</v>
      </c>
      <c r="P177" s="8" t="n">
        <v>0</v>
      </c>
      <c r="Q177" s="8" t="n">
        <v>0</v>
      </c>
      <c r="R177" s="8" t="n">
        <v>0</v>
      </c>
      <c r="S177" s="8" t="n">
        <v>0</v>
      </c>
      <c r="T177" s="8" t="n">
        <v>0</v>
      </c>
      <c r="U177" s="8" t="n">
        <v>1.75</v>
      </c>
      <c r="V177" s="8" t="n">
        <v>0.1</v>
      </c>
      <c r="W177" s="8" t="n">
        <v>0</v>
      </c>
      <c r="X177" s="8" t="n">
        <v>0</v>
      </c>
      <c r="Y177" s="8" t="inlineStr">
        <is>
          <t>Sachtoperse HU-N (100 nm BaSO4) 18; DABPAF 1.75; urea 0.1 (in other_curative)</t>
        </is>
      </c>
      <c r="Z177" s="8" t="n">
        <v>70</v>
      </c>
      <c r="AA177" s="8" t="n">
        <v>6.4</v>
      </c>
      <c r="AB177" s="8" t="n">
        <v>185</v>
      </c>
      <c r="AC177" s="8" t="n">
        <v>2.9</v>
      </c>
      <c r="AD177" s="8" t="n">
        <v>18</v>
      </c>
      <c r="AE177" s="8" t="inlineStr">
        <is>
          <t>204C x 70h, K214 O-ring, ASTM D1414</t>
        </is>
      </c>
      <c r="AF177" s="8" t="n">
        <v>1.08</v>
      </c>
      <c r="AG177" s="8" t="inlineStr">
        <is>
          <t>O2 RIE parallel plate, 50 sccm, 900 W, 13 Pa, 1 h</t>
        </is>
      </c>
      <c r="AH177" s="8" t="inlineStr">
        <is>
          <t>MPa; Shore A</t>
        </is>
      </c>
      <c r="AI177" s="8" t="inlineStr">
        <is>
          <t>Table I/II. Other plasma % weight loss: CF4/O2 (45.5/4.5 sccm, 900 W, 13 Pa, 1 h) 0.61; NF3/Ar (13/37 sccm, 900 W, 31 Pa, 1 h) 0.94. K214 O-rings, ASTM D1414. Post cure N2 305C x 26 h after slow ramp.</t>
        </is>
      </c>
    </row>
    <row r="178">
      <c r="A178" s="8" t="inlineStr">
        <is>
          <t>US20050107544A1</t>
        </is>
      </c>
      <c r="B178" s="8" t="inlineStr">
        <is>
          <t>patent</t>
        </is>
      </c>
      <c r="C178" s="8" t="inlineStr">
        <is>
          <t>DuPont Dow Elastomers LLC</t>
        </is>
      </c>
      <c r="D178" s="8" t="inlineStr">
        <is>
          <t>Plasma resistant curable fluoroelastomer composition</t>
        </is>
      </c>
      <c r="E178" s="8" t="inlineStr">
        <is>
          <t>https://patents.google.com/patent/US20050107544A1/en</t>
        </is>
      </c>
      <c r="F178" s="8" t="inlineStr">
        <is>
          <t>Sample 5</t>
        </is>
      </c>
      <c r="G178" s="8" t="inlineStr">
        <is>
          <t>FFKM</t>
        </is>
      </c>
      <c r="H178" s="8" t="inlineStr">
        <is>
          <t>Fluoroelastomer 1: TFE/PMVE/8-CNVE 68.2/31.0/0.80 mol%</t>
        </is>
      </c>
      <c r="I178" s="8" t="inlineStr">
        <is>
          <t>peroxide</t>
        </is>
      </c>
      <c r="J178" s="8" t="n">
        <v>100</v>
      </c>
      <c r="K178" s="8" t="n">
        <v>0</v>
      </c>
      <c r="L178" s="8" t="n">
        <v>0</v>
      </c>
      <c r="M178" s="8" t="n">
        <v>0</v>
      </c>
      <c r="N178" s="8" t="n">
        <v>20</v>
      </c>
      <c r="O178" s="8" t="n">
        <v>0</v>
      </c>
      <c r="P178" s="8" t="n">
        <v>0</v>
      </c>
      <c r="Q178" s="8" t="n">
        <v>0</v>
      </c>
      <c r="R178" s="8" t="n">
        <v>0</v>
      </c>
      <c r="S178" s="8" t="n">
        <v>2</v>
      </c>
      <c r="T178" s="8" t="n">
        <v>3</v>
      </c>
      <c r="U178" s="8" t="n">
        <v>0</v>
      </c>
      <c r="V178" s="8" t="n">
        <v>0</v>
      </c>
      <c r="W178" s="8" t="n">
        <v>0</v>
      </c>
      <c r="X178" s="8" t="n">
        <v>0</v>
      </c>
      <c r="Y178" s="8" t="inlineStr">
        <is>
          <t>Sachtoperse HU-N (100 nm BaSO4) 20; Diak 8 (TMAIC) 2; PLC(DBPH)-68 peroxide 3 (68% active)</t>
        </is>
      </c>
      <c r="Z178" s="8" t="n">
        <v>74</v>
      </c>
      <c r="AA178" s="8" t="n">
        <v>9.6</v>
      </c>
      <c r="AB178" s="8" t="n">
        <v>195</v>
      </c>
      <c r="AC178" s="8" t="n">
        <v>3.4</v>
      </c>
      <c r="AD178" s="8" t="n">
        <v>33</v>
      </c>
      <c r="AE178" s="8" t="inlineStr">
        <is>
          <t>204C x 70h, K214 O-ring, ASTM D1414</t>
        </is>
      </c>
      <c r="AF178" s="8" t="n">
        <v>1.08</v>
      </c>
      <c r="AG178" s="8" t="inlineStr">
        <is>
          <t>O2 RIE parallel plate, 50 sccm, 900 W, 13 Pa, 1 h</t>
        </is>
      </c>
      <c r="AH178" s="8" t="inlineStr">
        <is>
          <t>MPa; Shore A</t>
        </is>
      </c>
      <c r="AI178" s="8" t="inlineStr">
        <is>
          <t>Table I/II. Other plasma % weight loss: CF4/O2 (45.5/4.5 sccm, 900 W, 13 Pa, 1 h) 0.56; NF3/Ar (13/37 sccm, 900 W, 31 Pa, 1 h) 0.66. K214 O-rings, ASTM D1414. Molded 177C x 10 min, post cure air 232C x 24 h.</t>
        </is>
      </c>
    </row>
    <row r="179">
      <c r="A179" s="8" t="inlineStr">
        <is>
          <t>US20050107544A1</t>
        </is>
      </c>
      <c r="B179" s="8" t="inlineStr">
        <is>
          <t>patent</t>
        </is>
      </c>
      <c r="C179" s="8" t="inlineStr">
        <is>
          <t>DuPont Dow Elastomers LLC</t>
        </is>
      </c>
      <c r="D179" s="8" t="inlineStr">
        <is>
          <t>Plasma resistant curable fluoroelastomer composition</t>
        </is>
      </c>
      <c r="E179" s="8" t="inlineStr">
        <is>
          <t>https://patents.google.com/patent/US20050107544A1/en</t>
        </is>
      </c>
      <c r="F179" s="8" t="inlineStr">
        <is>
          <t>Comparative Example A</t>
        </is>
      </c>
      <c r="G179" s="8" t="inlineStr">
        <is>
          <t>FFKM</t>
        </is>
      </c>
      <c r="H179" s="8" t="inlineStr">
        <is>
          <t>Fluoroelastomer 1: TFE/PMVE/8-CNVE 68.2/31.0/0.80 mol%</t>
        </is>
      </c>
      <c r="I179" s="8" t="inlineStr">
        <is>
          <t>nitrile_bisaminophenol</t>
        </is>
      </c>
      <c r="J179" s="8" t="n">
        <v>100</v>
      </c>
      <c r="K179" s="8" t="n">
        <v>0</v>
      </c>
      <c r="L179" s="8" t="n">
        <v>0</v>
      </c>
      <c r="M179" s="8" t="n">
        <v>0</v>
      </c>
      <c r="N179" s="8" t="n">
        <v>10</v>
      </c>
      <c r="O179" s="8" t="n">
        <v>0</v>
      </c>
      <c r="P179" s="8" t="n">
        <v>0</v>
      </c>
      <c r="Q179" s="8" t="n">
        <v>0</v>
      </c>
      <c r="R179" s="8" t="n">
        <v>0</v>
      </c>
      <c r="S179" s="8" t="n">
        <v>0</v>
      </c>
      <c r="T179" s="8" t="n">
        <v>0</v>
      </c>
      <c r="U179" s="8" t="n">
        <v>1.75</v>
      </c>
      <c r="V179" s="8" t="n">
        <v>0</v>
      </c>
      <c r="W179" s="8" t="n">
        <v>0</v>
      </c>
      <c r="X179" s="8" t="n">
        <v>0</v>
      </c>
      <c r="Y179" s="8" t="inlineStr">
        <is>
          <t>Blanc Fixe F (1 um BaSO4) 10; DABPAF 1.75</t>
        </is>
      </c>
      <c r="Z179" s="8" t="n">
        <v>63</v>
      </c>
      <c r="AA179" s="8" t="n">
        <v>6.3</v>
      </c>
      <c r="AB179" s="8" t="n">
        <v>161</v>
      </c>
      <c r="AC179" s="8" t="n">
        <v>1.4</v>
      </c>
      <c r="AD179" s="8" t="n">
        <v>13</v>
      </c>
      <c r="AE179" s="8" t="inlineStr">
        <is>
          <t>204C x 70h, K214 O-ring, ASTM D1414</t>
        </is>
      </c>
      <c r="AF179" s="8" t="n">
        <v>3.25</v>
      </c>
      <c r="AG179" s="8" t="inlineStr">
        <is>
          <t>O2 RIE parallel plate, 50 sccm, 900 W, 13 Pa, 1 h</t>
        </is>
      </c>
      <c r="AH179" s="8" t="inlineStr">
        <is>
          <t>MPa; Shore A</t>
        </is>
      </c>
      <c r="AI179" s="8" t="inlineStr">
        <is>
          <t>Table I/II. Other plasma % weight loss: CF4/O2 (45.5/4.5 sccm, 900 W, 13 Pa, 1 h) 1.59; NF3/Ar (13/37 sccm, 900 W, 31 Pa, 1 h) 2.08. K214 O-rings, ASTM D1414. Post cure N2 305C x 26 h after slow ramp.</t>
        </is>
      </c>
    </row>
    <row r="180">
      <c r="A180" s="8" t="inlineStr">
        <is>
          <t>US20050107544A1</t>
        </is>
      </c>
      <c r="B180" s="8" t="inlineStr">
        <is>
          <t>patent</t>
        </is>
      </c>
      <c r="C180" s="8" t="inlineStr">
        <is>
          <t>DuPont Dow Elastomers LLC</t>
        </is>
      </c>
      <c r="D180" s="8" t="inlineStr">
        <is>
          <t>Plasma resistant curable fluoroelastomer composition</t>
        </is>
      </c>
      <c r="E180" s="8" t="inlineStr">
        <is>
          <t>https://patents.google.com/patent/US20050107544A1/en</t>
        </is>
      </c>
      <c r="F180" s="8" t="inlineStr">
        <is>
          <t>Comparative Example B</t>
        </is>
      </c>
      <c r="G180" s="8" t="inlineStr">
        <is>
          <t>FFKM</t>
        </is>
      </c>
      <c r="H180" s="8" t="inlineStr">
        <is>
          <t>Fluoroelastomer 1: TFE/PMVE/8-CNVE 68.2/31.0/0.80 mol%</t>
        </is>
      </c>
      <c r="I180" s="8" t="inlineStr">
        <is>
          <t>nitrile_triazine</t>
        </is>
      </c>
      <c r="J180" s="8" t="n">
        <v>100</v>
      </c>
      <c r="K180" s="8" t="n">
        <v>0</v>
      </c>
      <c r="L180" s="8" t="n">
        <v>0</v>
      </c>
      <c r="M180" s="8" t="n">
        <v>0</v>
      </c>
      <c r="N180" s="8" t="n">
        <v>10</v>
      </c>
      <c r="O180" s="8" t="n">
        <v>0</v>
      </c>
      <c r="P180" s="8" t="n">
        <v>0</v>
      </c>
      <c r="Q180" s="8" t="n">
        <v>0</v>
      </c>
      <c r="R180" s="8" t="n">
        <v>0</v>
      </c>
      <c r="S180" s="8" t="n">
        <v>0</v>
      </c>
      <c r="T180" s="8" t="n">
        <v>0</v>
      </c>
      <c r="U180" s="8" t="n">
        <v>0.3</v>
      </c>
      <c r="V180" s="8" t="n">
        <v>0</v>
      </c>
      <c r="W180" s="8" t="n">
        <v>0</v>
      </c>
      <c r="X180" s="8" t="n">
        <v>0</v>
      </c>
      <c r="Y180" s="8" t="inlineStr">
        <is>
          <t>Blanc Fixe F (1 um BaSO4) 10; urea 0.3</t>
        </is>
      </c>
      <c r="Z180" s="8" t="n">
        <v>64</v>
      </c>
      <c r="AA180" s="8" t="n">
        <v>5.2</v>
      </c>
      <c r="AB180" s="8" t="n">
        <v>199</v>
      </c>
      <c r="AC180" s="8" t="n">
        <v>1.4</v>
      </c>
      <c r="AD180" s="8" t="n">
        <v>21</v>
      </c>
      <c r="AE180" s="8" t="inlineStr">
        <is>
          <t>204C x 70h, K214 O-ring, ASTM D1414</t>
        </is>
      </c>
      <c r="AF180" s="8" t="n">
        <v>3.26</v>
      </c>
      <c r="AG180" s="8" t="inlineStr">
        <is>
          <t>O2 RIE parallel plate, 50 sccm, 900 W, 13 Pa, 1 h</t>
        </is>
      </c>
      <c r="AH180" s="8" t="inlineStr">
        <is>
          <t>MPa; Shore A</t>
        </is>
      </c>
      <c r="AI180" s="8" t="inlineStr">
        <is>
          <t>Table I/II. Other plasma % weight loss: CF4/O2 (45.5/4.5 sccm, 900 W, 13 Pa, 1 h) 1.53; NF3/Ar (13/37 sccm, 900 W, 31 Pa, 1 h) 2.19. K214 O-rings, ASTM D1414. Post cure N2 305C x 26 h after slow ramp.</t>
        </is>
      </c>
    </row>
    <row r="181">
      <c r="A181" s="8" t="inlineStr">
        <is>
          <t>US20050107544A1</t>
        </is>
      </c>
      <c r="B181" s="8" t="inlineStr">
        <is>
          <t>patent</t>
        </is>
      </c>
      <c r="C181" s="8" t="inlineStr">
        <is>
          <t>DuPont Dow Elastomers LLC</t>
        </is>
      </c>
      <c r="D181" s="8" t="inlineStr">
        <is>
          <t>Plasma resistant curable fluoroelastomer composition</t>
        </is>
      </c>
      <c r="E181" s="8" t="inlineStr">
        <is>
          <t>https://patents.google.com/patent/US20050107544A1/en</t>
        </is>
      </c>
      <c r="F181" s="8" t="inlineStr">
        <is>
          <t>Sample 6</t>
        </is>
      </c>
      <c r="G181" s="8" t="inlineStr">
        <is>
          <t>FKM</t>
        </is>
      </c>
      <c r="H181" s="8" t="inlineStr">
        <is>
          <t>Fluoroelastomer 2: VDF/PMVE/TFE/BTFB 34/38/26/2 wt%</t>
        </is>
      </c>
      <c r="I181" s="8" t="inlineStr">
        <is>
          <t>peroxide</t>
        </is>
      </c>
      <c r="J181" s="8" t="n">
        <v>100</v>
      </c>
      <c r="K181" s="8" t="n">
        <v>0</v>
      </c>
      <c r="L181" s="8" t="n">
        <v>0</v>
      </c>
      <c r="M181" s="8" t="n">
        <v>0</v>
      </c>
      <c r="N181" s="8" t="n">
        <v>20</v>
      </c>
      <c r="O181" s="8" t="n">
        <v>0</v>
      </c>
      <c r="P181" s="8" t="n">
        <v>0</v>
      </c>
      <c r="Q181" s="8" t="n">
        <v>0</v>
      </c>
      <c r="R181" s="8" t="n">
        <v>0</v>
      </c>
      <c r="S181" s="8" t="n">
        <v>4.2</v>
      </c>
      <c r="T181" s="8" t="n">
        <v>2</v>
      </c>
      <c r="U181" s="8" t="n">
        <v>0</v>
      </c>
      <c r="V181" s="8" t="n">
        <v>0</v>
      </c>
      <c r="W181" s="8" t="n">
        <v>0</v>
      </c>
      <c r="X181" s="8" t="n">
        <v>0</v>
      </c>
      <c r="Y181" s="8" t="inlineStr">
        <is>
          <t>Sachtoperse HU-N (100 nm BaSO4) 20; PLC(DBPH)-68 peroxide 2 (68% active); TAIC DLC-A 72% (TAIC on SiO2 carrier) 4.2</t>
        </is>
      </c>
      <c r="Z181" s="8" t="n">
        <v>66</v>
      </c>
      <c r="AA181" s="8" t="n">
        <v>6.7</v>
      </c>
      <c r="AB181" s="8" t="n">
        <v>232</v>
      </c>
      <c r="AC181" s="8" t="n">
        <v>1.7</v>
      </c>
      <c r="AD181" s="8" t="n">
        <v>28</v>
      </c>
      <c r="AE181" s="8" t="inlineStr">
        <is>
          <t>204C x 70h, K214 O-ring, ASTM D1414</t>
        </is>
      </c>
      <c r="AF181" s="8" t="n">
        <v>1.06</v>
      </c>
      <c r="AG181" s="8" t="inlineStr">
        <is>
          <t>NF3/Ar RIE, 13/37 sccm, 900 W, 31 Pa, 1 h (only plasma tested)</t>
        </is>
      </c>
      <c r="AH181" s="8" t="inlineStr">
        <is>
          <t>MPa; Shore A</t>
        </is>
      </c>
      <c r="AI181" s="8" t="inlineStr">
        <is>
          <t>Table IV/V. Br cure-site FKM. Coagent recorded as stated (72% TAIC on silica carrier; silica carrier not counted in silica_phr). Molded 165C x 20 min, post cure air 180C x 20 h.</t>
        </is>
      </c>
    </row>
    <row r="182">
      <c r="A182" s="8" t="inlineStr">
        <is>
          <t>US20050107544A1</t>
        </is>
      </c>
      <c r="B182" s="8" t="inlineStr">
        <is>
          <t>patent</t>
        </is>
      </c>
      <c r="C182" s="8" t="inlineStr">
        <is>
          <t>DuPont Dow Elastomers LLC</t>
        </is>
      </c>
      <c r="D182" s="8" t="inlineStr">
        <is>
          <t>Plasma resistant curable fluoroelastomer composition</t>
        </is>
      </c>
      <c r="E182" s="8" t="inlineStr">
        <is>
          <t>https://patents.google.com/patent/US20050107544A1/en</t>
        </is>
      </c>
      <c r="F182" s="8" t="inlineStr">
        <is>
          <t>Comparative Example C</t>
        </is>
      </c>
      <c r="G182" s="8" t="inlineStr">
        <is>
          <t>FKM</t>
        </is>
      </c>
      <c r="H182" s="8" t="inlineStr">
        <is>
          <t>Fluoroelastomer 2: VDF/PMVE/TFE/BTFB 34/38/26/2 wt%</t>
        </is>
      </c>
      <c r="I182" s="8" t="inlineStr">
        <is>
          <t>peroxide</t>
        </is>
      </c>
      <c r="J182" s="8" t="n">
        <v>100</v>
      </c>
      <c r="K182" s="8" t="n">
        <v>0</v>
      </c>
      <c r="L182" s="8" t="n">
        <v>0</v>
      </c>
      <c r="M182" s="8" t="n">
        <v>0</v>
      </c>
      <c r="N182" s="8" t="n">
        <v>20</v>
      </c>
      <c r="O182" s="8" t="n">
        <v>0</v>
      </c>
      <c r="P182" s="8" t="n">
        <v>0</v>
      </c>
      <c r="Q182" s="8" t="n">
        <v>0</v>
      </c>
      <c r="R182" s="8" t="n">
        <v>0</v>
      </c>
      <c r="S182" s="8" t="n">
        <v>4.2</v>
      </c>
      <c r="T182" s="8" t="n">
        <v>2</v>
      </c>
      <c r="U182" s="8" t="n">
        <v>0</v>
      </c>
      <c r="V182" s="8" t="n">
        <v>0</v>
      </c>
      <c r="W182" s="8" t="n">
        <v>0</v>
      </c>
      <c r="X182" s="8" t="n">
        <v>0</v>
      </c>
      <c r="Y182" s="8" t="inlineStr">
        <is>
          <t>Blanc Fixe F (1 um BaSO4) 20; PLC(DBPH)-68 peroxide 2 (68% active); TAIC DLC-A 72% (TAIC on SiO2 carrier) 4.2</t>
        </is>
      </c>
      <c r="Z182" s="8" t="n">
        <v>66</v>
      </c>
      <c r="AA182" s="8" t="n">
        <v>5.2</v>
      </c>
      <c r="AB182" s="8" t="n">
        <v>242</v>
      </c>
      <c r="AC182" s="8" t="n">
        <v>1.6</v>
      </c>
      <c r="AD182" s="8" t="n">
        <v>32</v>
      </c>
      <c r="AE182" s="8" t="inlineStr">
        <is>
          <t>204C x 70h, K214 O-ring, ASTM D1414</t>
        </is>
      </c>
      <c r="AF182" s="8" t="n">
        <v>1.38</v>
      </c>
      <c r="AG182" s="8" t="inlineStr">
        <is>
          <t>NF3/Ar RIE, 13/37 sccm, 900 W, 31 Pa, 1 h (only plasma tested)</t>
        </is>
      </c>
      <c r="AH182" s="8" t="inlineStr">
        <is>
          <t>MPa; Shore A</t>
        </is>
      </c>
      <c r="AI182" s="8" t="inlineStr">
        <is>
          <t>Table IV/V. Br cure-site FKM. Coagent recorded as stated (72% TAIC on silica carrier; silica carrier not counted in silica_phr). Molded 165C x 20 min, post cure air 180C x 20 h.</t>
        </is>
      </c>
    </row>
    <row r="183">
      <c r="A183" s="8" t="inlineStr">
        <is>
          <t>US6191208B1</t>
        </is>
      </c>
      <c r="B183" s="8" t="inlineStr">
        <is>
          <t>patent</t>
        </is>
      </c>
      <c r="C183" s="8" t="inlineStr">
        <is>
          <t>DuPont Dow Elastomers LLC</t>
        </is>
      </c>
      <c r="D183" s="8" t="inlineStr">
        <is>
          <t>Thermally stable perfluoroelastomer composition</t>
        </is>
      </c>
      <c r="E183" s="8" t="inlineStr">
        <is>
          <t>https://patents.google.com/patent/US6191208B1/en</t>
        </is>
      </c>
      <c r="F183" s="8" t="inlineStr">
        <is>
          <t>Comparative Example A</t>
        </is>
      </c>
      <c r="G183" s="8" t="inlineStr">
        <is>
          <t>FFKM</t>
        </is>
      </c>
      <c r="H183" s="8" t="inlineStr">
        <is>
          <t>Polymer A: TFE/PMVE/8-CNVE 67.9/31.5/0.60 mol%</t>
        </is>
      </c>
      <c r="I183" s="8" t="inlineStr">
        <is>
          <t>nitrile_organotin</t>
        </is>
      </c>
      <c r="J183" s="8" t="n">
        <v>100</v>
      </c>
      <c r="K183" s="8" t="n">
        <v>12</v>
      </c>
      <c r="L183" s="8" t="n">
        <v>0</v>
      </c>
      <c r="M183" s="8" t="n">
        <v>0</v>
      </c>
      <c r="N183" s="8" t="n">
        <v>0</v>
      </c>
      <c r="O183" s="8" t="n">
        <v>0</v>
      </c>
      <c r="P183" s="8" t="n">
        <v>0</v>
      </c>
      <c r="Q183" s="8" t="n">
        <v>0</v>
      </c>
      <c r="R183" s="8" t="n">
        <v>0</v>
      </c>
      <c r="S183" s="8" t="n">
        <v>0</v>
      </c>
      <c r="T183" s="8" t="n">
        <v>0</v>
      </c>
      <c r="U183" s="8" t="n">
        <v>3</v>
      </c>
      <c r="V183" s="8" t="n">
        <v>0.3</v>
      </c>
      <c r="W183" s="8" t="n">
        <v>0</v>
      </c>
      <c r="X183" s="8" t="n">
        <v>0</v>
      </c>
      <c r="Y183" s="8" t="inlineStr">
        <is>
          <t>tetraphenyltin 3; dicyclohexyl-18-crown-6 0.3 (in other_curative); SAF carbon black 12</t>
        </is>
      </c>
      <c r="Z183" s="8" t="n"/>
      <c r="AA183" s="8" t="n">
        <v>14.3</v>
      </c>
      <c r="AB183" s="8" t="n">
        <v>145</v>
      </c>
      <c r="AC183" s="8" t="n">
        <v>6.6</v>
      </c>
      <c r="AD183" s="8" t="n">
        <v>47.6</v>
      </c>
      <c r="AE183" s="8" t="inlineStr">
        <is>
          <t>200C x 336h, O-ring, ASTM D395</t>
        </is>
      </c>
      <c r="AF183" s="8" t="n"/>
      <c r="AG183" s="8" t="n"/>
      <c r="AH183" s="8" t="inlineStr">
        <is>
          <t>MPa</t>
        </is>
      </c>
      <c r="AI183" s="8" t="inlineStr">
        <is>
          <t>Table I. Tensile after post cure N2 42 h at 305C. HF generation 2000 ppm. Hardness not reported.</t>
        </is>
      </c>
    </row>
    <row r="184">
      <c r="A184" s="8" t="inlineStr">
        <is>
          <t>US6191208B1</t>
        </is>
      </c>
      <c r="B184" s="8" t="inlineStr">
        <is>
          <t>patent</t>
        </is>
      </c>
      <c r="C184" s="8" t="inlineStr">
        <is>
          <t>DuPont Dow Elastomers LLC</t>
        </is>
      </c>
      <c r="D184" s="8" t="inlineStr">
        <is>
          <t>Thermally stable perfluoroelastomer composition</t>
        </is>
      </c>
      <c r="E184" s="8" t="inlineStr">
        <is>
          <t>https://patents.google.com/patent/US6191208B1/en</t>
        </is>
      </c>
      <c r="F184" s="8" t="inlineStr">
        <is>
          <t>Comparative Example B</t>
        </is>
      </c>
      <c r="G184" s="8" t="inlineStr">
        <is>
          <t>FFKM</t>
        </is>
      </c>
      <c r="H184" s="8" t="inlineStr">
        <is>
          <t>Polymer B: TFE/PMVE/8-CNVE 68.2/31.0/0.80 mol%</t>
        </is>
      </c>
      <c r="I184" s="8" t="inlineStr">
        <is>
          <t>nitrile_triazine</t>
        </is>
      </c>
      <c r="J184" s="8" t="n">
        <v>100</v>
      </c>
      <c r="K184" s="8" t="n">
        <v>0</v>
      </c>
      <c r="L184" s="8" t="n">
        <v>0</v>
      </c>
      <c r="M184" s="8" t="n">
        <v>0</v>
      </c>
      <c r="N184" s="8" t="n">
        <v>0</v>
      </c>
      <c r="O184" s="8" t="n">
        <v>6.5</v>
      </c>
      <c r="P184" s="8" t="n">
        <v>0</v>
      </c>
      <c r="Q184" s="8" t="n">
        <v>0</v>
      </c>
      <c r="R184" s="8" t="n">
        <v>0</v>
      </c>
      <c r="S184" s="8" t="n">
        <v>0</v>
      </c>
      <c r="T184" s="8" t="n">
        <v>0</v>
      </c>
      <c r="U184" s="8" t="n">
        <v>0.5</v>
      </c>
      <c r="V184" s="8" t="n">
        <v>0</v>
      </c>
      <c r="W184" s="8" t="n">
        <v>0</v>
      </c>
      <c r="X184" s="8" t="n">
        <v>0</v>
      </c>
      <c r="Y184" s="8" t="inlineStr">
        <is>
          <t>ammonium perfluorooctanoate 0.5; TiO2 6.5</t>
        </is>
      </c>
      <c r="Z184" s="8" t="n"/>
      <c r="AA184" s="8" t="n">
        <v>15.4</v>
      </c>
      <c r="AB184" s="8" t="n">
        <v>287</v>
      </c>
      <c r="AC184" s="8" t="n">
        <v>2.3</v>
      </c>
      <c r="AD184" s="8" t="n">
        <v>35</v>
      </c>
      <c r="AE184" s="8" t="inlineStr">
        <is>
          <t>200C x 336h, O-ring, ASTM D395</t>
        </is>
      </c>
      <c r="AF184" s="8" t="n"/>
      <c r="AG184" s="8" t="n"/>
      <c r="AH184" s="8" t="inlineStr">
        <is>
          <t>MPa</t>
        </is>
      </c>
      <c r="AI184" s="8" t="inlineStr">
        <is>
          <t>Table I. Tensile after post cure N2 42 h at 305C. HF generation 49 ppm. Hardness not reported.</t>
        </is>
      </c>
    </row>
    <row r="185">
      <c r="A185" s="8" t="inlineStr">
        <is>
          <t>US6191208B1</t>
        </is>
      </c>
      <c r="B185" s="8" t="inlineStr">
        <is>
          <t>patent</t>
        </is>
      </c>
      <c r="C185" s="8" t="inlineStr">
        <is>
          <t>DuPont Dow Elastomers LLC</t>
        </is>
      </c>
      <c r="D185" s="8" t="inlineStr">
        <is>
          <t>Thermally stable perfluoroelastomer composition</t>
        </is>
      </c>
      <c r="E185" s="8" t="inlineStr">
        <is>
          <t>https://patents.google.com/patent/US6191208B1/en</t>
        </is>
      </c>
      <c r="F185" s="8" t="inlineStr">
        <is>
          <t>Example 1</t>
        </is>
      </c>
      <c r="G185" s="8" t="inlineStr">
        <is>
          <t>FFKM</t>
        </is>
      </c>
      <c r="H185" s="8" t="inlineStr">
        <is>
          <t>Polymer C: TFE/PMVE/8-CNVE 68.6/30.4/1.03 mol%</t>
        </is>
      </c>
      <c r="I185" s="8" t="inlineStr">
        <is>
          <t>nitrile_triazine</t>
        </is>
      </c>
      <c r="J185" s="8" t="n">
        <v>100</v>
      </c>
      <c r="K185" s="8" t="n">
        <v>0</v>
      </c>
      <c r="L185" s="8" t="n">
        <v>3</v>
      </c>
      <c r="M185" s="8" t="n">
        <v>0</v>
      </c>
      <c r="N185" s="8" t="n">
        <v>0</v>
      </c>
      <c r="O185" s="8" t="n">
        <v>6.5</v>
      </c>
      <c r="P185" s="8" t="n">
        <v>0</v>
      </c>
      <c r="Q185" s="8" t="n">
        <v>0</v>
      </c>
      <c r="R185" s="8" t="n">
        <v>0</v>
      </c>
      <c r="S185" s="8" t="n">
        <v>0</v>
      </c>
      <c r="T185" s="8" t="n">
        <v>0</v>
      </c>
      <c r="U185" s="8" t="n">
        <v>0.5</v>
      </c>
      <c r="V185" s="8" t="n">
        <v>0</v>
      </c>
      <c r="W185" s="8" t="n">
        <v>0</v>
      </c>
      <c r="X185" s="8" t="n">
        <v>0</v>
      </c>
      <c r="Y185" s="8" t="inlineStr">
        <is>
          <t>ammonium perfluorooctanoate 0.5; TiO2 6.5; Aerosil anhydrous silica 3</t>
        </is>
      </c>
      <c r="Z185" s="8" t="n"/>
      <c r="AA185" s="8" t="n">
        <v>18.2</v>
      </c>
      <c r="AB185" s="8" t="n">
        <v>246</v>
      </c>
      <c r="AC185" s="8" t="n">
        <v>3.6</v>
      </c>
      <c r="AD185" s="8" t="n">
        <v>35</v>
      </c>
      <c r="AE185" s="8" t="inlineStr">
        <is>
          <t>200C x 336h, O-ring, ASTM D395</t>
        </is>
      </c>
      <c r="AF185" s="8" t="n"/>
      <c r="AG185" s="8" t="n"/>
      <c r="AH185" s="8" t="inlineStr">
        <is>
          <t>MPa</t>
        </is>
      </c>
      <c r="AI185" s="8" t="inlineStr">
        <is>
          <t>Table I. Tensile after post cure N2 42 h at 305C. HF generation 7 ppm. Hardness not reported.</t>
        </is>
      </c>
    </row>
    <row r="186">
      <c r="A186" s="8" t="inlineStr">
        <is>
          <t>US6191208B1</t>
        </is>
      </c>
      <c r="B186" s="8" t="inlineStr">
        <is>
          <t>patent</t>
        </is>
      </c>
      <c r="C186" s="8" t="inlineStr">
        <is>
          <t>DuPont Dow Elastomers LLC</t>
        </is>
      </c>
      <c r="D186" s="8" t="inlineStr">
        <is>
          <t>Thermally stable perfluoroelastomer composition</t>
        </is>
      </c>
      <c r="E186" s="8" t="inlineStr">
        <is>
          <t>https://patents.google.com/patent/US6191208B1/en</t>
        </is>
      </c>
      <c r="F186" s="8" t="inlineStr">
        <is>
          <t>Example 2</t>
        </is>
      </c>
      <c r="G186" s="8" t="inlineStr">
        <is>
          <t>FFKM</t>
        </is>
      </c>
      <c r="H186" s="8" t="inlineStr">
        <is>
          <t>Polymer B: TFE/PMVE/8-CNVE 68.2/31.0/0.80 mol%</t>
        </is>
      </c>
      <c r="I186" s="8" t="inlineStr">
        <is>
          <t>nitrile_triazine</t>
        </is>
      </c>
      <c r="J186" s="8" t="n">
        <v>100</v>
      </c>
      <c r="K186" s="8" t="n">
        <v>0</v>
      </c>
      <c r="L186" s="8" t="n">
        <v>1</v>
      </c>
      <c r="M186" s="8" t="n">
        <v>0</v>
      </c>
      <c r="N186" s="8" t="n">
        <v>0</v>
      </c>
      <c r="O186" s="8" t="n">
        <v>6.5</v>
      </c>
      <c r="P186" s="8" t="n">
        <v>0</v>
      </c>
      <c r="Q186" s="8" t="n">
        <v>0</v>
      </c>
      <c r="R186" s="8" t="n">
        <v>0</v>
      </c>
      <c r="S186" s="8" t="n">
        <v>0</v>
      </c>
      <c r="T186" s="8" t="n">
        <v>0</v>
      </c>
      <c r="U186" s="8" t="n">
        <v>0.5</v>
      </c>
      <c r="V186" s="8" t="n">
        <v>0</v>
      </c>
      <c r="W186" s="8" t="n">
        <v>0</v>
      </c>
      <c r="X186" s="8" t="n">
        <v>0</v>
      </c>
      <c r="Y186" s="8" t="inlineStr">
        <is>
          <t>ammonium perfluorooctanoate 0.5; TiO2 6.5; Aerosil anhydrous silica 1</t>
        </is>
      </c>
      <c r="Z186" s="8" t="n"/>
      <c r="AA186" s="8" t="n">
        <v>15.2</v>
      </c>
      <c r="AB186" s="8" t="n">
        <v>304</v>
      </c>
      <c r="AC186" s="8" t="n">
        <v>2.3</v>
      </c>
      <c r="AD186" s="8" t="n">
        <v>34</v>
      </c>
      <c r="AE186" s="8" t="inlineStr">
        <is>
          <t>200C x 336h, O-ring, ASTM D395</t>
        </is>
      </c>
      <c r="AF186" s="8" t="n"/>
      <c r="AG186" s="8" t="n"/>
      <c r="AH186" s="8" t="inlineStr">
        <is>
          <t>MPa</t>
        </is>
      </c>
      <c r="AI186" s="8" t="inlineStr">
        <is>
          <t>Table I. Tensile after post cure N2 42 h at 305C. HF generation 6 ppm. Hardness not reported.</t>
        </is>
      </c>
    </row>
    <row r="187">
      <c r="A187" s="8" t="inlineStr">
        <is>
          <t>US6281296B1</t>
        </is>
      </c>
      <c r="B187" s="8" t="inlineStr">
        <is>
          <t>patent</t>
        </is>
      </c>
      <c r="C187" s="8" t="inlineStr">
        <is>
          <t>DuPont Dow Elastomers LLC</t>
        </is>
      </c>
      <c r="D187" s="8" t="inlineStr">
        <is>
          <t>Curable perfluoroelastomer composition</t>
        </is>
      </c>
      <c r="E187" s="8" t="inlineStr">
        <is>
          <t>https://patents.google.com/patent/US6281296B1/en</t>
        </is>
      </c>
      <c r="F187" s="8" t="inlineStr">
        <is>
          <t>Example 1</t>
        </is>
      </c>
      <c r="G187" s="8" t="inlineStr">
        <is>
          <t>FFKM</t>
        </is>
      </c>
      <c r="H187" s="8" t="inlineStr">
        <is>
          <t>Polymer A: TFE/PMVE/8-CNVE 68.2/31.0/0.8 mol%</t>
        </is>
      </c>
      <c r="I187" s="8" t="inlineStr">
        <is>
          <t>nitrile_bisaminophenol</t>
        </is>
      </c>
      <c r="J187" s="8" t="n">
        <v>100</v>
      </c>
      <c r="K187" s="8" t="n">
        <v>0</v>
      </c>
      <c r="L187" s="8" t="n">
        <v>1</v>
      </c>
      <c r="M187" s="8" t="n">
        <v>0</v>
      </c>
      <c r="N187" s="8" t="n">
        <v>0</v>
      </c>
      <c r="O187" s="8" t="n">
        <v>6.5</v>
      </c>
      <c r="P187" s="8" t="n">
        <v>0</v>
      </c>
      <c r="Q187" s="8" t="n">
        <v>0</v>
      </c>
      <c r="R187" s="8" t="n">
        <v>0</v>
      </c>
      <c r="S187" s="8" t="n">
        <v>0</v>
      </c>
      <c r="T187" s="8" t="n">
        <v>0</v>
      </c>
      <c r="U187" s="8" t="n">
        <v>1.5</v>
      </c>
      <c r="V187" s="8" t="n">
        <v>0.1</v>
      </c>
      <c r="W187" s="8" t="n">
        <v>0</v>
      </c>
      <c r="X187" s="8" t="n">
        <v>0</v>
      </c>
      <c r="Y187" s="8" t="inlineStr">
        <is>
          <t>DABPAF 1.5; acetaldehyde ammonia 0.1 (in other_curative); Aerosil 200 anhydrous silica 1; TiO2 6.5</t>
        </is>
      </c>
      <c r="Z187" s="8" t="n"/>
      <c r="AA187" s="8" t="n">
        <v>16.1</v>
      </c>
      <c r="AB187" s="8" t="n">
        <v>289</v>
      </c>
      <c r="AC187" s="8" t="n">
        <v>2.4</v>
      </c>
      <c r="AD187" s="8" t="n">
        <v>22</v>
      </c>
      <c r="AE187" s="8" t="inlineStr">
        <is>
          <t>204C x 70h, O-ring</t>
        </is>
      </c>
      <c r="AF187" s="8" t="n"/>
      <c r="AG187" s="8" t="n"/>
      <c r="AH187" s="8" t="inlineStr">
        <is>
          <t>MPa</t>
        </is>
      </c>
      <c r="AI187" s="8" t="inlineStr">
        <is>
          <t>Table I. CS 300C/70h = 52. Stress-strain after post cure N2 305C x 24 h (blank = not reported). Polymer isolated with D65 silicone defoamer. Hardness not reported.</t>
        </is>
      </c>
    </row>
    <row r="188">
      <c r="A188" s="8" t="inlineStr">
        <is>
          <t>US6281296B1</t>
        </is>
      </c>
      <c r="B188" s="8" t="inlineStr">
        <is>
          <t>patent</t>
        </is>
      </c>
      <c r="C188" s="8" t="inlineStr">
        <is>
          <t>DuPont Dow Elastomers LLC</t>
        </is>
      </c>
      <c r="D188" s="8" t="inlineStr">
        <is>
          <t>Curable perfluoroelastomer composition</t>
        </is>
      </c>
      <c r="E188" s="8" t="inlineStr">
        <is>
          <t>https://patents.google.com/patent/US6281296B1/en</t>
        </is>
      </c>
      <c r="F188" s="8" t="inlineStr">
        <is>
          <t>Example 2</t>
        </is>
      </c>
      <c r="G188" s="8" t="inlineStr">
        <is>
          <t>FFKM</t>
        </is>
      </c>
      <c r="H188" s="8" t="inlineStr">
        <is>
          <t>Polymer A: TFE/PMVE/8-CNVE 68.2/31.0/0.8 mol%</t>
        </is>
      </c>
      <c r="I188" s="8" t="inlineStr">
        <is>
          <t>nitrile_bisaminophenol</t>
        </is>
      </c>
      <c r="J188" s="8" t="n">
        <v>100</v>
      </c>
      <c r="K188" s="8" t="n">
        <v>0</v>
      </c>
      <c r="L188" s="8" t="n">
        <v>1</v>
      </c>
      <c r="M188" s="8" t="n">
        <v>0</v>
      </c>
      <c r="N188" s="8" t="n">
        <v>0</v>
      </c>
      <c r="O188" s="8" t="n">
        <v>6.5</v>
      </c>
      <c r="P188" s="8" t="n">
        <v>0</v>
      </c>
      <c r="Q188" s="8" t="n">
        <v>0</v>
      </c>
      <c r="R188" s="8" t="n">
        <v>0</v>
      </c>
      <c r="S188" s="8" t="n">
        <v>0</v>
      </c>
      <c r="T188" s="8" t="n">
        <v>0</v>
      </c>
      <c r="U188" s="8" t="n">
        <v>1.5</v>
      </c>
      <c r="V188" s="8" t="n">
        <v>0.1</v>
      </c>
      <c r="W188" s="8" t="n">
        <v>0</v>
      </c>
      <c r="X188" s="8" t="n">
        <v>0</v>
      </c>
      <c r="Y188" s="8" t="inlineStr">
        <is>
          <t>DABPAF 1.5; urea 0.1 (in other_curative); Aerosil 200 anhydrous silica 1; TiO2 6.5</t>
        </is>
      </c>
      <c r="Z188" s="8" t="n"/>
      <c r="AA188" s="8" t="n"/>
      <c r="AB188" s="8" t="n"/>
      <c r="AC188" s="8" t="n"/>
      <c r="AD188" s="8" t="n">
        <v>22</v>
      </c>
      <c r="AE188" s="8" t="inlineStr">
        <is>
          <t>204C x 70h, O-ring</t>
        </is>
      </c>
      <c r="AF188" s="8" t="n"/>
      <c r="AG188" s="8" t="n"/>
      <c r="AH188" s="8" t="inlineStr">
        <is>
          <t>MPa</t>
        </is>
      </c>
      <c r="AI188" s="8" t="inlineStr">
        <is>
          <t>Table I. CS 300C/70h = 51. Stress-strain after post cure N2 305C x 24 h (blank = not reported). Polymer isolated with D65 silicone defoamer. Hardness not reported.</t>
        </is>
      </c>
    </row>
    <row r="189">
      <c r="A189" s="8" t="inlineStr">
        <is>
          <t>US6281296B1</t>
        </is>
      </c>
      <c r="B189" s="8" t="inlineStr">
        <is>
          <t>patent</t>
        </is>
      </c>
      <c r="C189" s="8" t="inlineStr">
        <is>
          <t>DuPont Dow Elastomers LLC</t>
        </is>
      </c>
      <c r="D189" s="8" t="inlineStr">
        <is>
          <t>Curable perfluoroelastomer composition</t>
        </is>
      </c>
      <c r="E189" s="8" t="inlineStr">
        <is>
          <t>https://patents.google.com/patent/US6281296B1/en</t>
        </is>
      </c>
      <c r="F189" s="8" t="inlineStr">
        <is>
          <t>Control A</t>
        </is>
      </c>
      <c r="G189" s="8" t="inlineStr">
        <is>
          <t>FFKM</t>
        </is>
      </c>
      <c r="H189" s="8" t="inlineStr">
        <is>
          <t>Polymer A: TFE/PMVE/8-CNVE 68.2/31.0/0.8 mol%</t>
        </is>
      </c>
      <c r="I189" s="8" t="inlineStr">
        <is>
          <t>nitrile_bisaminophenol</t>
        </is>
      </c>
      <c r="J189" s="8" t="n">
        <v>100</v>
      </c>
      <c r="K189" s="8" t="n">
        <v>0</v>
      </c>
      <c r="L189" s="8" t="n">
        <v>1</v>
      </c>
      <c r="M189" s="8" t="n">
        <v>0</v>
      </c>
      <c r="N189" s="8" t="n">
        <v>0</v>
      </c>
      <c r="O189" s="8" t="n">
        <v>6.5</v>
      </c>
      <c r="P189" s="8" t="n">
        <v>0</v>
      </c>
      <c r="Q189" s="8" t="n">
        <v>0</v>
      </c>
      <c r="R189" s="8" t="n">
        <v>0</v>
      </c>
      <c r="S189" s="8" t="n">
        <v>0</v>
      </c>
      <c r="T189" s="8" t="n">
        <v>0</v>
      </c>
      <c r="U189" s="8" t="n">
        <v>1.5</v>
      </c>
      <c r="V189" s="8" t="n">
        <v>0</v>
      </c>
      <c r="W189" s="8" t="n">
        <v>0</v>
      </c>
      <c r="X189" s="8" t="n">
        <v>0</v>
      </c>
      <c r="Y189" s="8" t="inlineStr">
        <is>
          <t>DABPAF 1.5; Aerosil 200 anhydrous silica 1; TiO2 6.5</t>
        </is>
      </c>
      <c r="Z189" s="8" t="n"/>
      <c r="AA189" s="8" t="n">
        <v>15.4</v>
      </c>
      <c r="AB189" s="8" t="n">
        <v>287</v>
      </c>
      <c r="AC189" s="8" t="n">
        <v>2.3</v>
      </c>
      <c r="AD189" s="8" t="n">
        <v>21</v>
      </c>
      <c r="AE189" s="8" t="inlineStr">
        <is>
          <t>204C x 70h, O-ring</t>
        </is>
      </c>
      <c r="AF189" s="8" t="n"/>
      <c r="AG189" s="8" t="n"/>
      <c r="AH189" s="8" t="inlineStr">
        <is>
          <t>MPa</t>
        </is>
      </c>
      <c r="AI189" s="8" t="inlineStr">
        <is>
          <t>Table I. CS 300C/70h = 50. Stress-strain after post cure N2 305C x 24 h (blank = not reported). Polymer isolated with D65 silicone defoamer. Hardness not reported.</t>
        </is>
      </c>
    </row>
    <row r="190">
      <c r="A190" s="8" t="inlineStr">
        <is>
          <t>US6281296B1</t>
        </is>
      </c>
      <c r="B190" s="8" t="inlineStr">
        <is>
          <t>patent</t>
        </is>
      </c>
      <c r="C190" s="8" t="inlineStr">
        <is>
          <t>DuPont Dow Elastomers LLC</t>
        </is>
      </c>
      <c r="D190" s="8" t="inlineStr">
        <is>
          <t>Curable perfluoroelastomer composition</t>
        </is>
      </c>
      <c r="E190" s="8" t="inlineStr">
        <is>
          <t>https://patents.google.com/patent/US6281296B1/en</t>
        </is>
      </c>
      <c r="F190" s="8" t="inlineStr">
        <is>
          <t>Example 3</t>
        </is>
      </c>
      <c r="G190" s="8" t="inlineStr">
        <is>
          <t>FFKM</t>
        </is>
      </c>
      <c r="H190" s="8" t="inlineStr">
        <is>
          <t>Polymer B: TFE/PMVE/8-CNVE 60.24/38.95/0.81 mol%</t>
        </is>
      </c>
      <c r="I190" s="8" t="inlineStr">
        <is>
          <t>nitrile_bisaminophenol</t>
        </is>
      </c>
      <c r="J190" s="8" t="n">
        <v>100</v>
      </c>
      <c r="K190" s="8" t="n">
        <v>25</v>
      </c>
      <c r="L190" s="8" t="n">
        <v>1</v>
      </c>
      <c r="M190" s="8" t="n">
        <v>0</v>
      </c>
      <c r="N190" s="8" t="n">
        <v>0</v>
      </c>
      <c r="O190" s="8" t="n">
        <v>0</v>
      </c>
      <c r="P190" s="8" t="n">
        <v>0</v>
      </c>
      <c r="Q190" s="8" t="n">
        <v>0</v>
      </c>
      <c r="R190" s="8" t="n">
        <v>0</v>
      </c>
      <c r="S190" s="8" t="n">
        <v>0</v>
      </c>
      <c r="T190" s="8" t="n">
        <v>0</v>
      </c>
      <c r="U190" s="8" t="n">
        <v>1.5</v>
      </c>
      <c r="V190" s="8" t="n">
        <v>0.1</v>
      </c>
      <c r="W190" s="8" t="n">
        <v>0</v>
      </c>
      <c r="X190" s="8" t="n">
        <v>0</v>
      </c>
      <c r="Y190" s="8" t="inlineStr">
        <is>
          <t>DABPAF 1.5; acetaldehyde ammonia 0.1 (in other_curative); Aerosil 200 anhydrous silica 1; MT carbon black 25</t>
        </is>
      </c>
      <c r="Z190" s="8" t="n"/>
      <c r="AA190" s="8" t="n"/>
      <c r="AB190" s="8" t="n"/>
      <c r="AC190" s="8" t="n"/>
      <c r="AD190" s="8" t="n">
        <v>13</v>
      </c>
      <c r="AE190" s="8" t="inlineStr">
        <is>
          <t>204C x 70h, O-ring</t>
        </is>
      </c>
      <c r="AF190" s="8" t="n"/>
      <c r="AG190" s="8" t="n"/>
      <c r="AH190" s="8" t="inlineStr">
        <is>
          <t>MPa</t>
        </is>
      </c>
      <c r="AI190" s="8" t="inlineStr">
        <is>
          <t>Table II. CS 300C/70h = 32. Stress-strain after post cure N2 305C x 24 h (blank = not reported). Polymer isolated with D65 silicone defoamer. Hardness not reported.</t>
        </is>
      </c>
    </row>
    <row r="191">
      <c r="A191" s="8" t="inlineStr">
        <is>
          <t>US6281296B1</t>
        </is>
      </c>
      <c r="B191" s="8" t="inlineStr">
        <is>
          <t>patent</t>
        </is>
      </c>
      <c r="C191" s="8" t="inlineStr">
        <is>
          <t>DuPont Dow Elastomers LLC</t>
        </is>
      </c>
      <c r="D191" s="8" t="inlineStr">
        <is>
          <t>Curable perfluoroelastomer composition</t>
        </is>
      </c>
      <c r="E191" s="8" t="inlineStr">
        <is>
          <t>https://patents.google.com/patent/US6281296B1/en</t>
        </is>
      </c>
      <c r="F191" s="8" t="inlineStr">
        <is>
          <t>Example 4</t>
        </is>
      </c>
      <c r="G191" s="8" t="inlineStr">
        <is>
          <t>FFKM</t>
        </is>
      </c>
      <c r="H191" s="8" t="inlineStr">
        <is>
          <t>Polymer B: TFE/PMVE/8-CNVE 60.24/38.95/0.81 mol%</t>
        </is>
      </c>
      <c r="I191" s="8" t="inlineStr">
        <is>
          <t>nitrile_bisaminophenol</t>
        </is>
      </c>
      <c r="J191" s="8" t="n">
        <v>100</v>
      </c>
      <c r="K191" s="8" t="n">
        <v>25</v>
      </c>
      <c r="L191" s="8" t="n">
        <v>1</v>
      </c>
      <c r="M191" s="8" t="n">
        <v>0</v>
      </c>
      <c r="N191" s="8" t="n">
        <v>0</v>
      </c>
      <c r="O191" s="8" t="n">
        <v>0</v>
      </c>
      <c r="P191" s="8" t="n">
        <v>0</v>
      </c>
      <c r="Q191" s="8" t="n">
        <v>0</v>
      </c>
      <c r="R191" s="8" t="n">
        <v>0</v>
      </c>
      <c r="S191" s="8" t="n">
        <v>0</v>
      </c>
      <c r="T191" s="8" t="n">
        <v>0</v>
      </c>
      <c r="U191" s="8" t="n">
        <v>1.5</v>
      </c>
      <c r="V191" s="8" t="n">
        <v>0.075</v>
      </c>
      <c r="W191" s="8" t="n">
        <v>0</v>
      </c>
      <c r="X191" s="8" t="n">
        <v>0</v>
      </c>
      <c r="Y191" s="8" t="inlineStr">
        <is>
          <t>DABPAF 1.5; urea 0.075 (in other_curative); Aerosil 200 anhydrous silica 1; MT carbon black 25</t>
        </is>
      </c>
      <c r="Z191" s="8" t="n"/>
      <c r="AA191" s="8" t="n"/>
      <c r="AB191" s="8" t="n"/>
      <c r="AC191" s="8" t="n"/>
      <c r="AD191" s="8" t="n">
        <v>9</v>
      </c>
      <c r="AE191" s="8" t="inlineStr">
        <is>
          <t>204C x 70h, O-ring</t>
        </is>
      </c>
      <c r="AF191" s="8" t="n"/>
      <c r="AG191" s="8" t="n"/>
      <c r="AH191" s="8" t="inlineStr">
        <is>
          <t>MPa</t>
        </is>
      </c>
      <c r="AI191" s="8" t="inlineStr">
        <is>
          <t>Table II. CS 300C/70h = 33. Stress-strain after post cure N2 305C x 24 h (blank = not reported). Polymer isolated with D65 silicone defoamer. Hardness not reported.</t>
        </is>
      </c>
    </row>
    <row r="192">
      <c r="A192" s="8" t="inlineStr">
        <is>
          <t>US6281296B1</t>
        </is>
      </c>
      <c r="B192" s="8" t="inlineStr">
        <is>
          <t>patent</t>
        </is>
      </c>
      <c r="C192" s="8" t="inlineStr">
        <is>
          <t>DuPont Dow Elastomers LLC</t>
        </is>
      </c>
      <c r="D192" s="8" t="inlineStr">
        <is>
          <t>Curable perfluoroelastomer composition</t>
        </is>
      </c>
      <c r="E192" s="8" t="inlineStr">
        <is>
          <t>https://patents.google.com/patent/US6281296B1/en</t>
        </is>
      </c>
      <c r="F192" s="8" t="inlineStr">
        <is>
          <t>Example 5</t>
        </is>
      </c>
      <c r="G192" s="8" t="inlineStr">
        <is>
          <t>FFKM</t>
        </is>
      </c>
      <c r="H192" s="8" t="inlineStr">
        <is>
          <t>Polymer B: TFE/PMVE/8-CNVE 60.24/38.95/0.81 mol%</t>
        </is>
      </c>
      <c r="I192" s="8" t="inlineStr">
        <is>
          <t>nitrile_triazine</t>
        </is>
      </c>
      <c r="J192" s="8" t="n">
        <v>100</v>
      </c>
      <c r="K192" s="8" t="n">
        <v>25</v>
      </c>
      <c r="L192" s="8" t="n">
        <v>1</v>
      </c>
      <c r="M192" s="8" t="n">
        <v>0</v>
      </c>
      <c r="N192" s="8" t="n">
        <v>0</v>
      </c>
      <c r="O192" s="8" t="n">
        <v>0</v>
      </c>
      <c r="P192" s="8" t="n">
        <v>0</v>
      </c>
      <c r="Q192" s="8" t="n">
        <v>0</v>
      </c>
      <c r="R192" s="8" t="n">
        <v>0</v>
      </c>
      <c r="S192" s="8" t="n">
        <v>0</v>
      </c>
      <c r="T192" s="8" t="n">
        <v>0</v>
      </c>
      <c r="U192" s="8" t="n">
        <v>0.3</v>
      </c>
      <c r="V192" s="8" t="n">
        <v>0</v>
      </c>
      <c r="W192" s="8" t="n">
        <v>0</v>
      </c>
      <c r="X192" s="8" t="n">
        <v>0</v>
      </c>
      <c r="Y192" s="8" t="inlineStr">
        <is>
          <t>urea 0.3 (sole curative); Aerosil 200 anhydrous silica 1; MT carbon black 25</t>
        </is>
      </c>
      <c r="Z192" s="8" t="n"/>
      <c r="AA192" s="8" t="n"/>
      <c r="AB192" s="8" t="n"/>
      <c r="AC192" s="8" t="n"/>
      <c r="AD192" s="8" t="n">
        <v>16</v>
      </c>
      <c r="AE192" s="8" t="inlineStr">
        <is>
          <t>204C x 70h, O-ring</t>
        </is>
      </c>
      <c r="AF192" s="8" t="n"/>
      <c r="AG192" s="8" t="n"/>
      <c r="AH192" s="8" t="inlineStr">
        <is>
          <t>MPa</t>
        </is>
      </c>
      <c r="AI192" s="8" t="inlineStr">
        <is>
          <t>Table III. CS 300C/70h = 26. Stress-strain after post cure N2 305C x 24 h (blank = not reported). Polymer isolated with D65 silicone defoamer. Hardness not reported.</t>
        </is>
      </c>
    </row>
    <row r="193">
      <c r="A193" s="8" t="inlineStr">
        <is>
          <t>US6211319B1</t>
        </is>
      </c>
      <c r="B193" s="8" t="inlineStr">
        <is>
          <t>patent</t>
        </is>
      </c>
      <c r="C193" s="8" t="inlineStr">
        <is>
          <t>EI Du Pont de Nemours and Co</t>
        </is>
      </c>
      <c r="D193" s="8" t="inlineStr">
        <is>
          <t>Perfluoroelastomer composition having improved processability</t>
        </is>
      </c>
      <c r="E193" s="8" t="inlineStr">
        <is>
          <t>https://patents.google.com/patent/US6211319B1/en</t>
        </is>
      </c>
      <c r="F193" s="8" t="inlineStr">
        <is>
          <t>Example 1</t>
        </is>
      </c>
      <c r="G193" s="8" t="inlineStr">
        <is>
          <t>FFKM</t>
        </is>
      </c>
      <c r="H193" s="8" t="inlineStr">
        <is>
          <t>TFE/PMVE/8-CNVE 54.8/43/2.2 wt%, heat-treated (decarboxylated) 300C x 60 min, ML-10(121C)=69</t>
        </is>
      </c>
      <c r="I193" s="8" t="inlineStr">
        <is>
          <t>nitrile_bisaminophenol</t>
        </is>
      </c>
      <c r="J193" s="8" t="n">
        <v>100</v>
      </c>
      <c r="K193" s="8" t="n">
        <v>30</v>
      </c>
      <c r="L193" s="8" t="n">
        <v>0</v>
      </c>
      <c r="M193" s="8" t="n">
        <v>0</v>
      </c>
      <c r="N193" s="8" t="n">
        <v>0</v>
      </c>
      <c r="O193" s="8" t="n">
        <v>0</v>
      </c>
      <c r="P193" s="8" t="n">
        <v>0</v>
      </c>
      <c r="Q193" s="8" t="n">
        <v>0</v>
      </c>
      <c r="R193" s="8" t="n">
        <v>0</v>
      </c>
      <c r="S193" s="8" t="n">
        <v>0</v>
      </c>
      <c r="T193" s="8" t="n">
        <v>0</v>
      </c>
      <c r="U193" s="8" t="n">
        <v>1</v>
      </c>
      <c r="V193" s="8" t="n">
        <v>0</v>
      </c>
      <c r="W193" s="8" t="n">
        <v>0</v>
      </c>
      <c r="X193" s="8" t="n">
        <v>0</v>
      </c>
      <c r="Y193" s="8" t="inlineStr">
        <is>
          <t>MT carbon black 30; bis(aminophenol) AF 1.0</t>
        </is>
      </c>
      <c r="Z193" s="8" t="n"/>
      <c r="AA193" s="8" t="n">
        <v>23.2</v>
      </c>
      <c r="AB193" s="8" t="n">
        <v>173</v>
      </c>
      <c r="AC193" s="8" t="n">
        <v>14.8</v>
      </c>
      <c r="AD193" s="8" t="n">
        <v>20</v>
      </c>
      <c r="AE193" s="8" t="inlineStr">
        <is>
          <t>O-ring press-cured 275C x 20 min + post cure 300C x 18 h air; CS test temperature/time not stated</t>
        </is>
      </c>
      <c r="AF193" s="8" t="n"/>
      <c r="AG193" s="8" t="n"/>
      <c r="AH193" s="8" t="inlineStr">
        <is>
          <t>MPa</t>
        </is>
      </c>
      <c r="AI193" s="8" t="inlineStr">
        <is>
          <t>Table I, post-cured values used. Press-cured only (210C x 20 min): M100 12.7, TB 15.9, EB 187, CS 37. Comparative Ex. 1 not tested for physical properties. Hardness not reported.</t>
        </is>
      </c>
    </row>
    <row r="194">
      <c r="A194" s="8" t="inlineStr">
        <is>
          <t>US20040019153A1</t>
        </is>
      </c>
      <c r="B194" s="8" t="inlineStr">
        <is>
          <t>patent</t>
        </is>
      </c>
      <c r="C194" s="8" t="inlineStr">
        <is>
          <t>DuPont Dow Elastomers LLC</t>
        </is>
      </c>
      <c r="D194" s="8" t="inlineStr">
        <is>
          <t>Process for making hig purity translucent perfluoroelastomer articles</t>
        </is>
      </c>
      <c r="E194" s="8" t="inlineStr">
        <is>
          <t>https://patents.google.com/patent/US20040019153A1/en</t>
        </is>
      </c>
      <c r="F194" s="8" t="inlineStr">
        <is>
          <t>Example 1</t>
        </is>
      </c>
      <c r="G194" s="8" t="inlineStr">
        <is>
          <t>FFKM</t>
        </is>
      </c>
      <c r="H194" s="8" t="inlineStr">
        <is>
          <t>Polymer A: TFE/PMVE/8-CNVE 66.7/32.6/0.7 mol%</t>
        </is>
      </c>
      <c r="I194" s="8" t="inlineStr">
        <is>
          <t>nitrile_bisaminophenol</t>
        </is>
      </c>
      <c r="J194" s="8" t="n">
        <v>100</v>
      </c>
      <c r="K194" s="8" t="n">
        <v>0</v>
      </c>
      <c r="L194" s="8" t="n">
        <v>0</v>
      </c>
      <c r="M194" s="8" t="n">
        <v>0</v>
      </c>
      <c r="N194" s="8" t="n">
        <v>0</v>
      </c>
      <c r="O194" s="8" t="n">
        <v>0</v>
      </c>
      <c r="P194" s="8" t="n">
        <v>0</v>
      </c>
      <c r="Q194" s="8" t="n">
        <v>0</v>
      </c>
      <c r="R194" s="8" t="n">
        <v>0</v>
      </c>
      <c r="S194" s="8" t="n">
        <v>0</v>
      </c>
      <c r="T194" s="8" t="n">
        <v>0</v>
      </c>
      <c r="U194" s="8" t="n">
        <v>0.75</v>
      </c>
      <c r="V194" s="8" t="n">
        <v>0</v>
      </c>
      <c r="W194" s="8" t="n">
        <v>0</v>
      </c>
      <c r="X194" s="8" t="n">
        <v>0</v>
      </c>
      <c r="Y194" s="8" t="inlineStr">
        <is>
          <t>DABPAF 0.75; unfilled</t>
        </is>
      </c>
      <c r="Z194" s="8" t="n"/>
      <c r="AA194" s="8" t="n">
        <v>6.7</v>
      </c>
      <c r="AB194" s="8" t="n">
        <v>252</v>
      </c>
      <c r="AC194" s="8" t="n">
        <v>1.7</v>
      </c>
      <c r="AD194" s="8" t="n">
        <v>12</v>
      </c>
      <c r="AE194" s="8" t="inlineStr">
        <is>
          <t>204C x 70h, K214 O-ring, ASTM D395/D1414</t>
        </is>
      </c>
      <c r="AF194" s="8" t="n"/>
      <c r="AG194" s="8" t="n"/>
      <c r="AH194" s="8" t="inlineStr">
        <is>
          <t>MPa</t>
        </is>
      </c>
      <c r="AI194" s="8" t="inlineStr">
        <is>
          <t>Table I. Press 193C x 15 min, air 288C x 24 h. Amber/translucent. Hardness not reported.</t>
        </is>
      </c>
    </row>
    <row r="195">
      <c r="A195" s="8" t="inlineStr">
        <is>
          <t>US20040019153A1</t>
        </is>
      </c>
      <c r="B195" s="8" t="inlineStr">
        <is>
          <t>patent</t>
        </is>
      </c>
      <c r="C195" s="8" t="inlineStr">
        <is>
          <t>DuPont Dow Elastomers LLC</t>
        </is>
      </c>
      <c r="D195" s="8" t="inlineStr">
        <is>
          <t>Process for making hig purity translucent perfluoroelastomer articles</t>
        </is>
      </c>
      <c r="E195" s="8" t="inlineStr">
        <is>
          <t>https://patents.google.com/patent/US20040019153A1/en</t>
        </is>
      </c>
      <c r="F195" s="8" t="inlineStr">
        <is>
          <t>Example 2</t>
        </is>
      </c>
      <c r="G195" s="8" t="inlineStr">
        <is>
          <t>FFKM</t>
        </is>
      </c>
      <c r="H195" s="8" t="inlineStr">
        <is>
          <t>Polymer A: TFE/PMVE/8-CNVE 66.7/32.6/0.7 mol%</t>
        </is>
      </c>
      <c r="I195" s="8" t="inlineStr">
        <is>
          <t>nitrile_triazine</t>
        </is>
      </c>
      <c r="J195" s="8" t="n">
        <v>100</v>
      </c>
      <c r="K195" s="8" t="n">
        <v>0</v>
      </c>
      <c r="L195" s="8" t="n">
        <v>0</v>
      </c>
      <c r="M195" s="8" t="n">
        <v>0</v>
      </c>
      <c r="N195" s="8" t="n">
        <v>0</v>
      </c>
      <c r="O195" s="8" t="n">
        <v>0</v>
      </c>
      <c r="P195" s="8" t="n">
        <v>0</v>
      </c>
      <c r="Q195" s="8" t="n">
        <v>0</v>
      </c>
      <c r="R195" s="8" t="n">
        <v>0</v>
      </c>
      <c r="S195" s="8" t="n">
        <v>0</v>
      </c>
      <c r="T195" s="8" t="n">
        <v>0</v>
      </c>
      <c r="U195" s="8" t="n">
        <v>0.5</v>
      </c>
      <c r="V195" s="8" t="n">
        <v>0</v>
      </c>
      <c r="W195" s="8" t="n">
        <v>0</v>
      </c>
      <c r="X195" s="8" t="n">
        <v>0</v>
      </c>
      <c r="Y195" s="8" t="inlineStr">
        <is>
          <t>TBC 0.5 (ammonia-generating curative; footnote not in source HTML, text names t-butyl carbamate as preferred); unfilled</t>
        </is>
      </c>
      <c r="Z195" s="8" t="n"/>
      <c r="AA195" s="8" t="n">
        <v>7.1</v>
      </c>
      <c r="AB195" s="8" t="n">
        <v>399</v>
      </c>
      <c r="AC195" s="8" t="n">
        <v>1.4</v>
      </c>
      <c r="AD195" s="8" t="n">
        <v>31</v>
      </c>
      <c r="AE195" s="8" t="inlineStr">
        <is>
          <t>204C x 70h, K214 O-ring, ASTM D395/D1414</t>
        </is>
      </c>
      <c r="AF195" s="8" t="n"/>
      <c r="AG195" s="8" t="n"/>
      <c r="AH195" s="8" t="inlineStr">
        <is>
          <t>MPa</t>
        </is>
      </c>
      <c r="AI195" s="8" t="inlineStr">
        <is>
          <t>Table I. Press 232C x 30 min, air 316C x 40 h. Colorless/transparent. Hardness not reported.</t>
        </is>
      </c>
    </row>
    <row r="196">
      <c r="A196" s="8" t="inlineStr">
        <is>
          <t>US20040019153A1</t>
        </is>
      </c>
      <c r="B196" s="8" t="inlineStr">
        <is>
          <t>patent</t>
        </is>
      </c>
      <c r="C196" s="8" t="inlineStr">
        <is>
          <t>DuPont Dow Elastomers LLC</t>
        </is>
      </c>
      <c r="D196" s="8" t="inlineStr">
        <is>
          <t>Process for making hig purity translucent perfluoroelastomer articles</t>
        </is>
      </c>
      <c r="E196" s="8" t="inlineStr">
        <is>
          <t>https://patents.google.com/patent/US20040019153A1/en</t>
        </is>
      </c>
      <c r="F196" s="8" t="inlineStr">
        <is>
          <t>Example 3</t>
        </is>
      </c>
      <c r="G196" s="8" t="inlineStr">
        <is>
          <t>FFKM</t>
        </is>
      </c>
      <c r="H196" s="8" t="inlineStr">
        <is>
          <t>Polymer B: TFE/PMVE/8-CNVE 61.7/37.5/0.8 mol%</t>
        </is>
      </c>
      <c r="I196" s="8" t="inlineStr">
        <is>
          <t>peroxide</t>
        </is>
      </c>
      <c r="J196" s="8" t="n">
        <v>100</v>
      </c>
      <c r="K196" s="8" t="n">
        <v>0</v>
      </c>
      <c r="L196" s="8" t="n">
        <v>0</v>
      </c>
      <c r="M196" s="8" t="n">
        <v>0</v>
      </c>
      <c r="N196" s="8" t="n">
        <v>0</v>
      </c>
      <c r="O196" s="8" t="n">
        <v>0</v>
      </c>
      <c r="P196" s="8" t="n">
        <v>0</v>
      </c>
      <c r="Q196" s="8" t="n">
        <v>0</v>
      </c>
      <c r="R196" s="8" t="n">
        <v>0</v>
      </c>
      <c r="S196" s="8" t="n">
        <v>1</v>
      </c>
      <c r="T196" s="8" t="n">
        <v>1</v>
      </c>
      <c r="U196" s="8" t="n">
        <v>0</v>
      </c>
      <c r="V196" s="8" t="n">
        <v>0</v>
      </c>
      <c r="W196" s="8" t="n">
        <v>0</v>
      </c>
      <c r="X196" s="8" t="n">
        <v>0</v>
      </c>
      <c r="Y196" s="8" t="inlineStr">
        <is>
          <t>Lupersol 101 peroxide 1; Diak #8 (TMAIC) 1; unfilled</t>
        </is>
      </c>
      <c r="Z196" s="8" t="n"/>
      <c r="AA196" s="8" t="n">
        <v>8.699999999999999</v>
      </c>
      <c r="AB196" s="8" t="n">
        <v>255</v>
      </c>
      <c r="AC196" s="8" t="n">
        <v>1.4</v>
      </c>
      <c r="AD196" s="8" t="n">
        <v>31</v>
      </c>
      <c r="AE196" s="8" t="inlineStr">
        <is>
          <t>204C x 70h, K214 O-ring, ASTM D395/D1414</t>
        </is>
      </c>
      <c r="AF196" s="8" t="n"/>
      <c r="AG196" s="8" t="n"/>
      <c r="AH196" s="8" t="inlineStr">
        <is>
          <t>MPa</t>
        </is>
      </c>
      <c r="AI196" s="8" t="inlineStr">
        <is>
          <t>Table I. Peroxide cure of nitrile-CSM polymer. Dumbbells press 199C x 10 min + air 232C x 24 h. Amber/translucent. Hardness not reported.</t>
        </is>
      </c>
    </row>
    <row r="197">
      <c r="A197" s="8" t="inlineStr">
        <is>
          <t>US20090093590A1</t>
        </is>
      </c>
      <c r="B197" s="8" t="inlineStr">
        <is>
          <t>patent</t>
        </is>
      </c>
      <c r="C197" s="8" t="inlineStr">
        <is>
          <t>Nippon Valqua Industries, Ltd.</t>
        </is>
      </c>
      <c r="D197" s="8" t="inlineStr">
        <is>
          <t>Seal Material for Semiconductor Production Apparatus</t>
        </is>
      </c>
      <c r="E197" s="8" t="inlineStr">
        <is>
          <t>https://patents.google.com/patent/US20090093590A1/en</t>
        </is>
      </c>
      <c r="F197" s="8" t="inlineStr">
        <is>
          <t>Example 1</t>
        </is>
      </c>
      <c r="G197" s="8" t="inlineStr">
        <is>
          <t>OTHER</t>
        </is>
      </c>
      <c r="H197" s="8" t="inlineStr">
        <is>
          <t>FFKM/FKM blend: Tecnoflon PFR94 (Solvay Solexis, TFE/PAVE FFKM) 80 + DAI-EL G902 (table: 'Daiel C 902'; VDF/HFP/TFE FKM) 20</t>
        </is>
      </c>
      <c r="I197" s="8" t="inlineStr">
        <is>
          <t>peroxide</t>
        </is>
      </c>
      <c r="J197" s="8" t="n">
        <v>100</v>
      </c>
      <c r="K197" s="8" t="n">
        <v>20</v>
      </c>
      <c r="L197" s="8" t="n">
        <v>0</v>
      </c>
      <c r="M197" s="8" t="n">
        <v>0</v>
      </c>
      <c r="N197" s="8" t="n">
        <v>0</v>
      </c>
      <c r="O197" s="8" t="n">
        <v>0</v>
      </c>
      <c r="P197" s="8" t="n">
        <v>0</v>
      </c>
      <c r="Q197" s="8" t="n">
        <v>0</v>
      </c>
      <c r="R197" s="8" t="n">
        <v>0</v>
      </c>
      <c r="S197" s="8" t="n">
        <v>3</v>
      </c>
      <c r="T197" s="8" t="n">
        <v>1.5</v>
      </c>
      <c r="U197" s="8" t="n">
        <v>0</v>
      </c>
      <c r="V197" s="8" t="n">
        <v>0</v>
      </c>
      <c r="W197" s="8" t="n">
        <v>0</v>
      </c>
      <c r="X197" s="8" t="n">
        <v>0</v>
      </c>
      <c r="Y197" s="8" t="inlineStr">
        <is>
          <t>carbon black Thermax N990; coagent TAIC 3; peroxide Perhexa 25B-40 (40% active on silica) 1.5</t>
        </is>
      </c>
      <c r="Z197" s="8" t="n"/>
      <c r="AA197" s="8" t="n"/>
      <c r="AB197" s="8" t="n"/>
      <c r="AC197" s="8" t="n"/>
      <c r="AD197" s="8" t="n">
        <v>33</v>
      </c>
      <c r="AE197" s="8" t="inlineStr">
        <is>
          <t>200C x 70h, ~25% compression, AS214 O-ring (JIS K6262)</t>
        </is>
      </c>
      <c r="AF197" s="8" t="n">
        <v>0.3</v>
      </c>
      <c r="AG197" s="8" t="inlineStr">
        <is>
          <t>O2:CF4=9:1, RF 500 W, 150 sccm total, 0.5 torr, 1.5 h, 300 mm parallel-plate (Hirano Kouon)</t>
        </is>
      </c>
      <c r="AH197" s="8" t="inlineStr">
        <is>
          <t>parts by weight; MPa n/a; CS %</t>
        </is>
      </c>
      <c r="AI197" s="8" t="inlineStr">
        <is>
          <t>Press 160C x 10 min, post-cure 200C x 16 h in vacuum. Plasma crack test (AS214 O-ring at 10% stretch): no crack; 0 cracks after 1.5 h. Blank FKM cells read as 0 (sum=100, totals 124.5/104.5 confirm).</t>
        </is>
      </c>
    </row>
    <row r="198">
      <c r="A198" s="8" t="inlineStr">
        <is>
          <t>US20090093590A1</t>
        </is>
      </c>
      <c r="B198" s="8" t="inlineStr">
        <is>
          <t>patent</t>
        </is>
      </c>
      <c r="C198" s="8" t="inlineStr">
        <is>
          <t>Nippon Valqua Industries, Ltd.</t>
        </is>
      </c>
      <c r="D198" s="8" t="inlineStr">
        <is>
          <t>Seal Material for Semiconductor Production Apparatus</t>
        </is>
      </c>
      <c r="E198" s="8" t="inlineStr">
        <is>
          <t>https://patents.google.com/patent/US20090093590A1/en</t>
        </is>
      </c>
      <c r="F198" s="8" t="inlineStr">
        <is>
          <t>Example 2</t>
        </is>
      </c>
      <c r="G198" s="8" t="inlineStr">
        <is>
          <t>OTHER</t>
        </is>
      </c>
      <c r="H198" s="8" t="inlineStr">
        <is>
          <t>FFKM/FKM blend: Tecnoflon PFR94 (Solvay Solexis, TFE/PAVE FFKM) 70 + DAI-EL G902 (table: 'Daiel C 902'; VDF/HFP/TFE FKM) 30</t>
        </is>
      </c>
      <c r="I198" s="8" t="inlineStr">
        <is>
          <t>peroxide</t>
        </is>
      </c>
      <c r="J198" s="8" t="n">
        <v>100</v>
      </c>
      <c r="K198" s="8" t="n">
        <v>20</v>
      </c>
      <c r="L198" s="8" t="n">
        <v>0</v>
      </c>
      <c r="M198" s="8" t="n">
        <v>0</v>
      </c>
      <c r="N198" s="8" t="n">
        <v>0</v>
      </c>
      <c r="O198" s="8" t="n">
        <v>0</v>
      </c>
      <c r="P198" s="8" t="n">
        <v>0</v>
      </c>
      <c r="Q198" s="8" t="n">
        <v>0</v>
      </c>
      <c r="R198" s="8" t="n">
        <v>0</v>
      </c>
      <c r="S198" s="8" t="n">
        <v>3</v>
      </c>
      <c r="T198" s="8" t="n">
        <v>1.5</v>
      </c>
      <c r="U198" s="8" t="n">
        <v>0</v>
      </c>
      <c r="V198" s="8" t="n">
        <v>0</v>
      </c>
      <c r="W198" s="8" t="n">
        <v>0</v>
      </c>
      <c r="X198" s="8" t="n">
        <v>0</v>
      </c>
      <c r="Y198" s="8" t="inlineStr">
        <is>
          <t>carbon black Thermax N990; coagent TAIC 3; peroxide Perhexa 25B-40 (40% active on silica) 1.5</t>
        </is>
      </c>
      <c r="Z198" s="8" t="n"/>
      <c r="AA198" s="8" t="n"/>
      <c r="AB198" s="8" t="n"/>
      <c r="AC198" s="8" t="n"/>
      <c r="AD198" s="8" t="n">
        <v>32</v>
      </c>
      <c r="AE198" s="8" t="inlineStr">
        <is>
          <t>200C x 70h, ~25% compression, AS214 O-ring (JIS K6262)</t>
        </is>
      </c>
      <c r="AF198" s="8" t="n">
        <v>0.32</v>
      </c>
      <c r="AG198" s="8" t="inlineStr">
        <is>
          <t>O2:CF4=9:1, RF 500 W, 150 sccm total, 0.5 torr, 1.5 h, 300 mm parallel-plate (Hirano Kouon)</t>
        </is>
      </c>
      <c r="AH198" s="8" t="inlineStr">
        <is>
          <t>parts by weight; MPa n/a; CS %</t>
        </is>
      </c>
      <c r="AI198" s="8" t="inlineStr">
        <is>
          <t>Press 160C x 10 min, post-cure 200C x 16 h in vacuum. Plasma crack test (AS214 O-ring at 10% stretch): no crack; 0 cracks after 1.5 h. Blank FKM cells read as 0 (sum=100, totals 124.5/104.5 confirm).</t>
        </is>
      </c>
    </row>
    <row r="199">
      <c r="A199" s="8" t="inlineStr">
        <is>
          <t>US20090093590A1</t>
        </is>
      </c>
      <c r="B199" s="8" t="inlineStr">
        <is>
          <t>patent</t>
        </is>
      </c>
      <c r="C199" s="8" t="inlineStr">
        <is>
          <t>Nippon Valqua Industries, Ltd.</t>
        </is>
      </c>
      <c r="D199" s="8" t="inlineStr">
        <is>
          <t>Seal Material for Semiconductor Production Apparatus</t>
        </is>
      </c>
      <c r="E199" s="8" t="inlineStr">
        <is>
          <t>https://patents.google.com/patent/US20090093590A1/en</t>
        </is>
      </c>
      <c r="F199" s="8" t="inlineStr">
        <is>
          <t>Example 3</t>
        </is>
      </c>
      <c r="G199" s="8" t="inlineStr">
        <is>
          <t>OTHER</t>
        </is>
      </c>
      <c r="H199" s="8" t="inlineStr">
        <is>
          <t>FFKM/FKM blend: Tecnoflon PFR94 (Solvay Solexis, TFE/PAVE FFKM) 50 + DAI-EL G902 (table: 'Daiel C 902'; VDF/HFP/TFE FKM) 50</t>
        </is>
      </c>
      <c r="I199" s="8" t="inlineStr">
        <is>
          <t>peroxide</t>
        </is>
      </c>
      <c r="J199" s="8" t="n">
        <v>100</v>
      </c>
      <c r="K199" s="8" t="n">
        <v>20</v>
      </c>
      <c r="L199" s="8" t="n">
        <v>0</v>
      </c>
      <c r="M199" s="8" t="n">
        <v>0</v>
      </c>
      <c r="N199" s="8" t="n">
        <v>0</v>
      </c>
      <c r="O199" s="8" t="n">
        <v>0</v>
      </c>
      <c r="P199" s="8" t="n">
        <v>0</v>
      </c>
      <c r="Q199" s="8" t="n">
        <v>0</v>
      </c>
      <c r="R199" s="8" t="n">
        <v>0</v>
      </c>
      <c r="S199" s="8" t="n">
        <v>3</v>
      </c>
      <c r="T199" s="8" t="n">
        <v>1.5</v>
      </c>
      <c r="U199" s="8" t="n">
        <v>0</v>
      </c>
      <c r="V199" s="8" t="n">
        <v>0</v>
      </c>
      <c r="W199" s="8" t="n">
        <v>0</v>
      </c>
      <c r="X199" s="8" t="n">
        <v>0</v>
      </c>
      <c r="Y199" s="8" t="inlineStr">
        <is>
          <t>carbon black Thermax N990; coagent TAIC 3; peroxide Perhexa 25B-40 (40% active on silica) 1.5</t>
        </is>
      </c>
      <c r="Z199" s="8" t="n"/>
      <c r="AA199" s="8" t="n"/>
      <c r="AB199" s="8" t="n"/>
      <c r="AC199" s="8" t="n"/>
      <c r="AD199" s="8" t="n">
        <v>30</v>
      </c>
      <c r="AE199" s="8" t="inlineStr">
        <is>
          <t>200C x 70h, ~25% compression, AS214 O-ring (JIS K6262)</t>
        </is>
      </c>
      <c r="AF199" s="8" t="n">
        <v>0.4</v>
      </c>
      <c r="AG199" s="8" t="inlineStr">
        <is>
          <t>O2:CF4=9:1, RF 500 W, 150 sccm total, 0.5 torr, 1.5 h, 300 mm parallel-plate (Hirano Kouon)</t>
        </is>
      </c>
      <c r="AH199" s="8" t="inlineStr">
        <is>
          <t>parts by weight; MPa n/a; CS %</t>
        </is>
      </c>
      <c r="AI199" s="8" t="inlineStr">
        <is>
          <t>Press 160C x 10 min, post-cure 200C x 16 h in vacuum. Plasma crack test (AS214 O-ring at 10% stretch): no crack; 0 cracks after 1.5 h. Blank FKM cells read as 0 (sum=100, totals 124.5/104.5 confirm).</t>
        </is>
      </c>
    </row>
    <row r="200">
      <c r="A200" s="8" t="inlineStr">
        <is>
          <t>US20090093590A1</t>
        </is>
      </c>
      <c r="B200" s="8" t="inlineStr">
        <is>
          <t>patent</t>
        </is>
      </c>
      <c r="C200" s="8" t="inlineStr">
        <is>
          <t>Nippon Valqua Industries, Ltd.</t>
        </is>
      </c>
      <c r="D200" s="8" t="inlineStr">
        <is>
          <t>Seal Material for Semiconductor Production Apparatus</t>
        </is>
      </c>
      <c r="E200" s="8" t="inlineStr">
        <is>
          <t>https://patents.google.com/patent/US20090093590A1/en</t>
        </is>
      </c>
      <c r="F200" s="8" t="inlineStr">
        <is>
          <t>Example 4</t>
        </is>
      </c>
      <c r="G200" s="8" t="inlineStr">
        <is>
          <t>OTHER</t>
        </is>
      </c>
      <c r="H200" s="8" t="inlineStr">
        <is>
          <t>FFKM/FKM blend: Tecnoflon PFR94 (Solvay Solexis, TFE/PAVE FFKM) 80 + DAI-EL LT302 (VDF/PAVE/TFE FKM) 20</t>
        </is>
      </c>
      <c r="I200" s="8" t="inlineStr">
        <is>
          <t>peroxide</t>
        </is>
      </c>
      <c r="J200" s="8" t="n">
        <v>100</v>
      </c>
      <c r="K200" s="8" t="n">
        <v>20</v>
      </c>
      <c r="L200" s="8" t="n">
        <v>0</v>
      </c>
      <c r="M200" s="8" t="n">
        <v>0</v>
      </c>
      <c r="N200" s="8" t="n">
        <v>0</v>
      </c>
      <c r="O200" s="8" t="n">
        <v>0</v>
      </c>
      <c r="P200" s="8" t="n">
        <v>0</v>
      </c>
      <c r="Q200" s="8" t="n">
        <v>0</v>
      </c>
      <c r="R200" s="8" t="n">
        <v>0</v>
      </c>
      <c r="S200" s="8" t="n">
        <v>3</v>
      </c>
      <c r="T200" s="8" t="n">
        <v>1.5</v>
      </c>
      <c r="U200" s="8" t="n">
        <v>0</v>
      </c>
      <c r="V200" s="8" t="n">
        <v>0</v>
      </c>
      <c r="W200" s="8" t="n">
        <v>0</v>
      </c>
      <c r="X200" s="8" t="n">
        <v>0</v>
      </c>
      <c r="Y200" s="8" t="inlineStr">
        <is>
          <t>carbon black Thermax N990; coagent TAIC 3; peroxide Perhexa 25B-40 (40% active on silica) 1.5</t>
        </is>
      </c>
      <c r="Z200" s="8" t="n"/>
      <c r="AA200" s="8" t="n"/>
      <c r="AB200" s="8" t="n"/>
      <c r="AC200" s="8" t="n"/>
      <c r="AD200" s="8" t="n">
        <v>30</v>
      </c>
      <c r="AE200" s="8" t="inlineStr">
        <is>
          <t>200C x 70h, ~25% compression, AS214 O-ring (JIS K6262)</t>
        </is>
      </c>
      <c r="AF200" s="8" t="n">
        <v>0.33</v>
      </c>
      <c r="AG200" s="8" t="inlineStr">
        <is>
          <t>O2:CF4=9:1, RF 500 W, 150 sccm total, 0.5 torr, 1.5 h, 300 mm parallel-plate (Hirano Kouon)</t>
        </is>
      </c>
      <c r="AH200" s="8" t="inlineStr">
        <is>
          <t>parts by weight; MPa n/a; CS %</t>
        </is>
      </c>
      <c r="AI200" s="8" t="inlineStr">
        <is>
          <t>Press 160C x 10 min, post-cure 200C x 16 h in vacuum. Plasma crack test (AS214 O-ring at 10% stretch): no crack; 0 cracks after 1.5 h. Blank FKM cells read as 0 (sum=100, totals 124.5/104.5 confirm).</t>
        </is>
      </c>
    </row>
    <row r="201">
      <c r="A201" s="8" t="inlineStr">
        <is>
          <t>US20090093590A1</t>
        </is>
      </c>
      <c r="B201" s="8" t="inlineStr">
        <is>
          <t>patent</t>
        </is>
      </c>
      <c r="C201" s="8" t="inlineStr">
        <is>
          <t>Nippon Valqua Industries, Ltd.</t>
        </is>
      </c>
      <c r="D201" s="8" t="inlineStr">
        <is>
          <t>Seal Material for Semiconductor Production Apparatus</t>
        </is>
      </c>
      <c r="E201" s="8" t="inlineStr">
        <is>
          <t>https://patents.google.com/patent/US20090093590A1/en</t>
        </is>
      </c>
      <c r="F201" s="8" t="inlineStr">
        <is>
          <t>Example 5</t>
        </is>
      </c>
      <c r="G201" s="8" t="inlineStr">
        <is>
          <t>OTHER</t>
        </is>
      </c>
      <c r="H201" s="8" t="inlineStr">
        <is>
          <t>FFKM/FKM blend: Tecnoflon PFR94 (Solvay Solexis, TFE/PAVE FFKM) 50 + DAI-EL LT302 (VDF/PAVE/TFE FKM) 50</t>
        </is>
      </c>
      <c r="I201" s="8" t="inlineStr">
        <is>
          <t>peroxide</t>
        </is>
      </c>
      <c r="J201" s="8" t="n">
        <v>100</v>
      </c>
      <c r="K201" s="8" t="n">
        <v>20</v>
      </c>
      <c r="L201" s="8" t="n">
        <v>0</v>
      </c>
      <c r="M201" s="8" t="n">
        <v>0</v>
      </c>
      <c r="N201" s="8" t="n">
        <v>0</v>
      </c>
      <c r="O201" s="8" t="n">
        <v>0</v>
      </c>
      <c r="P201" s="8" t="n">
        <v>0</v>
      </c>
      <c r="Q201" s="8" t="n">
        <v>0</v>
      </c>
      <c r="R201" s="8" t="n">
        <v>0</v>
      </c>
      <c r="S201" s="8" t="n">
        <v>3</v>
      </c>
      <c r="T201" s="8" t="n">
        <v>1.5</v>
      </c>
      <c r="U201" s="8" t="n">
        <v>0</v>
      </c>
      <c r="V201" s="8" t="n">
        <v>0</v>
      </c>
      <c r="W201" s="8" t="n">
        <v>0</v>
      </c>
      <c r="X201" s="8" t="n">
        <v>0</v>
      </c>
      <c r="Y201" s="8" t="inlineStr">
        <is>
          <t>carbon black Thermax N990; coagent TAIC 3; peroxide Perhexa 25B-40 (40% active on silica) 1.5</t>
        </is>
      </c>
      <c r="Z201" s="8" t="n"/>
      <c r="AA201" s="8" t="n"/>
      <c r="AB201" s="8" t="n"/>
      <c r="AC201" s="8" t="n"/>
      <c r="AD201" s="8" t="n">
        <v>33</v>
      </c>
      <c r="AE201" s="8" t="inlineStr">
        <is>
          <t>200C x 70h, ~25% compression, AS214 O-ring (JIS K6262)</t>
        </is>
      </c>
      <c r="AF201" s="8" t="n">
        <v>0.41</v>
      </c>
      <c r="AG201" s="8" t="inlineStr">
        <is>
          <t>O2:CF4=9:1, RF 500 W, 150 sccm total, 0.5 torr, 1.5 h, 300 mm parallel-plate (Hirano Kouon)</t>
        </is>
      </c>
      <c r="AH201" s="8" t="inlineStr">
        <is>
          <t>parts by weight; MPa n/a; CS %</t>
        </is>
      </c>
      <c r="AI201" s="8" t="inlineStr">
        <is>
          <t>Press 160C x 10 min, post-cure 200C x 16 h in vacuum. Plasma crack test (AS214 O-ring at 10% stretch): no crack; 0 cracks after 1.5 h. Blank FKM cells read as 0 (sum=100, totals 124.5/104.5 confirm).</t>
        </is>
      </c>
    </row>
    <row r="202">
      <c r="A202" s="8" t="inlineStr">
        <is>
          <t>US20090093590A1</t>
        </is>
      </c>
      <c r="B202" s="8" t="inlineStr">
        <is>
          <t>patent</t>
        </is>
      </c>
      <c r="C202" s="8" t="inlineStr">
        <is>
          <t>Nippon Valqua Industries, Ltd.</t>
        </is>
      </c>
      <c r="D202" s="8" t="inlineStr">
        <is>
          <t>Seal Material for Semiconductor Production Apparatus</t>
        </is>
      </c>
      <c r="E202" s="8" t="inlineStr">
        <is>
          <t>https://patents.google.com/patent/US20090093590A1/en</t>
        </is>
      </c>
      <c r="F202" s="8" t="inlineStr">
        <is>
          <t>Example 6</t>
        </is>
      </c>
      <c r="G202" s="8" t="inlineStr">
        <is>
          <t>OTHER</t>
        </is>
      </c>
      <c r="H202" s="8" t="inlineStr">
        <is>
          <t>FFKM/FKM blend: Tecnoflon PFR94 (Solvay Solexis, TFE/PAVE FFKM) 70 + DAI-EL G902 (table: 'Daiel C 902'; VDF/HFP/TFE FKM) 30</t>
        </is>
      </c>
      <c r="I202" s="8" t="inlineStr">
        <is>
          <t>peroxide</t>
        </is>
      </c>
      <c r="J202" s="8" t="n">
        <v>100</v>
      </c>
      <c r="K202" s="8" t="n">
        <v>0</v>
      </c>
      <c r="L202" s="8" t="n">
        <v>0</v>
      </c>
      <c r="M202" s="8" t="n">
        <v>0</v>
      </c>
      <c r="N202" s="8" t="n">
        <v>0</v>
      </c>
      <c r="O202" s="8" t="n">
        <v>0</v>
      </c>
      <c r="P202" s="8" t="n">
        <v>0</v>
      </c>
      <c r="Q202" s="8" t="n">
        <v>0</v>
      </c>
      <c r="R202" s="8" t="n">
        <v>0</v>
      </c>
      <c r="S202" s="8" t="n">
        <v>3</v>
      </c>
      <c r="T202" s="8" t="n">
        <v>1.5</v>
      </c>
      <c r="U202" s="8" t="n">
        <v>0</v>
      </c>
      <c r="V202" s="8" t="n">
        <v>0</v>
      </c>
      <c r="W202" s="8" t="n">
        <v>0</v>
      </c>
      <c r="X202" s="8" t="n">
        <v>0</v>
      </c>
      <c r="Y202" s="8" t="inlineStr">
        <is>
          <t>no filler; coagent TAIC 3; peroxide Perhexa 25B-40 (40% active on silica) 1.5</t>
        </is>
      </c>
      <c r="Z202" s="8" t="n"/>
      <c r="AA202" s="8" t="n"/>
      <c r="AB202" s="8" t="n"/>
      <c r="AC202" s="8" t="n"/>
      <c r="AD202" s="8" t="n">
        <v>29</v>
      </c>
      <c r="AE202" s="8" t="inlineStr">
        <is>
          <t>200C x 70h, ~25% compression, AS214 O-ring (JIS K6262)</t>
        </is>
      </c>
      <c r="AF202" s="8" t="n">
        <v>0.32</v>
      </c>
      <c r="AG202" s="8" t="inlineStr">
        <is>
          <t>O2:CF4=9:1, RF 500 W, 150 sccm total, 0.5 torr, 1.5 h, 300 mm parallel-plate (Hirano Kouon)</t>
        </is>
      </c>
      <c r="AH202" s="8" t="inlineStr">
        <is>
          <t>parts by weight; MPa n/a; CS %</t>
        </is>
      </c>
      <c r="AI202" s="8" t="inlineStr">
        <is>
          <t>Press 160C x 10 min, post-cure 200C x 16 h in vacuum. Plasma crack test (AS214 O-ring at 10% stretch): no crack; 0 cracks after 1.5 h. Blank FKM cells read as 0 (sum=100, totals 124.5/104.5 confirm).</t>
        </is>
      </c>
    </row>
    <row r="203">
      <c r="A203" s="8" t="inlineStr">
        <is>
          <t>US20090093590A1</t>
        </is>
      </c>
      <c r="B203" s="8" t="inlineStr">
        <is>
          <t>patent</t>
        </is>
      </c>
      <c r="C203" s="8" t="inlineStr">
        <is>
          <t>Nippon Valqua Industries, Ltd.</t>
        </is>
      </c>
      <c r="D203" s="8" t="inlineStr">
        <is>
          <t>Seal Material for Semiconductor Production Apparatus</t>
        </is>
      </c>
      <c r="E203" s="8" t="inlineStr">
        <is>
          <t>https://patents.google.com/patent/US20090093590A1/en</t>
        </is>
      </c>
      <c r="F203" s="8" t="inlineStr">
        <is>
          <t>Example 7</t>
        </is>
      </c>
      <c r="G203" s="8" t="inlineStr">
        <is>
          <t>OTHER</t>
        </is>
      </c>
      <c r="H203" s="8" t="inlineStr">
        <is>
          <t>FFKM/FKM blend: Tecnoflon PFR94 (Solvay Solexis, TFE/PAVE FFKM) 70 + DAI-EL LT302 (VDF/PAVE/TFE FKM) 30</t>
        </is>
      </c>
      <c r="I203" s="8" t="inlineStr">
        <is>
          <t>peroxide</t>
        </is>
      </c>
      <c r="J203" s="8" t="n">
        <v>100</v>
      </c>
      <c r="K203" s="8" t="n">
        <v>0</v>
      </c>
      <c r="L203" s="8" t="n">
        <v>0</v>
      </c>
      <c r="M203" s="8" t="n">
        <v>0</v>
      </c>
      <c r="N203" s="8" t="n">
        <v>0</v>
      </c>
      <c r="O203" s="8" t="n">
        <v>0</v>
      </c>
      <c r="P203" s="8" t="n">
        <v>0</v>
      </c>
      <c r="Q203" s="8" t="n">
        <v>0</v>
      </c>
      <c r="R203" s="8" t="n">
        <v>0</v>
      </c>
      <c r="S203" s="8" t="n">
        <v>3</v>
      </c>
      <c r="T203" s="8" t="n">
        <v>1.5</v>
      </c>
      <c r="U203" s="8" t="n">
        <v>0</v>
      </c>
      <c r="V203" s="8" t="n">
        <v>0</v>
      </c>
      <c r="W203" s="8" t="n">
        <v>0</v>
      </c>
      <c r="X203" s="8" t="n">
        <v>0</v>
      </c>
      <c r="Y203" s="8" t="inlineStr">
        <is>
          <t>no filler; coagent TAIC 3; peroxide Perhexa 25B-40 (40% active on silica) 1.5</t>
        </is>
      </c>
      <c r="Z203" s="8" t="n"/>
      <c r="AA203" s="8" t="n"/>
      <c r="AB203" s="8" t="n"/>
      <c r="AC203" s="8" t="n"/>
      <c r="AD203" s="8" t="n">
        <v>33</v>
      </c>
      <c r="AE203" s="8" t="inlineStr">
        <is>
          <t>200C x 70h, ~25% compression, AS214 O-ring (JIS K6262)</t>
        </is>
      </c>
      <c r="AF203" s="8" t="n">
        <v>0.38</v>
      </c>
      <c r="AG203" s="8" t="inlineStr">
        <is>
          <t>O2:CF4=9:1, RF 500 W, 150 sccm total, 0.5 torr, 1.5 h, 300 mm parallel-plate (Hirano Kouon)</t>
        </is>
      </c>
      <c r="AH203" s="8" t="inlineStr">
        <is>
          <t>parts by weight; MPa n/a; CS %</t>
        </is>
      </c>
      <c r="AI203" s="8" t="inlineStr">
        <is>
          <t>Press 160C x 10 min, post-cure 200C x 16 h in vacuum. Plasma crack test (AS214 O-ring at 10% stretch): no crack; 0 cracks after 1.5 h. Blank FKM cells read as 0 (sum=100, totals 124.5/104.5 confirm).</t>
        </is>
      </c>
    </row>
    <row r="204">
      <c r="A204" s="8" t="inlineStr">
        <is>
          <t>US20090093590A1</t>
        </is>
      </c>
      <c r="B204" s="8" t="inlineStr">
        <is>
          <t>patent</t>
        </is>
      </c>
      <c r="C204" s="8" t="inlineStr">
        <is>
          <t>Nippon Valqua Industries, Ltd.</t>
        </is>
      </c>
      <c r="D204" s="8" t="inlineStr">
        <is>
          <t>Seal Material for Semiconductor Production Apparatus</t>
        </is>
      </c>
      <c r="E204" s="8" t="inlineStr">
        <is>
          <t>https://patents.google.com/patent/US20090093590A1/en</t>
        </is>
      </c>
      <c r="F204" s="8" t="inlineStr">
        <is>
          <t>Comparative Example 1</t>
        </is>
      </c>
      <c r="G204" s="8" t="inlineStr">
        <is>
          <t>OTHER</t>
        </is>
      </c>
      <c r="H204" s="8" t="inlineStr">
        <is>
          <t>FFKM/FKM blend: Tecnoflon PFR94 (Solvay Solexis, TFE/PAVE FFKM) 90 + DAI-EL G902 (table: 'Daiel C 902'; VDF/HFP/TFE FKM) 10</t>
        </is>
      </c>
      <c r="I204" s="8" t="inlineStr">
        <is>
          <t>peroxide</t>
        </is>
      </c>
      <c r="J204" s="8" t="n">
        <v>100</v>
      </c>
      <c r="K204" s="8" t="n">
        <v>20</v>
      </c>
      <c r="L204" s="8" t="n">
        <v>0</v>
      </c>
      <c r="M204" s="8" t="n">
        <v>0</v>
      </c>
      <c r="N204" s="8" t="n">
        <v>0</v>
      </c>
      <c r="O204" s="8" t="n">
        <v>0</v>
      </c>
      <c r="P204" s="8" t="n">
        <v>0</v>
      </c>
      <c r="Q204" s="8" t="n">
        <v>0</v>
      </c>
      <c r="R204" s="8" t="n">
        <v>0</v>
      </c>
      <c r="S204" s="8" t="n">
        <v>3</v>
      </c>
      <c r="T204" s="8" t="n">
        <v>1.5</v>
      </c>
      <c r="U204" s="8" t="n">
        <v>0</v>
      </c>
      <c r="V204" s="8" t="n">
        <v>0</v>
      </c>
      <c r="W204" s="8" t="n">
        <v>0</v>
      </c>
      <c r="X204" s="8" t="n">
        <v>0</v>
      </c>
      <c r="Y204" s="8" t="inlineStr">
        <is>
          <t>carbon black Thermax N990; coagent TAIC 3; peroxide Perhexa 25B-40 (40% active on silica) 1.5</t>
        </is>
      </c>
      <c r="Z204" s="8" t="n"/>
      <c r="AA204" s="8" t="n"/>
      <c r="AB204" s="8" t="n"/>
      <c r="AC204" s="8" t="n"/>
      <c r="AD204" s="8" t="n">
        <v>32</v>
      </c>
      <c r="AE204" s="8" t="inlineStr">
        <is>
          <t>200C x 70h, ~25% compression, AS214 O-ring (JIS K6262)</t>
        </is>
      </c>
      <c r="AF204" s="8" t="n">
        <v>0.27</v>
      </c>
      <c r="AG204" s="8" t="inlineStr">
        <is>
          <t>O2:CF4=9:1, RF 500 W, 150 sccm total, 0.5 torr, 1.5 h, 300 mm parallel-plate (Hirano Kouon)</t>
        </is>
      </c>
      <c r="AH204" s="8" t="inlineStr">
        <is>
          <t>parts by weight; MPa n/a; CS %</t>
        </is>
      </c>
      <c r="AI204" s="8" t="inlineStr">
        <is>
          <t>Press 160C x 10 min, post-cure 200C x 16 h in vacuum. Plasma crack test (AS214 O-ring at 10% stretch): crack at 80 min; 3 cracks after 1.5 h. Blank FKM cells read as 0 (sum=100, totals 124.5/104.5 confirm).</t>
        </is>
      </c>
    </row>
    <row r="205">
      <c r="A205" s="8" t="inlineStr">
        <is>
          <t>US20090093590A1</t>
        </is>
      </c>
      <c r="B205" s="8" t="inlineStr">
        <is>
          <t>patent</t>
        </is>
      </c>
      <c r="C205" s="8" t="inlineStr">
        <is>
          <t>Nippon Valqua Industries, Ltd.</t>
        </is>
      </c>
      <c r="D205" s="8" t="inlineStr">
        <is>
          <t>Seal Material for Semiconductor Production Apparatus</t>
        </is>
      </c>
      <c r="E205" s="8" t="inlineStr">
        <is>
          <t>https://patents.google.com/patent/US20090093590A1/en</t>
        </is>
      </c>
      <c r="F205" s="8" t="inlineStr">
        <is>
          <t>Comparative Example 2</t>
        </is>
      </c>
      <c r="G205" s="8" t="inlineStr">
        <is>
          <t>OTHER</t>
        </is>
      </c>
      <c r="H205" s="8" t="inlineStr">
        <is>
          <t>FFKM/FKM blend: Tecnoflon PFR94 (Solvay Solexis, TFE/PAVE FFKM) 10 + DAI-EL G902 (table: 'Daiel C 902'; VDF/HFP/TFE FKM) 90</t>
        </is>
      </c>
      <c r="I205" s="8" t="inlineStr">
        <is>
          <t>peroxide</t>
        </is>
      </c>
      <c r="J205" s="8" t="n">
        <v>100</v>
      </c>
      <c r="K205" s="8" t="n">
        <v>20</v>
      </c>
      <c r="L205" s="8" t="n">
        <v>0</v>
      </c>
      <c r="M205" s="8" t="n">
        <v>0</v>
      </c>
      <c r="N205" s="8" t="n">
        <v>0</v>
      </c>
      <c r="O205" s="8" t="n">
        <v>0</v>
      </c>
      <c r="P205" s="8" t="n">
        <v>0</v>
      </c>
      <c r="Q205" s="8" t="n">
        <v>0</v>
      </c>
      <c r="R205" s="8" t="n">
        <v>0</v>
      </c>
      <c r="S205" s="8" t="n">
        <v>3</v>
      </c>
      <c r="T205" s="8" t="n">
        <v>1.5</v>
      </c>
      <c r="U205" s="8" t="n">
        <v>0</v>
      </c>
      <c r="V205" s="8" t="n">
        <v>0</v>
      </c>
      <c r="W205" s="8" t="n">
        <v>0</v>
      </c>
      <c r="X205" s="8" t="n">
        <v>0</v>
      </c>
      <c r="Y205" s="8" t="inlineStr">
        <is>
          <t>carbon black Thermax N990; coagent TAIC 3; peroxide Perhexa 25B-40 (40% active on silica) 1.5</t>
        </is>
      </c>
      <c r="Z205" s="8" t="n"/>
      <c r="AA205" s="8" t="n"/>
      <c r="AB205" s="8" t="n"/>
      <c r="AC205" s="8" t="n"/>
      <c r="AD205" s="8" t="n">
        <v>28</v>
      </c>
      <c r="AE205" s="8" t="inlineStr">
        <is>
          <t>200C x 70h, ~25% compression, AS214 O-ring (JIS K6262)</t>
        </is>
      </c>
      <c r="AF205" s="8" t="n">
        <v>1.03</v>
      </c>
      <c r="AG205" s="8" t="inlineStr">
        <is>
          <t>O2:CF4=9:1, RF 500 W, 150 sccm total, 0.5 torr, 1.5 h, 300 mm parallel-plate (Hirano Kouon)</t>
        </is>
      </c>
      <c r="AH205" s="8" t="inlineStr">
        <is>
          <t>parts by weight; MPa n/a; CS %</t>
        </is>
      </c>
      <c r="AI205" s="8" t="inlineStr">
        <is>
          <t>Press 160C x 10 min, post-cure 200C x 16 h in vacuum. Plasma crack test (AS214 O-ring at 10% stretch): crack at 20 min. Blank FKM cells read as 0 (sum=100, totals 124.5/104.5 confirm).</t>
        </is>
      </c>
    </row>
    <row r="206">
      <c r="A206" s="8" t="inlineStr">
        <is>
          <t>US20090093590A1</t>
        </is>
      </c>
      <c r="B206" s="8" t="inlineStr">
        <is>
          <t>patent</t>
        </is>
      </c>
      <c r="C206" s="8" t="inlineStr">
        <is>
          <t>Nippon Valqua Industries, Ltd.</t>
        </is>
      </c>
      <c r="D206" s="8" t="inlineStr">
        <is>
          <t>Seal Material for Semiconductor Production Apparatus</t>
        </is>
      </c>
      <c r="E206" s="8" t="inlineStr">
        <is>
          <t>https://patents.google.com/patent/US20090093590A1/en</t>
        </is>
      </c>
      <c r="F206" s="8" t="inlineStr">
        <is>
          <t>Comparative Example 3</t>
        </is>
      </c>
      <c r="G206" s="8" t="inlineStr">
        <is>
          <t>OTHER</t>
        </is>
      </c>
      <c r="H206" s="8" t="inlineStr">
        <is>
          <t>FFKM/FKM blend: Tecnoflon PFR94 (Solvay Solexis, TFE/PAVE FFKM) 40 + DAI-EL G902 (table: 'Daiel C 902'; VDF/HFP/TFE FKM) 60</t>
        </is>
      </c>
      <c r="I206" s="8" t="inlineStr">
        <is>
          <t>peroxide</t>
        </is>
      </c>
      <c r="J206" s="8" t="n">
        <v>100</v>
      </c>
      <c r="K206" s="8" t="n">
        <v>20</v>
      </c>
      <c r="L206" s="8" t="n">
        <v>0</v>
      </c>
      <c r="M206" s="8" t="n">
        <v>0</v>
      </c>
      <c r="N206" s="8" t="n">
        <v>0</v>
      </c>
      <c r="O206" s="8" t="n">
        <v>0</v>
      </c>
      <c r="P206" s="8" t="n">
        <v>0</v>
      </c>
      <c r="Q206" s="8" t="n">
        <v>0</v>
      </c>
      <c r="R206" s="8" t="n">
        <v>0</v>
      </c>
      <c r="S206" s="8" t="n">
        <v>3</v>
      </c>
      <c r="T206" s="8" t="n">
        <v>1.5</v>
      </c>
      <c r="U206" s="8" t="n">
        <v>0</v>
      </c>
      <c r="V206" s="8" t="n">
        <v>0</v>
      </c>
      <c r="W206" s="8" t="n">
        <v>0</v>
      </c>
      <c r="X206" s="8" t="n">
        <v>0</v>
      </c>
      <c r="Y206" s="8" t="inlineStr">
        <is>
          <t>carbon black Thermax N990; coagent TAIC 3; peroxide Perhexa 25B-40 (40% active on silica) 1.5</t>
        </is>
      </c>
      <c r="Z206" s="8" t="n"/>
      <c r="AA206" s="8" t="n"/>
      <c r="AB206" s="8" t="n"/>
      <c r="AC206" s="8" t="n"/>
      <c r="AD206" s="8" t="n">
        <v>31</v>
      </c>
      <c r="AE206" s="8" t="inlineStr">
        <is>
          <t>200C x 70h, ~25% compression, AS214 O-ring (JIS K6262)</t>
        </is>
      </c>
      <c r="AF206" s="8" t="n">
        <v>0.68</v>
      </c>
      <c r="AG206" s="8" t="inlineStr">
        <is>
          <t>O2:CF4=9:1, RF 500 W, 150 sccm total, 0.5 torr, 1.5 h, 300 mm parallel-plate (Hirano Kouon)</t>
        </is>
      </c>
      <c r="AH206" s="8" t="inlineStr">
        <is>
          <t>parts by weight; MPa n/a; CS %</t>
        </is>
      </c>
      <c r="AI206" s="8" t="inlineStr">
        <is>
          <t>Press 160C x 10 min, post-cure 200C x 16 h in vacuum. Plasma crack test (AS214 O-ring at 10% stretch): crack at 90 min. Blank FKM cells read as 0 (sum=100, totals 124.5/104.5 confirm).</t>
        </is>
      </c>
    </row>
    <row r="207">
      <c r="A207" s="8" t="inlineStr">
        <is>
          <t>US20090093590A1</t>
        </is>
      </c>
      <c r="B207" s="8" t="inlineStr">
        <is>
          <t>patent</t>
        </is>
      </c>
      <c r="C207" s="8" t="inlineStr">
        <is>
          <t>Nippon Valqua Industries, Ltd.</t>
        </is>
      </c>
      <c r="D207" s="8" t="inlineStr">
        <is>
          <t>Seal Material for Semiconductor Production Apparatus</t>
        </is>
      </c>
      <c r="E207" s="8" t="inlineStr">
        <is>
          <t>https://patents.google.com/patent/US20090093590A1/en</t>
        </is>
      </c>
      <c r="F207" s="8" t="inlineStr">
        <is>
          <t>Comparative Example 4</t>
        </is>
      </c>
      <c r="G207" s="8" t="inlineStr">
        <is>
          <t>OTHER</t>
        </is>
      </c>
      <c r="H207" s="8" t="inlineStr">
        <is>
          <t>FFKM/FKM blend: Tecnoflon PFR94 (Solvay Solexis, TFE/PAVE FFKM) 20 + DAI-EL G902 (table: 'Daiel C 902'; VDF/HFP/TFE FKM) 80</t>
        </is>
      </c>
      <c r="I207" s="8" t="inlineStr">
        <is>
          <t>peroxide</t>
        </is>
      </c>
      <c r="J207" s="8" t="n">
        <v>100</v>
      </c>
      <c r="K207" s="8" t="n">
        <v>20</v>
      </c>
      <c r="L207" s="8" t="n">
        <v>0</v>
      </c>
      <c r="M207" s="8" t="n">
        <v>0</v>
      </c>
      <c r="N207" s="8" t="n">
        <v>0</v>
      </c>
      <c r="O207" s="8" t="n">
        <v>0</v>
      </c>
      <c r="P207" s="8" t="n">
        <v>0</v>
      </c>
      <c r="Q207" s="8" t="n">
        <v>0</v>
      </c>
      <c r="R207" s="8" t="n">
        <v>0</v>
      </c>
      <c r="S207" s="8" t="n">
        <v>3</v>
      </c>
      <c r="T207" s="8" t="n">
        <v>1.5</v>
      </c>
      <c r="U207" s="8" t="n">
        <v>0</v>
      </c>
      <c r="V207" s="8" t="n">
        <v>0</v>
      </c>
      <c r="W207" s="8" t="n">
        <v>0</v>
      </c>
      <c r="X207" s="8" t="n">
        <v>0</v>
      </c>
      <c r="Y207" s="8" t="inlineStr">
        <is>
          <t>carbon black Thermax N990; coagent TAIC 3; peroxide Perhexa 25B-40 (40% active on silica) 1.5</t>
        </is>
      </c>
      <c r="Z207" s="8" t="n"/>
      <c r="AA207" s="8" t="n"/>
      <c r="AB207" s="8" t="n"/>
      <c r="AC207" s="8" t="n"/>
      <c r="AD207" s="8" t="n">
        <v>28</v>
      </c>
      <c r="AE207" s="8" t="inlineStr">
        <is>
          <t>200C x 70h, ~25% compression, AS214 O-ring (JIS K6262)</t>
        </is>
      </c>
      <c r="AF207" s="8" t="n">
        <v>0.77</v>
      </c>
      <c r="AG207" s="8" t="inlineStr">
        <is>
          <t>O2:CF4=9:1, RF 500 W, 150 sccm total, 0.5 torr, 1.5 h, 300 mm parallel-plate (Hirano Kouon)</t>
        </is>
      </c>
      <c r="AH207" s="8" t="inlineStr">
        <is>
          <t>parts by weight; MPa n/a; CS %</t>
        </is>
      </c>
      <c r="AI207" s="8" t="inlineStr">
        <is>
          <t>Press 160C x 10 min, post-cure 200C x 16 h in vacuum. Plasma crack test (AS214 O-ring at 10% stretch): crack at 80 min. Blank FKM cells read as 0 (sum=100, totals 124.5/104.5 confirm).</t>
        </is>
      </c>
    </row>
    <row r="208">
      <c r="A208" s="8" t="inlineStr">
        <is>
          <t>US20090093590A1</t>
        </is>
      </c>
      <c r="B208" s="8" t="inlineStr">
        <is>
          <t>patent</t>
        </is>
      </c>
      <c r="C208" s="8" t="inlineStr">
        <is>
          <t>Nippon Valqua Industries, Ltd.</t>
        </is>
      </c>
      <c r="D208" s="8" t="inlineStr">
        <is>
          <t>Seal Material for Semiconductor Production Apparatus</t>
        </is>
      </c>
      <c r="E208" s="8" t="inlineStr">
        <is>
          <t>https://patents.google.com/patent/US20090093590A1/en</t>
        </is>
      </c>
      <c r="F208" s="8" t="inlineStr">
        <is>
          <t>Comparative Example 5</t>
        </is>
      </c>
      <c r="G208" s="8" t="inlineStr">
        <is>
          <t>FFKM</t>
        </is>
      </c>
      <c r="H208" s="8" t="inlineStr">
        <is>
          <t>Tecnoflon PFR94 (Solvay Solexis, TFE/PAVE FFKM)</t>
        </is>
      </c>
      <c r="I208" s="8" t="inlineStr">
        <is>
          <t>peroxide</t>
        </is>
      </c>
      <c r="J208" s="8" t="n">
        <v>100</v>
      </c>
      <c r="K208" s="8" t="n">
        <v>20</v>
      </c>
      <c r="L208" s="8" t="n">
        <v>0</v>
      </c>
      <c r="M208" s="8" t="n">
        <v>0</v>
      </c>
      <c r="N208" s="8" t="n">
        <v>0</v>
      </c>
      <c r="O208" s="8" t="n">
        <v>0</v>
      </c>
      <c r="P208" s="8" t="n">
        <v>0</v>
      </c>
      <c r="Q208" s="8" t="n">
        <v>0</v>
      </c>
      <c r="R208" s="8" t="n">
        <v>0</v>
      </c>
      <c r="S208" s="8" t="n">
        <v>3</v>
      </c>
      <c r="T208" s="8" t="n">
        <v>1.5</v>
      </c>
      <c r="U208" s="8" t="n">
        <v>0</v>
      </c>
      <c r="V208" s="8" t="n">
        <v>0</v>
      </c>
      <c r="W208" s="8" t="n">
        <v>0</v>
      </c>
      <c r="X208" s="8" t="n">
        <v>0</v>
      </c>
      <c r="Y208" s="8" t="inlineStr">
        <is>
          <t>carbon black Thermax N990; coagent TAIC 3; peroxide Perhexa 25B-40 (40% active on silica) 1.5</t>
        </is>
      </c>
      <c r="Z208" s="8" t="n"/>
      <c r="AA208" s="8" t="n"/>
      <c r="AB208" s="8" t="n"/>
      <c r="AC208" s="8" t="n"/>
      <c r="AD208" s="8" t="n">
        <v>28</v>
      </c>
      <c r="AE208" s="8" t="inlineStr">
        <is>
          <t>200C x 70h, ~25% compression, AS214 O-ring (JIS K6262)</t>
        </is>
      </c>
      <c r="AF208" s="8" t="n">
        <v>0.26</v>
      </c>
      <c r="AG208" s="8" t="inlineStr">
        <is>
          <t>O2:CF4=9:1, RF 500 W, 150 sccm total, 0.5 torr, 1.5 h, 300 mm parallel-plate (Hirano Kouon)</t>
        </is>
      </c>
      <c r="AH208" s="8" t="inlineStr">
        <is>
          <t>parts by weight; MPa n/a; CS %</t>
        </is>
      </c>
      <c r="AI208" s="8" t="inlineStr">
        <is>
          <t>Press 160C x 10 min, post-cure 200C x 16 h in vacuum. Plasma crack test (AS214 O-ring at 10% stretch): crack at 10 min. Blank FKM cells read as 0 (sum=100, totals 124.5/104.5 confirm).</t>
        </is>
      </c>
    </row>
    <row r="209">
      <c r="A209" s="8" t="inlineStr">
        <is>
          <t>US20090093590A1</t>
        </is>
      </c>
      <c r="B209" s="8" t="inlineStr">
        <is>
          <t>patent</t>
        </is>
      </c>
      <c r="C209" s="8" t="inlineStr">
        <is>
          <t>Nippon Valqua Industries, Ltd.</t>
        </is>
      </c>
      <c r="D209" s="8" t="inlineStr">
        <is>
          <t>Seal Material for Semiconductor Production Apparatus</t>
        </is>
      </c>
      <c r="E209" s="8" t="inlineStr">
        <is>
          <t>https://patents.google.com/patent/US20090093590A1/en</t>
        </is>
      </c>
      <c r="F209" s="8" t="inlineStr">
        <is>
          <t>Comparative Example 6</t>
        </is>
      </c>
      <c r="G209" s="8" t="inlineStr">
        <is>
          <t>FKM</t>
        </is>
      </c>
      <c r="H209" s="8" t="inlineStr">
        <is>
          <t>DAI-EL G902 (table: 'Daiel C 902'; VDF/HFP/TFE FKM)</t>
        </is>
      </c>
      <c r="I209" s="8" t="inlineStr">
        <is>
          <t>peroxide</t>
        </is>
      </c>
      <c r="J209" s="8" t="n">
        <v>100</v>
      </c>
      <c r="K209" s="8" t="n">
        <v>20</v>
      </c>
      <c r="L209" s="8" t="n">
        <v>0</v>
      </c>
      <c r="M209" s="8" t="n">
        <v>0</v>
      </c>
      <c r="N209" s="8" t="n">
        <v>0</v>
      </c>
      <c r="O209" s="8" t="n">
        <v>0</v>
      </c>
      <c r="P209" s="8" t="n">
        <v>0</v>
      </c>
      <c r="Q209" s="8" t="n">
        <v>0</v>
      </c>
      <c r="R209" s="8" t="n">
        <v>0</v>
      </c>
      <c r="S209" s="8" t="n">
        <v>3</v>
      </c>
      <c r="T209" s="8" t="n">
        <v>1.5</v>
      </c>
      <c r="U209" s="8" t="n">
        <v>0</v>
      </c>
      <c r="V209" s="8" t="n">
        <v>0</v>
      </c>
      <c r="W209" s="8" t="n">
        <v>0</v>
      </c>
      <c r="X209" s="8" t="n">
        <v>0</v>
      </c>
      <c r="Y209" s="8" t="inlineStr">
        <is>
          <t>carbon black Thermax N990; coagent TAIC 3; peroxide Perhexa 25B-40 (40% active on silica) 1.5</t>
        </is>
      </c>
      <c r="Z209" s="8" t="n"/>
      <c r="AA209" s="8" t="n"/>
      <c r="AB209" s="8" t="n"/>
      <c r="AC209" s="8" t="n"/>
      <c r="AD209" s="8" t="n">
        <v>27</v>
      </c>
      <c r="AE209" s="8" t="inlineStr">
        <is>
          <t>200C x 70h, ~25% compression, AS214 O-ring (JIS K6262)</t>
        </is>
      </c>
      <c r="AF209" s="8" t="n">
        <v>3.85</v>
      </c>
      <c r="AG209" s="8" t="inlineStr">
        <is>
          <t>O2:CF4=9:1, RF 500 W, 150 sccm total, 0.5 torr, 1.5 h, 300 mm parallel-plate (Hirano Kouon)</t>
        </is>
      </c>
      <c r="AH209" s="8" t="inlineStr">
        <is>
          <t>parts by weight; MPa n/a; CS %</t>
        </is>
      </c>
      <c r="AI209" s="8" t="inlineStr">
        <is>
          <t>Press 160C x 10 min, post-cure 200C x 16 h in vacuum. Plasma crack test (AS214 O-ring at 10% stretch): crack at 10 min. Blank FKM cells read as 0 (sum=100, totals 124.5/104.5 confirm).</t>
        </is>
      </c>
    </row>
    <row r="210">
      <c r="A210" s="8" t="inlineStr">
        <is>
          <t>US20090093590A1</t>
        </is>
      </c>
      <c r="B210" s="8" t="inlineStr">
        <is>
          <t>patent</t>
        </is>
      </c>
      <c r="C210" s="8" t="inlineStr">
        <is>
          <t>Nippon Valqua Industries, Ltd.</t>
        </is>
      </c>
      <c r="D210" s="8" t="inlineStr">
        <is>
          <t>Seal Material for Semiconductor Production Apparatus</t>
        </is>
      </c>
      <c r="E210" s="8" t="inlineStr">
        <is>
          <t>https://patents.google.com/patent/US20090093590A1/en</t>
        </is>
      </c>
      <c r="F210" s="8" t="inlineStr">
        <is>
          <t>Comparative Example 7</t>
        </is>
      </c>
      <c r="G210" s="8" t="inlineStr">
        <is>
          <t>OTHER</t>
        </is>
      </c>
      <c r="H210" s="8" t="inlineStr">
        <is>
          <t>FFKM/FKM blend: Tecnoflon PFR94 (Solvay Solexis, TFE/PAVE FFKM) 40 + DAI-EL LT302 (VDF/PAVE/TFE FKM) 60</t>
        </is>
      </c>
      <c r="I210" s="8" t="inlineStr">
        <is>
          <t>peroxide</t>
        </is>
      </c>
      <c r="J210" s="8" t="n">
        <v>100</v>
      </c>
      <c r="K210" s="8" t="n">
        <v>20</v>
      </c>
      <c r="L210" s="8" t="n">
        <v>0</v>
      </c>
      <c r="M210" s="8" t="n">
        <v>0</v>
      </c>
      <c r="N210" s="8" t="n">
        <v>0</v>
      </c>
      <c r="O210" s="8" t="n">
        <v>0</v>
      </c>
      <c r="P210" s="8" t="n">
        <v>0</v>
      </c>
      <c r="Q210" s="8" t="n">
        <v>0</v>
      </c>
      <c r="R210" s="8" t="n">
        <v>0</v>
      </c>
      <c r="S210" s="8" t="n">
        <v>3</v>
      </c>
      <c r="T210" s="8" t="n">
        <v>1.5</v>
      </c>
      <c r="U210" s="8" t="n">
        <v>0</v>
      </c>
      <c r="V210" s="8" t="n">
        <v>0</v>
      </c>
      <c r="W210" s="8" t="n">
        <v>0</v>
      </c>
      <c r="X210" s="8" t="n">
        <v>0</v>
      </c>
      <c r="Y210" s="8" t="inlineStr">
        <is>
          <t>carbon black Thermax N990; coagent TAIC 3; peroxide Perhexa 25B-40 (40% active on silica) 1.5</t>
        </is>
      </c>
      <c r="Z210" s="8" t="n"/>
      <c r="AA210" s="8" t="n"/>
      <c r="AB210" s="8" t="n"/>
      <c r="AC210" s="8" t="n"/>
      <c r="AD210" s="8" t="n">
        <v>34</v>
      </c>
      <c r="AE210" s="8" t="inlineStr">
        <is>
          <t>200C x 70h, ~25% compression, AS214 O-ring (JIS K6262)</t>
        </is>
      </c>
      <c r="AF210" s="8" t="n">
        <v>0.85</v>
      </c>
      <c r="AG210" s="8" t="inlineStr">
        <is>
          <t>O2:CF4=9:1, RF 500 W, 150 sccm total, 0.5 torr, 1.5 h, 300 mm parallel-plate (Hirano Kouon)</t>
        </is>
      </c>
      <c r="AH210" s="8" t="inlineStr">
        <is>
          <t>parts by weight; MPa n/a; CS %</t>
        </is>
      </c>
      <c r="AI210" s="8" t="inlineStr">
        <is>
          <t>Press 160C x 10 min, post-cure 200C x 16 h in vacuum. Plasma crack test (AS214 O-ring at 10% stretch): crack at 90 min; table blend-ratio row says 20/80 although formulation is 40/60. Blank FKM cells read as 0 (sum=100, totals 124.5/104.5 confirm).</t>
        </is>
      </c>
    </row>
    <row r="211">
      <c r="A211" s="8" t="inlineStr">
        <is>
          <t>US20090093590A1</t>
        </is>
      </c>
      <c r="B211" s="8" t="inlineStr">
        <is>
          <t>patent</t>
        </is>
      </c>
      <c r="C211" s="8" t="inlineStr">
        <is>
          <t>Nippon Valqua Industries, Ltd.</t>
        </is>
      </c>
      <c r="D211" s="8" t="inlineStr">
        <is>
          <t>Seal Material for Semiconductor Production Apparatus</t>
        </is>
      </c>
      <c r="E211" s="8" t="inlineStr">
        <is>
          <t>https://patents.google.com/patent/US20090093590A1/en</t>
        </is>
      </c>
      <c r="F211" s="8" t="inlineStr">
        <is>
          <t>Comparative Example 8</t>
        </is>
      </c>
      <c r="G211" s="8" t="inlineStr">
        <is>
          <t>FKM</t>
        </is>
      </c>
      <c r="H211" s="8" t="inlineStr">
        <is>
          <t>DAI-EL LT302 (VDF/PAVE/TFE FKM)</t>
        </is>
      </c>
      <c r="I211" s="8" t="inlineStr">
        <is>
          <t>peroxide</t>
        </is>
      </c>
      <c r="J211" s="8" t="n">
        <v>100</v>
      </c>
      <c r="K211" s="8" t="n">
        <v>20</v>
      </c>
      <c r="L211" s="8" t="n">
        <v>0</v>
      </c>
      <c r="M211" s="8" t="n">
        <v>0</v>
      </c>
      <c r="N211" s="8" t="n">
        <v>0</v>
      </c>
      <c r="O211" s="8" t="n">
        <v>0</v>
      </c>
      <c r="P211" s="8" t="n">
        <v>0</v>
      </c>
      <c r="Q211" s="8" t="n">
        <v>0</v>
      </c>
      <c r="R211" s="8" t="n">
        <v>0</v>
      </c>
      <c r="S211" s="8" t="n">
        <v>3</v>
      </c>
      <c r="T211" s="8" t="n">
        <v>1.5</v>
      </c>
      <c r="U211" s="8" t="n">
        <v>0</v>
      </c>
      <c r="V211" s="8" t="n">
        <v>0</v>
      </c>
      <c r="W211" s="8" t="n">
        <v>0</v>
      </c>
      <c r="X211" s="8" t="n">
        <v>0</v>
      </c>
      <c r="Y211" s="8" t="inlineStr">
        <is>
          <t>carbon black Thermax N990; coagent TAIC 3; peroxide Perhexa 25B-40 (40% active on silica) 1.5</t>
        </is>
      </c>
      <c r="Z211" s="8" t="n"/>
      <c r="AA211" s="8" t="n"/>
      <c r="AB211" s="8" t="n"/>
      <c r="AC211" s="8" t="n"/>
      <c r="AD211" s="8" t="n">
        <v>35</v>
      </c>
      <c r="AE211" s="8" t="inlineStr">
        <is>
          <t>200C x 70h, ~25% compression, AS214 O-ring (JIS K6262)</t>
        </is>
      </c>
      <c r="AF211" s="8" t="n">
        <v>4.52</v>
      </c>
      <c r="AG211" s="8" t="inlineStr">
        <is>
          <t>O2:CF4=9:1, RF 500 W, 150 sccm total, 0.5 torr, 1.5 h, 300 mm parallel-plate (Hirano Kouon)</t>
        </is>
      </c>
      <c r="AH211" s="8" t="inlineStr">
        <is>
          <t>parts by weight; MPa n/a; CS %</t>
        </is>
      </c>
      <c r="AI211" s="8" t="inlineStr">
        <is>
          <t>Press 160C x 10 min, post-cure 200C x 16 h in vacuum. Plasma crack test (AS214 O-ring at 10% stretch): crack at 90 min. Blank FKM cells read as 0 (sum=100, totals 124.5/104.5 confirm).</t>
        </is>
      </c>
    </row>
    <row r="212">
      <c r="A212" s="8" t="inlineStr">
        <is>
          <t>US20160319102A1</t>
        </is>
      </c>
      <c r="B212" s="8" t="inlineStr">
        <is>
          <t>patent</t>
        </is>
      </c>
      <c r="C212" s="8" t="inlineStr">
        <is>
          <t>Valqua, Ltd. (Nippon Valqua Industries)</t>
        </is>
      </c>
      <c r="D212" s="8" t="inlineStr">
        <is>
          <t>Perfluoroelastomer composition, sealing material, and method for producing same</t>
        </is>
      </c>
      <c r="E212" s="8" t="inlineStr">
        <is>
          <t>https://patents.google.com/patent/US20160319102A1/en</t>
        </is>
      </c>
      <c r="F212" s="8" t="inlineStr">
        <is>
          <t>Example 1</t>
        </is>
      </c>
      <c r="G212" s="8" t="inlineStr">
        <is>
          <t>FFKM</t>
        </is>
      </c>
      <c r="H212" s="8" t="inlineStr">
        <is>
          <t>3M Dyneon PFE-131TZ (TFE/PAVE/CN-PAVE) 87.6 + elastomer part of 3M Dyneon PFE-133TBZ (CN-type FFKM + fluororesin) 12.4</t>
        </is>
      </c>
      <c r="I212" s="8" t="inlineStr">
        <is>
          <t>nitrile_bisaminophenol</t>
        </is>
      </c>
      <c r="J212" s="8" t="n">
        <v>100</v>
      </c>
      <c r="K212" s="8" t="n">
        <v>0</v>
      </c>
      <c r="L212" s="8" t="n">
        <v>0</v>
      </c>
      <c r="M212" s="8" t="n">
        <v>0</v>
      </c>
      <c r="N212" s="8" t="n">
        <v>0</v>
      </c>
      <c r="O212" s="8" t="n">
        <v>0</v>
      </c>
      <c r="P212" s="8" t="n">
        <v>3.1</v>
      </c>
      <c r="Q212" s="8" t="n">
        <v>0</v>
      </c>
      <c r="R212" s="8" t="n">
        <v>0</v>
      </c>
      <c r="S212" s="8" t="n">
        <v>0</v>
      </c>
      <c r="T212" s="8" t="n">
        <v>0</v>
      </c>
      <c r="U212" s="8" t="n">
        <v>1.55</v>
      </c>
      <c r="V212" s="8" t="n">
        <v>0</v>
      </c>
      <c r="W212" s="8" t="n">
        <v>0</v>
      </c>
      <c r="X212" s="8" t="n">
        <v>0</v>
      </c>
      <c r="Y212" s="8" t="inlineStr">
        <is>
          <t>fluororesin contained in PFE-133TBZ 3.1; BOAP 1.55</t>
        </is>
      </c>
      <c r="Z212" s="8" t="n">
        <v>68</v>
      </c>
      <c r="AA212" s="8" t="n">
        <v>12.6</v>
      </c>
      <c r="AB212" s="8" t="n">
        <v>220</v>
      </c>
      <c r="AC212" s="8" t="n">
        <v>2.8</v>
      </c>
      <c r="AD212" s="8" t="n">
        <v>15</v>
      </c>
      <c r="AE212" s="8" t="inlineStr">
        <is>
          <t>260C x 72h, 25% compression, O-ring 3.53 mm cross-section (JIS K6262)</t>
        </is>
      </c>
      <c r="AF212" s="8" t="n"/>
      <c r="AG212" s="8" t="n"/>
      <c r="AH212" s="8" t="inlineStr">
        <is>
          <t>parts by weight; MPa; Shore A (type A durometer, sheet)</t>
        </is>
      </c>
      <c r="AI212" s="8" t="inlineStr">
        <is>
          <t>press 180C x 25 min; post-cure 280C x 6 h. Elastomer column = elastomer content of FFKM1 + FFKM2 (sum 100); fluororesin of PFE-133TBZ reported separately as 'Fluororesin 1'.</t>
        </is>
      </c>
    </row>
    <row r="213">
      <c r="A213" s="8" t="inlineStr">
        <is>
          <t>US20160319102A1</t>
        </is>
      </c>
      <c r="B213" s="8" t="inlineStr">
        <is>
          <t>patent</t>
        </is>
      </c>
      <c r="C213" s="8" t="inlineStr">
        <is>
          <t>Valqua, Ltd. (Nippon Valqua Industries)</t>
        </is>
      </c>
      <c r="D213" s="8" t="inlineStr">
        <is>
          <t>Perfluoroelastomer composition, sealing material, and method for producing same</t>
        </is>
      </c>
      <c r="E213" s="8" t="inlineStr">
        <is>
          <t>https://patents.google.com/patent/US20160319102A1/en</t>
        </is>
      </c>
      <c r="F213" s="8" t="inlineStr">
        <is>
          <t>Example 2</t>
        </is>
      </c>
      <c r="G213" s="8" t="inlineStr">
        <is>
          <t>FFKM</t>
        </is>
      </c>
      <c r="H213" s="8" t="inlineStr">
        <is>
          <t>3M Dyneon PFE-131TZ (TFE/PAVE/CN-PAVE) 74.5 + elastomer part of 3M Dyneon PFE-133TBZ (CN-type FFKM + fluororesin) 25.5</t>
        </is>
      </c>
      <c r="I213" s="8" t="inlineStr">
        <is>
          <t>nitrile_bisaminophenol</t>
        </is>
      </c>
      <c r="J213" s="8" t="n">
        <v>100</v>
      </c>
      <c r="K213" s="8" t="n">
        <v>0</v>
      </c>
      <c r="L213" s="8" t="n">
        <v>0</v>
      </c>
      <c r="M213" s="8" t="n">
        <v>0</v>
      </c>
      <c r="N213" s="8" t="n">
        <v>0</v>
      </c>
      <c r="O213" s="8" t="n">
        <v>0</v>
      </c>
      <c r="P213" s="8" t="n">
        <v>6.4</v>
      </c>
      <c r="Q213" s="8" t="n">
        <v>0</v>
      </c>
      <c r="R213" s="8" t="n">
        <v>0</v>
      </c>
      <c r="S213" s="8" t="n">
        <v>0</v>
      </c>
      <c r="T213" s="8" t="n">
        <v>0</v>
      </c>
      <c r="U213" s="8" t="n">
        <v>1.6</v>
      </c>
      <c r="V213" s="8" t="n">
        <v>0</v>
      </c>
      <c r="W213" s="8" t="n">
        <v>0</v>
      </c>
      <c r="X213" s="8" t="n">
        <v>0</v>
      </c>
      <c r="Y213" s="8" t="inlineStr">
        <is>
          <t>fluororesin contained in PFE-133TBZ 6.4; BOAP 1.6</t>
        </is>
      </c>
      <c r="Z213" s="8" t="n">
        <v>70</v>
      </c>
      <c r="AA213" s="8" t="n">
        <v>13.3</v>
      </c>
      <c r="AB213" s="8" t="n">
        <v>225</v>
      </c>
      <c r="AC213" s="8" t="n">
        <v>3.1</v>
      </c>
      <c r="AD213" s="8" t="n">
        <v>19</v>
      </c>
      <c r="AE213" s="8" t="inlineStr">
        <is>
          <t>260C x 72h, 25% compression, O-ring 3.53 mm cross-section (JIS K6262)</t>
        </is>
      </c>
      <c r="AF213" s="8" t="n"/>
      <c r="AG213" s="8" t="n"/>
      <c r="AH213" s="8" t="inlineStr">
        <is>
          <t>parts by weight; MPa; Shore A (type A durometer, sheet)</t>
        </is>
      </c>
      <c r="AI213" s="8" t="inlineStr">
        <is>
          <t>press 180C x 25 min; post-cure 280C x 6 h. Elastomer column = elastomer content of FFKM1 + FFKM2 (sum 100); fluororesin of PFE-133TBZ reported separately as 'Fluororesin 1'.</t>
        </is>
      </c>
    </row>
    <row r="214">
      <c r="A214" s="8" t="inlineStr">
        <is>
          <t>US20160319102A1</t>
        </is>
      </c>
      <c r="B214" s="8" t="inlineStr">
        <is>
          <t>patent</t>
        </is>
      </c>
      <c r="C214" s="8" t="inlineStr">
        <is>
          <t>Valqua, Ltd. (Nippon Valqua Industries)</t>
        </is>
      </c>
      <c r="D214" s="8" t="inlineStr">
        <is>
          <t>Perfluoroelastomer composition, sealing material, and method for producing same</t>
        </is>
      </c>
      <c r="E214" s="8" t="inlineStr">
        <is>
          <t>https://patents.google.com/patent/US20160319102A1/en</t>
        </is>
      </c>
      <c r="F214" s="8" t="inlineStr">
        <is>
          <t>Example 3</t>
        </is>
      </c>
      <c r="G214" s="8" t="inlineStr">
        <is>
          <t>FFKM</t>
        </is>
      </c>
      <c r="H214" s="8" t="inlineStr">
        <is>
          <t>3M Dyneon PFE-131TZ (TFE/PAVE/CN-PAVE) 55.6 + elastomer part of 3M Dyneon PFE-133TBZ (CN-type FFKM + fluororesin) 44.4</t>
        </is>
      </c>
      <c r="I214" s="8" t="inlineStr">
        <is>
          <t>nitrile_bisaminophenol</t>
        </is>
      </c>
      <c r="J214" s="8" t="n">
        <v>100</v>
      </c>
      <c r="K214" s="8" t="n">
        <v>0</v>
      </c>
      <c r="L214" s="8" t="n">
        <v>0</v>
      </c>
      <c r="M214" s="8" t="n">
        <v>0</v>
      </c>
      <c r="N214" s="8" t="n">
        <v>0</v>
      </c>
      <c r="O214" s="8" t="n">
        <v>0</v>
      </c>
      <c r="P214" s="8" t="n">
        <v>11.1</v>
      </c>
      <c r="Q214" s="8" t="n">
        <v>0</v>
      </c>
      <c r="R214" s="8" t="n">
        <v>0</v>
      </c>
      <c r="S214" s="8" t="n">
        <v>0</v>
      </c>
      <c r="T214" s="8" t="n">
        <v>0</v>
      </c>
      <c r="U214" s="8" t="n">
        <v>1.67</v>
      </c>
      <c r="V214" s="8" t="n">
        <v>0</v>
      </c>
      <c r="W214" s="8" t="n">
        <v>0</v>
      </c>
      <c r="X214" s="8" t="n">
        <v>0</v>
      </c>
      <c r="Y214" s="8" t="inlineStr">
        <is>
          <t>fluororesin contained in PFE-133TBZ 11.1; BOAP 1.67</t>
        </is>
      </c>
      <c r="Z214" s="8" t="n">
        <v>74</v>
      </c>
      <c r="AA214" s="8" t="n">
        <v>15.5</v>
      </c>
      <c r="AB214" s="8" t="n">
        <v>210</v>
      </c>
      <c r="AC214" s="8" t="n">
        <v>4.3</v>
      </c>
      <c r="AD214" s="8" t="n">
        <v>23</v>
      </c>
      <c r="AE214" s="8" t="inlineStr">
        <is>
          <t>260C x 72h, 25% compression, O-ring 3.53 mm cross-section (JIS K6262)</t>
        </is>
      </c>
      <c r="AF214" s="8" t="n"/>
      <c r="AG214" s="8" t="n"/>
      <c r="AH214" s="8" t="inlineStr">
        <is>
          <t>parts by weight; MPa; Shore A (type A durometer, sheet)</t>
        </is>
      </c>
      <c r="AI214" s="8" t="inlineStr">
        <is>
          <t>press 180C x 25 min; post-cure 280C x 6 h. Elastomer column = elastomer content of FFKM1 + FFKM2 (sum 100); fluororesin of PFE-133TBZ reported separately as 'Fluororesin 1'.</t>
        </is>
      </c>
    </row>
    <row r="215">
      <c r="A215" s="8" t="inlineStr">
        <is>
          <t>US20160319102A1</t>
        </is>
      </c>
      <c r="B215" s="8" t="inlineStr">
        <is>
          <t>patent</t>
        </is>
      </c>
      <c r="C215" s="8" t="inlineStr">
        <is>
          <t>Valqua, Ltd. (Nippon Valqua Industries)</t>
        </is>
      </c>
      <c r="D215" s="8" t="inlineStr">
        <is>
          <t>Perfluoroelastomer composition, sealing material, and method for producing same</t>
        </is>
      </c>
      <c r="E215" s="8" t="inlineStr">
        <is>
          <t>https://patents.google.com/patent/US20160319102A1/en</t>
        </is>
      </c>
      <c r="F215" s="8" t="inlineStr">
        <is>
          <t>Example 4</t>
        </is>
      </c>
      <c r="G215" s="8" t="inlineStr">
        <is>
          <t>FFKM</t>
        </is>
      </c>
      <c r="H215" s="8" t="inlineStr">
        <is>
          <t>3M Dyneon PFE-131TZ (TFE/PAVE/CN-PAVE) 20.4 + elastomer part of 3M Dyneon PFE-133TBZ (CN-type FFKM + fluororesin) 79.6</t>
        </is>
      </c>
      <c r="I215" s="8" t="inlineStr">
        <is>
          <t>nitrile_bisaminophenol</t>
        </is>
      </c>
      <c r="J215" s="8" t="n">
        <v>100</v>
      </c>
      <c r="K215" s="8" t="n">
        <v>0</v>
      </c>
      <c r="L215" s="8" t="n">
        <v>0</v>
      </c>
      <c r="M215" s="8" t="n">
        <v>0</v>
      </c>
      <c r="N215" s="8" t="n">
        <v>0</v>
      </c>
      <c r="O215" s="8" t="n">
        <v>0</v>
      </c>
      <c r="P215" s="8" t="n">
        <v>19.9</v>
      </c>
      <c r="Q215" s="8" t="n">
        <v>0</v>
      </c>
      <c r="R215" s="8" t="n">
        <v>0</v>
      </c>
      <c r="S215" s="8" t="n">
        <v>0</v>
      </c>
      <c r="T215" s="8" t="n">
        <v>0</v>
      </c>
      <c r="U215" s="8" t="n">
        <v>1.8</v>
      </c>
      <c r="V215" s="8" t="n">
        <v>0</v>
      </c>
      <c r="W215" s="8" t="n">
        <v>0</v>
      </c>
      <c r="X215" s="8" t="n">
        <v>0</v>
      </c>
      <c r="Y215" s="8" t="inlineStr">
        <is>
          <t>fluororesin contained in PFE-133TBZ 19.9; BOAP 1.8</t>
        </is>
      </c>
      <c r="Z215" s="8" t="n">
        <v>80</v>
      </c>
      <c r="AA215" s="8" t="n">
        <v>16.5</v>
      </c>
      <c r="AB215" s="8" t="n">
        <v>225</v>
      </c>
      <c r="AC215" s="8" t="n">
        <v>5.7</v>
      </c>
      <c r="AD215" s="8" t="n">
        <v>26</v>
      </c>
      <c r="AE215" s="8" t="inlineStr">
        <is>
          <t>260C x 72h, 25% compression, O-ring 3.53 mm cross-section (JIS K6262)</t>
        </is>
      </c>
      <c r="AF215" s="8" t="n"/>
      <c r="AG215" s="8" t="n"/>
      <c r="AH215" s="8" t="inlineStr">
        <is>
          <t>parts by weight; MPa; Shore A (type A durometer, sheet)</t>
        </is>
      </c>
      <c r="AI215" s="8" t="inlineStr">
        <is>
          <t>press 180C x 25 min; post-cure 280C x 6 h. Elastomer column = elastomer content of FFKM1 + FFKM2 (sum 100); fluororesin of PFE-133TBZ reported separately as 'Fluororesin 1'.</t>
        </is>
      </c>
    </row>
    <row r="216">
      <c r="A216" s="8" t="inlineStr">
        <is>
          <t>US20160319102A1</t>
        </is>
      </c>
      <c r="B216" s="8" t="inlineStr">
        <is>
          <t>patent</t>
        </is>
      </c>
      <c r="C216" s="8" t="inlineStr">
        <is>
          <t>Valqua, Ltd. (Nippon Valqua Industries)</t>
        </is>
      </c>
      <c r="D216" s="8" t="inlineStr">
        <is>
          <t>Perfluoroelastomer composition, sealing material, and method for producing same</t>
        </is>
      </c>
      <c r="E216" s="8" t="inlineStr">
        <is>
          <t>https://patents.google.com/patent/US20160319102A1/en</t>
        </is>
      </c>
      <c r="F216" s="8" t="inlineStr">
        <is>
          <t>Example 5</t>
        </is>
      </c>
      <c r="G216" s="8" t="inlineStr">
        <is>
          <t>FFKM</t>
        </is>
      </c>
      <c r="H216" s="8" t="inlineStr">
        <is>
          <t>3M Dyneon PFE-131TZ (TFE/PAVE/CN-PAVE)</t>
        </is>
      </c>
      <c r="I216" s="8" t="inlineStr">
        <is>
          <t>nitrile_bisaminophenol</t>
        </is>
      </c>
      <c r="J216" s="8" t="n">
        <v>100</v>
      </c>
      <c r="K216" s="8" t="n">
        <v>0</v>
      </c>
      <c r="L216" s="8" t="n">
        <v>0</v>
      </c>
      <c r="M216" s="8" t="n">
        <v>0</v>
      </c>
      <c r="N216" s="8" t="n">
        <v>0</v>
      </c>
      <c r="O216" s="8" t="n">
        <v>0</v>
      </c>
      <c r="P216" s="8" t="n">
        <v>3</v>
      </c>
      <c r="Q216" s="8" t="n">
        <v>0</v>
      </c>
      <c r="R216" s="8" t="n">
        <v>0</v>
      </c>
      <c r="S216" s="8" t="n">
        <v>0</v>
      </c>
      <c r="T216" s="8" t="n">
        <v>0</v>
      </c>
      <c r="U216" s="8" t="n">
        <v>1.5</v>
      </c>
      <c r="V216" s="8" t="n">
        <v>0</v>
      </c>
      <c r="W216" s="8" t="n">
        <v>0</v>
      </c>
      <c r="X216" s="8" t="n">
        <v>0</v>
      </c>
      <c r="Y216" s="8" t="inlineStr">
        <is>
          <t>PTFE micropowder Dyneon TF9207Z 3.0; BOAP 1.5</t>
        </is>
      </c>
      <c r="Z216" s="8" t="n">
        <v>68</v>
      </c>
      <c r="AA216" s="8" t="n">
        <v>12.2</v>
      </c>
      <c r="AB216" s="8" t="n">
        <v>220</v>
      </c>
      <c r="AC216" s="8" t="n">
        <v>2.1</v>
      </c>
      <c r="AD216" s="8" t="n">
        <v>18</v>
      </c>
      <c r="AE216" s="8" t="inlineStr">
        <is>
          <t>260C x 72h, 25% compression, O-ring 3.53 mm cross-section (JIS K6262)</t>
        </is>
      </c>
      <c r="AF216" s="8" t="n"/>
      <c r="AG216" s="8" t="n"/>
      <c r="AH216" s="8" t="inlineStr">
        <is>
          <t>parts by weight; MPa; Shore A (type A durometer, sheet)</t>
        </is>
      </c>
      <c r="AI216" s="8" t="inlineStr">
        <is>
          <t>press 180C x 25 min; post-cure 280C x 6 h. Elastomer column = elastomer content of FFKM1 + FFKM2 (sum 100); fluororesin of PFE-133TBZ reported separately as 'Fluororesin 1'.</t>
        </is>
      </c>
    </row>
    <row r="217">
      <c r="A217" s="8" t="inlineStr">
        <is>
          <t>US20160319102A1</t>
        </is>
      </c>
      <c r="B217" s="8" t="inlineStr">
        <is>
          <t>patent</t>
        </is>
      </c>
      <c r="C217" s="8" t="inlineStr">
        <is>
          <t>Valqua, Ltd. (Nippon Valqua Industries)</t>
        </is>
      </c>
      <c r="D217" s="8" t="inlineStr">
        <is>
          <t>Perfluoroelastomer composition, sealing material, and method for producing same</t>
        </is>
      </c>
      <c r="E217" s="8" t="inlineStr">
        <is>
          <t>https://patents.google.com/patent/US20160319102A1/en</t>
        </is>
      </c>
      <c r="F217" s="8" t="inlineStr">
        <is>
          <t>Example 6</t>
        </is>
      </c>
      <c r="G217" s="8" t="inlineStr">
        <is>
          <t>FFKM</t>
        </is>
      </c>
      <c r="H217" s="8" t="inlineStr">
        <is>
          <t>3M Dyneon PFE-131TZ (TFE/PAVE/CN-PAVE)</t>
        </is>
      </c>
      <c r="I217" s="8" t="inlineStr">
        <is>
          <t>nitrile_bisaminophenol</t>
        </is>
      </c>
      <c r="J217" s="8" t="n">
        <v>100</v>
      </c>
      <c r="K217" s="8" t="n">
        <v>0</v>
      </c>
      <c r="L217" s="8" t="n">
        <v>0</v>
      </c>
      <c r="M217" s="8" t="n">
        <v>0</v>
      </c>
      <c r="N217" s="8" t="n">
        <v>0</v>
      </c>
      <c r="O217" s="8" t="n">
        <v>0</v>
      </c>
      <c r="P217" s="8" t="n">
        <v>20</v>
      </c>
      <c r="Q217" s="8" t="n">
        <v>0</v>
      </c>
      <c r="R217" s="8" t="n">
        <v>0</v>
      </c>
      <c r="S217" s="8" t="n">
        <v>0</v>
      </c>
      <c r="T217" s="8" t="n">
        <v>0</v>
      </c>
      <c r="U217" s="8" t="n">
        <v>1.5</v>
      </c>
      <c r="V217" s="8" t="n">
        <v>0</v>
      </c>
      <c r="W217" s="8" t="n">
        <v>0</v>
      </c>
      <c r="X217" s="8" t="n">
        <v>0</v>
      </c>
      <c r="Y217" s="8" t="inlineStr">
        <is>
          <t>PTFE micropowder Dyneon TF9207Z 20.0; BOAP 1.5</t>
        </is>
      </c>
      <c r="Z217" s="8" t="n">
        <v>81</v>
      </c>
      <c r="AA217" s="8" t="n">
        <v>13.4</v>
      </c>
      <c r="AB217" s="8" t="n">
        <v>160</v>
      </c>
      <c r="AC217" s="8" t="n">
        <v>5.1</v>
      </c>
      <c r="AD217" s="8" t="n">
        <v>29</v>
      </c>
      <c r="AE217" s="8" t="inlineStr">
        <is>
          <t>260C x 72h, 25% compression, O-ring 3.53 mm cross-section (JIS K6262)</t>
        </is>
      </c>
      <c r="AF217" s="8" t="n"/>
      <c r="AG217" s="8" t="n"/>
      <c r="AH217" s="8" t="inlineStr">
        <is>
          <t>parts by weight; MPa; Shore A (type A durometer, sheet)</t>
        </is>
      </c>
      <c r="AI217" s="8" t="inlineStr">
        <is>
          <t>press 180C x 25 min; post-cure 280C x 6 h. Elastomer column = elastomer content of FFKM1 + FFKM2 (sum 100); fluororesin of PFE-133TBZ reported separately as 'Fluororesin 1'.</t>
        </is>
      </c>
    </row>
    <row r="218">
      <c r="A218" s="8" t="inlineStr">
        <is>
          <t>US20160319102A1</t>
        </is>
      </c>
      <c r="B218" s="8" t="inlineStr">
        <is>
          <t>patent</t>
        </is>
      </c>
      <c r="C218" s="8" t="inlineStr">
        <is>
          <t>Valqua, Ltd. (Nippon Valqua Industries)</t>
        </is>
      </c>
      <c r="D218" s="8" t="inlineStr">
        <is>
          <t>Perfluoroelastomer composition, sealing material, and method for producing same</t>
        </is>
      </c>
      <c r="E218" s="8" t="inlineStr">
        <is>
          <t>https://patents.google.com/patent/US20160319102A1/en</t>
        </is>
      </c>
      <c r="F218" s="8" t="inlineStr">
        <is>
          <t>Comparative Example 1</t>
        </is>
      </c>
      <c r="G218" s="8" t="inlineStr">
        <is>
          <t>FFKM</t>
        </is>
      </c>
      <c r="H218" s="8" t="inlineStr">
        <is>
          <t>3M Dyneon PFE-131TZ (TFE/PAVE/CN-PAVE)</t>
        </is>
      </c>
      <c r="I218" s="8" t="inlineStr">
        <is>
          <t>nitrile_bisaminophenol</t>
        </is>
      </c>
      <c r="J218" s="8" t="n">
        <v>100</v>
      </c>
      <c r="K218" s="8" t="n">
        <v>0</v>
      </c>
      <c r="L218" s="8" t="n">
        <v>0</v>
      </c>
      <c r="M218" s="8" t="n">
        <v>0</v>
      </c>
      <c r="N218" s="8" t="n">
        <v>0</v>
      </c>
      <c r="O218" s="8" t="n">
        <v>0</v>
      </c>
      <c r="P218" s="8" t="n">
        <v>0</v>
      </c>
      <c r="Q218" s="8" t="n">
        <v>0</v>
      </c>
      <c r="R218" s="8" t="n">
        <v>0</v>
      </c>
      <c r="S218" s="8" t="n">
        <v>0</v>
      </c>
      <c r="T218" s="8" t="n">
        <v>0</v>
      </c>
      <c r="U218" s="8" t="n">
        <v>1.5</v>
      </c>
      <c r="V218" s="8" t="n">
        <v>0</v>
      </c>
      <c r="W218" s="8" t="n">
        <v>0</v>
      </c>
      <c r="X218" s="8" t="n">
        <v>0</v>
      </c>
      <c r="Y218" s="8" t="inlineStr">
        <is>
          <t>BOAP 1.5</t>
        </is>
      </c>
      <c r="Z218" s="8" t="n">
        <v>64</v>
      </c>
      <c r="AA218" s="8" t="n">
        <v>11.5</v>
      </c>
      <c r="AB218" s="8" t="n">
        <v>210</v>
      </c>
      <c r="AC218" s="8" t="n">
        <v>1.5</v>
      </c>
      <c r="AD218" s="8" t="n">
        <v>11</v>
      </c>
      <c r="AE218" s="8" t="inlineStr">
        <is>
          <t>260C x 72h, 25% compression, O-ring 3.53 mm cross-section (JIS K6262)</t>
        </is>
      </c>
      <c r="AF218" s="8" t="n"/>
      <c r="AG218" s="8" t="n"/>
      <c r="AH218" s="8" t="inlineStr">
        <is>
          <t>parts by weight; MPa; Shore A (type A durometer, sheet)</t>
        </is>
      </c>
      <c r="AI218" s="8" t="inlineStr">
        <is>
          <t>press 180C x 25 min; post-cure 280C x 6 h. Elastomer column = elastomer content of FFKM1 + FFKM2 (sum 100); fluororesin of PFE-133TBZ reported separately as 'Fluororesin 1'.</t>
        </is>
      </c>
    </row>
    <row r="219">
      <c r="A219" s="8" t="inlineStr">
        <is>
          <t>US20160319102A1</t>
        </is>
      </c>
      <c r="B219" s="8" t="inlineStr">
        <is>
          <t>patent</t>
        </is>
      </c>
      <c r="C219" s="8" t="inlineStr">
        <is>
          <t>Valqua, Ltd. (Nippon Valqua Industries)</t>
        </is>
      </c>
      <c r="D219" s="8" t="inlineStr">
        <is>
          <t>Perfluoroelastomer composition, sealing material, and method for producing same</t>
        </is>
      </c>
      <c r="E219" s="8" t="inlineStr">
        <is>
          <t>https://patents.google.com/patent/US20160319102A1/en</t>
        </is>
      </c>
      <c r="F219" s="8" t="inlineStr">
        <is>
          <t>Comparative Example 2</t>
        </is>
      </c>
      <c r="G219" s="8" t="inlineStr">
        <is>
          <t>FFKM</t>
        </is>
      </c>
      <c r="H219" s="8" t="inlineStr">
        <is>
          <t>elastomer part of 3M Dyneon PFE-133TBZ (CN-type FFKM + fluororesin)</t>
        </is>
      </c>
      <c r="I219" s="8" t="inlineStr">
        <is>
          <t>nitrile_bisaminophenol</t>
        </is>
      </c>
      <c r="J219" s="8" t="n">
        <v>100</v>
      </c>
      <c r="K219" s="8" t="n">
        <v>0</v>
      </c>
      <c r="L219" s="8" t="n">
        <v>0</v>
      </c>
      <c r="M219" s="8" t="n">
        <v>0</v>
      </c>
      <c r="N219" s="8" t="n">
        <v>0</v>
      </c>
      <c r="O219" s="8" t="n">
        <v>0</v>
      </c>
      <c r="P219" s="8" t="n">
        <v>25</v>
      </c>
      <c r="Q219" s="8" t="n">
        <v>0</v>
      </c>
      <c r="R219" s="8" t="n">
        <v>0</v>
      </c>
      <c r="S219" s="8" t="n">
        <v>0</v>
      </c>
      <c r="T219" s="8" t="n">
        <v>0</v>
      </c>
      <c r="U219" s="8" t="n">
        <v>1.89</v>
      </c>
      <c r="V219" s="8" t="n">
        <v>0</v>
      </c>
      <c r="W219" s="8" t="n">
        <v>0</v>
      </c>
      <c r="X219" s="8" t="n">
        <v>0</v>
      </c>
      <c r="Y219" s="8" t="inlineStr">
        <is>
          <t>fluororesin contained in PFE-133TBZ 25.0; BOAP 1.89</t>
        </is>
      </c>
      <c r="Z219" s="8" t="n">
        <v>85</v>
      </c>
      <c r="AA219" s="8" t="n">
        <v>20</v>
      </c>
      <c r="AB219" s="8" t="n">
        <v>215</v>
      </c>
      <c r="AC219" s="8" t="n">
        <v>7.9</v>
      </c>
      <c r="AD219" s="8" t="n">
        <v>36</v>
      </c>
      <c r="AE219" s="8" t="inlineStr">
        <is>
          <t>260C x 72h, 25% compression, O-ring 3.53 mm cross-section (JIS K6262)</t>
        </is>
      </c>
      <c r="AF219" s="8" t="n"/>
      <c r="AG219" s="8" t="n"/>
      <c r="AH219" s="8" t="inlineStr">
        <is>
          <t>parts by weight; MPa; Shore A (type A durometer, sheet)</t>
        </is>
      </c>
      <c r="AI219" s="8" t="inlineStr">
        <is>
          <t>press 180C x 25 min; post-cure 280C x 6 h. Elastomer column = elastomer content of FFKM1 + FFKM2 (sum 100); fluororesin of PFE-133TBZ reported separately as 'Fluororesin 1'.</t>
        </is>
      </c>
    </row>
    <row r="220">
      <c r="A220" s="8" t="inlineStr">
        <is>
          <t>US20160319102A1</t>
        </is>
      </c>
      <c r="B220" s="8" t="inlineStr">
        <is>
          <t>patent</t>
        </is>
      </c>
      <c r="C220" s="8" t="inlineStr">
        <is>
          <t>Valqua, Ltd. (Nippon Valqua Industries)</t>
        </is>
      </c>
      <c r="D220" s="8" t="inlineStr">
        <is>
          <t>Perfluoroelastomer composition, sealing material, and method for producing same</t>
        </is>
      </c>
      <c r="E220" s="8" t="inlineStr">
        <is>
          <t>https://patents.google.com/patent/US20160319102A1/en</t>
        </is>
      </c>
      <c r="F220" s="8" t="inlineStr">
        <is>
          <t>Comparative Example 3</t>
        </is>
      </c>
      <c r="G220" s="8" t="inlineStr">
        <is>
          <t>FFKM</t>
        </is>
      </c>
      <c r="H220" s="8" t="inlineStr">
        <is>
          <t>3M Dyneon PFE-131TZ (TFE/PAVE/CN-PAVE) 74.5 + elastomer part of 3M Dyneon PFE-133TBZ (CN-type FFKM + fluororesin) 25.5</t>
        </is>
      </c>
      <c r="I220" s="8" t="inlineStr">
        <is>
          <t>nitrile_triazine</t>
        </is>
      </c>
      <c r="J220" s="8" t="n">
        <v>100</v>
      </c>
      <c r="K220" s="8" t="n">
        <v>0</v>
      </c>
      <c r="L220" s="8" t="n">
        <v>0</v>
      </c>
      <c r="M220" s="8" t="n">
        <v>0</v>
      </c>
      <c r="N220" s="8" t="n">
        <v>0</v>
      </c>
      <c r="O220" s="8" t="n">
        <v>0</v>
      </c>
      <c r="P220" s="8" t="n">
        <v>6.4</v>
      </c>
      <c r="Q220" s="8" t="n">
        <v>0</v>
      </c>
      <c r="R220" s="8" t="n">
        <v>0</v>
      </c>
      <c r="S220" s="8" t="n">
        <v>0</v>
      </c>
      <c r="T220" s="8" t="n">
        <v>0</v>
      </c>
      <c r="U220" s="8" t="n">
        <v>1.38</v>
      </c>
      <c r="V220" s="8" t="n">
        <v>0</v>
      </c>
      <c r="W220" s="8" t="n">
        <v>0</v>
      </c>
      <c r="X220" s="8" t="n">
        <v>0</v>
      </c>
      <c r="Y220" s="8" t="inlineStr">
        <is>
          <t>fluororesin contained in PFE-133TBZ 6.4; triazine catalyst Dyneon PFE300C 1.38</t>
        </is>
      </c>
      <c r="Z220" s="8" t="n">
        <v>61</v>
      </c>
      <c r="AA220" s="8" t="n">
        <v>15.9</v>
      </c>
      <c r="AB220" s="8" t="n">
        <v>260</v>
      </c>
      <c r="AC220" s="8" t="n">
        <v>2</v>
      </c>
      <c r="AD220" s="8" t="n">
        <v>21</v>
      </c>
      <c r="AE220" s="8" t="inlineStr">
        <is>
          <t>260C x 72h, 25% compression, O-ring 3.53 mm cross-section (JIS K6262)</t>
        </is>
      </c>
      <c r="AF220" s="8" t="n"/>
      <c r="AG220" s="8" t="n"/>
      <c r="AH220" s="8" t="inlineStr">
        <is>
          <t>parts by weight; MPa; Shore A (type A durometer, sheet)</t>
        </is>
      </c>
      <c r="AI220" s="8" t="inlineStr">
        <is>
          <t>press 170C x 20 min; post-cure 300C x 5 h. Elastomer column = elastomer content of FFKM1 + FFKM2 (sum 100); fluororesin of PFE-133TBZ reported separately as 'Fluororesin 1'.</t>
        </is>
      </c>
    </row>
    <row r="221">
      <c r="A221" s="8" t="inlineStr">
        <is>
          <t>US20160319102A1</t>
        </is>
      </c>
      <c r="B221" s="8" t="inlineStr">
        <is>
          <t>patent</t>
        </is>
      </c>
      <c r="C221" s="8" t="inlineStr">
        <is>
          <t>Valqua, Ltd. (Nippon Valqua Industries)</t>
        </is>
      </c>
      <c r="D221" s="8" t="inlineStr">
        <is>
          <t>Perfluoroelastomer composition, sealing material, and method for producing same</t>
        </is>
      </c>
      <c r="E221" s="8" t="inlineStr">
        <is>
          <t>https://patents.google.com/patent/US20160319102A1/en</t>
        </is>
      </c>
      <c r="F221" s="8" t="inlineStr">
        <is>
          <t>Comparative Example 4</t>
        </is>
      </c>
      <c r="G221" s="8" t="inlineStr">
        <is>
          <t>FFKM</t>
        </is>
      </c>
      <c r="H221" s="8" t="inlineStr">
        <is>
          <t>3M Dyneon PFE-131TZ (TFE/PAVE/CN-PAVE) 55.6 + elastomer part of 3M Dyneon PFE-133TBZ (CN-type FFKM + fluororesin) 44.4</t>
        </is>
      </c>
      <c r="I221" s="8" t="inlineStr">
        <is>
          <t>nitrile_triazine</t>
        </is>
      </c>
      <c r="J221" s="8" t="n">
        <v>100</v>
      </c>
      <c r="K221" s="8" t="n">
        <v>0</v>
      </c>
      <c r="L221" s="8" t="n">
        <v>0</v>
      </c>
      <c r="M221" s="8" t="n">
        <v>0</v>
      </c>
      <c r="N221" s="8" t="n">
        <v>0</v>
      </c>
      <c r="O221" s="8" t="n">
        <v>0</v>
      </c>
      <c r="P221" s="8" t="n">
        <v>11.1</v>
      </c>
      <c r="Q221" s="8" t="n">
        <v>0</v>
      </c>
      <c r="R221" s="8" t="n">
        <v>0</v>
      </c>
      <c r="S221" s="8" t="n">
        <v>0</v>
      </c>
      <c r="T221" s="8" t="n">
        <v>0</v>
      </c>
      <c r="U221" s="8" t="n">
        <v>1.44</v>
      </c>
      <c r="V221" s="8" t="n">
        <v>0</v>
      </c>
      <c r="W221" s="8" t="n">
        <v>0</v>
      </c>
      <c r="X221" s="8" t="n">
        <v>0</v>
      </c>
      <c r="Y221" s="8" t="inlineStr">
        <is>
          <t>fluororesin contained in PFE-133TBZ 11.1; triazine catalyst Dyneon PFE300C 1.44</t>
        </is>
      </c>
      <c r="Z221" s="8" t="n">
        <v>64</v>
      </c>
      <c r="AA221" s="8" t="n">
        <v>17.5</v>
      </c>
      <c r="AB221" s="8" t="n">
        <v>280</v>
      </c>
      <c r="AC221" s="8" t="n">
        <v>2.5</v>
      </c>
      <c r="AD221" s="8" t="n">
        <v>23</v>
      </c>
      <c r="AE221" s="8" t="inlineStr">
        <is>
          <t>260C x 72h, 25% compression, O-ring 3.53 mm cross-section (JIS K6262)</t>
        </is>
      </c>
      <c r="AF221" s="8" t="n"/>
      <c r="AG221" s="8" t="n"/>
      <c r="AH221" s="8" t="inlineStr">
        <is>
          <t>parts by weight; MPa; Shore A (type A durometer, sheet)</t>
        </is>
      </c>
      <c r="AI221" s="8" t="inlineStr">
        <is>
          <t>press 170C x 20 min; post-cure 300C x 5 h. Elastomer column = elastomer content of FFKM1 + FFKM2 (sum 100); fluororesin of PFE-133TBZ reported separately as 'Fluororesin 1'.</t>
        </is>
      </c>
    </row>
    <row r="222">
      <c r="A222" s="8" t="inlineStr">
        <is>
          <t>US20160319102A1</t>
        </is>
      </c>
      <c r="B222" s="8" t="inlineStr">
        <is>
          <t>patent</t>
        </is>
      </c>
      <c r="C222" s="8" t="inlineStr">
        <is>
          <t>Valqua, Ltd. (Nippon Valqua Industries)</t>
        </is>
      </c>
      <c r="D222" s="8" t="inlineStr">
        <is>
          <t>Perfluoroelastomer composition, sealing material, and method for producing same</t>
        </is>
      </c>
      <c r="E222" s="8" t="inlineStr">
        <is>
          <t>https://patents.google.com/patent/US20160319102A1/en</t>
        </is>
      </c>
      <c r="F222" s="8" t="inlineStr">
        <is>
          <t>Comparative Example 5</t>
        </is>
      </c>
      <c r="G222" s="8" t="inlineStr">
        <is>
          <t>FFKM</t>
        </is>
      </c>
      <c r="H222" s="8" t="inlineStr">
        <is>
          <t>3M Dyneon PFE-131TZ (TFE/PAVE/CN-PAVE) 20.4 + elastomer part of 3M Dyneon PFE-133TBZ (CN-type FFKM + fluororesin) 79.6</t>
        </is>
      </c>
      <c r="I222" s="8" t="inlineStr">
        <is>
          <t>nitrile_triazine</t>
        </is>
      </c>
      <c r="J222" s="8" t="n">
        <v>100</v>
      </c>
      <c r="K222" s="8" t="n">
        <v>0</v>
      </c>
      <c r="L222" s="8" t="n">
        <v>0</v>
      </c>
      <c r="M222" s="8" t="n">
        <v>0</v>
      </c>
      <c r="N222" s="8" t="n">
        <v>0</v>
      </c>
      <c r="O222" s="8" t="n">
        <v>0</v>
      </c>
      <c r="P222" s="8" t="n">
        <v>19.9</v>
      </c>
      <c r="Q222" s="8" t="n">
        <v>0</v>
      </c>
      <c r="R222" s="8" t="n">
        <v>0</v>
      </c>
      <c r="S222" s="8" t="n">
        <v>0</v>
      </c>
      <c r="T222" s="8" t="n">
        <v>0</v>
      </c>
      <c r="U222" s="8" t="n">
        <v>1.56</v>
      </c>
      <c r="V222" s="8" t="n">
        <v>0</v>
      </c>
      <c r="W222" s="8" t="n">
        <v>0</v>
      </c>
      <c r="X222" s="8" t="n">
        <v>0</v>
      </c>
      <c r="Y222" s="8" t="inlineStr">
        <is>
          <t>fluororesin contained in PFE-133TBZ 19.9; triazine catalyst Dyneon PFE300C 1.56</t>
        </is>
      </c>
      <c r="Z222" s="8" t="n">
        <v>68</v>
      </c>
      <c r="AA222" s="8" t="n">
        <v>18</v>
      </c>
      <c r="AB222" s="8" t="n">
        <v>270</v>
      </c>
      <c r="AC222" s="8" t="n">
        <v>2.8</v>
      </c>
      <c r="AD222" s="8" t="n">
        <v>27</v>
      </c>
      <c r="AE222" s="8" t="inlineStr">
        <is>
          <t>260C x 72h, 25% compression, O-ring 3.53 mm cross-section (JIS K6262)</t>
        </is>
      </c>
      <c r="AF222" s="8" t="n"/>
      <c r="AG222" s="8" t="n"/>
      <c r="AH222" s="8" t="inlineStr">
        <is>
          <t>parts by weight; MPa; Shore A (type A durometer, sheet)</t>
        </is>
      </c>
      <c r="AI222" s="8" t="inlineStr">
        <is>
          <t>press 170C x 20 min; post-cure 300C x 5 h. Elastomer column = elastomer content of FFKM1 + FFKM2 (sum 100); fluororesin of PFE-133TBZ reported separately as 'Fluororesin 1'.</t>
        </is>
      </c>
    </row>
    <row r="223">
      <c r="A223" s="8" t="inlineStr">
        <is>
          <t>US20160319102A1</t>
        </is>
      </c>
      <c r="B223" s="8" t="inlineStr">
        <is>
          <t>patent</t>
        </is>
      </c>
      <c r="C223" s="8" t="inlineStr">
        <is>
          <t>Valqua, Ltd. (Nippon Valqua Industries)</t>
        </is>
      </c>
      <c r="D223" s="8" t="inlineStr">
        <is>
          <t>Perfluoroelastomer composition, sealing material, and method for producing same</t>
        </is>
      </c>
      <c r="E223" s="8" t="inlineStr">
        <is>
          <t>https://patents.google.com/patent/US20160319102A1/en</t>
        </is>
      </c>
      <c r="F223" s="8" t="inlineStr">
        <is>
          <t>Comparative Example 7</t>
        </is>
      </c>
      <c r="G223" s="8" t="inlineStr">
        <is>
          <t>FFKM</t>
        </is>
      </c>
      <c r="H223" s="8" t="inlineStr">
        <is>
          <t>3M Dyneon PFE-131TZ (TFE/PAVE/CN-PAVE)</t>
        </is>
      </c>
      <c r="I223" s="8" t="inlineStr">
        <is>
          <t>nitrile_triazine</t>
        </is>
      </c>
      <c r="J223" s="8" t="n">
        <v>100</v>
      </c>
      <c r="K223" s="8" t="n">
        <v>0</v>
      </c>
      <c r="L223" s="8" t="n">
        <v>0</v>
      </c>
      <c r="M223" s="8" t="n">
        <v>0</v>
      </c>
      <c r="N223" s="8" t="n">
        <v>0</v>
      </c>
      <c r="O223" s="8" t="n">
        <v>0</v>
      </c>
      <c r="P223" s="8" t="n">
        <v>3</v>
      </c>
      <c r="Q223" s="8" t="n">
        <v>0</v>
      </c>
      <c r="R223" s="8" t="n">
        <v>0</v>
      </c>
      <c r="S223" s="8" t="n">
        <v>0</v>
      </c>
      <c r="T223" s="8" t="n">
        <v>0</v>
      </c>
      <c r="U223" s="8" t="n">
        <v>1.3</v>
      </c>
      <c r="V223" s="8" t="n">
        <v>0</v>
      </c>
      <c r="W223" s="8" t="n">
        <v>0</v>
      </c>
      <c r="X223" s="8" t="n">
        <v>0</v>
      </c>
      <c r="Y223" s="8" t="inlineStr">
        <is>
          <t>PTFE micropowder Dyneon TF9207Z 3.0; triazine catalyst Dyneon PFE300C 1.3</t>
        </is>
      </c>
      <c r="Z223" s="8" t="n">
        <v>61</v>
      </c>
      <c r="AA223" s="8" t="n">
        <v>13.5</v>
      </c>
      <c r="AB223" s="8" t="n">
        <v>240</v>
      </c>
      <c r="AC223" s="8" t="n">
        <v>1.7</v>
      </c>
      <c r="AD223" s="8" t="n">
        <v>20</v>
      </c>
      <c r="AE223" s="8" t="inlineStr">
        <is>
          <t>260C x 72h, 25% compression, O-ring 3.53 mm cross-section (JIS K6262)</t>
        </is>
      </c>
      <c r="AF223" s="8" t="n"/>
      <c r="AG223" s="8" t="n"/>
      <c r="AH223" s="8" t="inlineStr">
        <is>
          <t>parts by weight; MPa; Shore A (type A durometer, sheet)</t>
        </is>
      </c>
      <c r="AI223" s="8" t="inlineStr">
        <is>
          <t>press 170C x 20 min; post-cure 300C x 5 h. Elastomer column = elastomer content of FFKM1 + FFKM2 (sum 100); fluororesin of PFE-133TBZ reported separately as 'Fluororesin 1'.</t>
        </is>
      </c>
    </row>
    <row r="224">
      <c r="A224" s="8" t="inlineStr">
        <is>
          <t>US20160319102A1</t>
        </is>
      </c>
      <c r="B224" s="8" t="inlineStr">
        <is>
          <t>patent</t>
        </is>
      </c>
      <c r="C224" s="8" t="inlineStr">
        <is>
          <t>Valqua, Ltd. (Nippon Valqua Industries)</t>
        </is>
      </c>
      <c r="D224" s="8" t="inlineStr">
        <is>
          <t>Perfluoroelastomer composition, sealing material, and method for producing same</t>
        </is>
      </c>
      <c r="E224" s="8" t="inlineStr">
        <is>
          <t>https://patents.google.com/patent/US20160319102A1/en</t>
        </is>
      </c>
      <c r="F224" s="8" t="inlineStr">
        <is>
          <t>Comparative Example 8</t>
        </is>
      </c>
      <c r="G224" s="8" t="inlineStr">
        <is>
          <t>FFKM</t>
        </is>
      </c>
      <c r="H224" s="8" t="inlineStr">
        <is>
          <t>3M Dyneon PFE-131TZ (TFE/PAVE/CN-PAVE)</t>
        </is>
      </c>
      <c r="I224" s="8" t="inlineStr">
        <is>
          <t>nitrile_triazine</t>
        </is>
      </c>
      <c r="J224" s="8" t="n">
        <v>100</v>
      </c>
      <c r="K224" s="8" t="n">
        <v>0</v>
      </c>
      <c r="L224" s="8" t="n">
        <v>0</v>
      </c>
      <c r="M224" s="8" t="n">
        <v>0</v>
      </c>
      <c r="N224" s="8" t="n">
        <v>0</v>
      </c>
      <c r="O224" s="8" t="n">
        <v>0</v>
      </c>
      <c r="P224" s="8" t="n">
        <v>20</v>
      </c>
      <c r="Q224" s="8" t="n">
        <v>0</v>
      </c>
      <c r="R224" s="8" t="n">
        <v>0</v>
      </c>
      <c r="S224" s="8" t="n">
        <v>0</v>
      </c>
      <c r="T224" s="8" t="n">
        <v>0</v>
      </c>
      <c r="U224" s="8" t="n">
        <v>1.3</v>
      </c>
      <c r="V224" s="8" t="n">
        <v>0</v>
      </c>
      <c r="W224" s="8" t="n">
        <v>0</v>
      </c>
      <c r="X224" s="8" t="n">
        <v>0</v>
      </c>
      <c r="Y224" s="8" t="inlineStr">
        <is>
          <t>PTFE micropowder Dyneon TF9207Z 20.0; triazine catalyst Dyneon PFE300C 1.3</t>
        </is>
      </c>
      <c r="Z224" s="8" t="n">
        <v>74</v>
      </c>
      <c r="AA224" s="8" t="n">
        <v>8.800000000000001</v>
      </c>
      <c r="AB224" s="8" t="n">
        <v>190</v>
      </c>
      <c r="AC224" s="8" t="n">
        <v>2.7</v>
      </c>
      <c r="AD224" s="8" t="n">
        <v>30</v>
      </c>
      <c r="AE224" s="8" t="inlineStr">
        <is>
          <t>260C x 72h, 25% compression, O-ring 3.53 mm cross-section (JIS K6262)</t>
        </is>
      </c>
      <c r="AF224" s="8" t="n"/>
      <c r="AG224" s="8" t="n"/>
      <c r="AH224" s="8" t="inlineStr">
        <is>
          <t>parts by weight; MPa; Shore A (type A durometer, sheet)</t>
        </is>
      </c>
      <c r="AI224" s="8" t="inlineStr">
        <is>
          <t>press 170C x 20 min; post-cure 300C x 5 h. Elastomer column = elastomer content of FFKM1 + FFKM2 (sum 100); fluororesin of PFE-133TBZ reported separately as 'Fluororesin 1'.</t>
        </is>
      </c>
    </row>
    <row r="225">
      <c r="A225" s="8" t="inlineStr">
        <is>
          <t>US20160319102A1</t>
        </is>
      </c>
      <c r="B225" s="8" t="inlineStr">
        <is>
          <t>patent</t>
        </is>
      </c>
      <c r="C225" s="8" t="inlineStr">
        <is>
          <t>Valqua, Ltd. (Nippon Valqua Industries)</t>
        </is>
      </c>
      <c r="D225" s="8" t="inlineStr">
        <is>
          <t>Perfluoroelastomer composition, sealing material, and method for producing same</t>
        </is>
      </c>
      <c r="E225" s="8" t="inlineStr">
        <is>
          <t>https://patents.google.com/patent/US20160319102A1/en</t>
        </is>
      </c>
      <c r="F225" s="8" t="inlineStr">
        <is>
          <t>Comparative Example 9</t>
        </is>
      </c>
      <c r="G225" s="8" t="inlineStr">
        <is>
          <t>FFKM</t>
        </is>
      </c>
      <c r="H225" s="8" t="inlineStr">
        <is>
          <t>3M Dyneon PFE-131TZ (TFE/PAVE/CN-PAVE)</t>
        </is>
      </c>
      <c r="I225" s="8" t="inlineStr">
        <is>
          <t>nitrile_bisaminophenol</t>
        </is>
      </c>
      <c r="J225" s="8" t="n">
        <v>100</v>
      </c>
      <c r="K225" s="8" t="n">
        <v>0</v>
      </c>
      <c r="L225" s="8" t="n">
        <v>0</v>
      </c>
      <c r="M225" s="8" t="n">
        <v>0</v>
      </c>
      <c r="N225" s="8" t="n">
        <v>0</v>
      </c>
      <c r="O225" s="8" t="n">
        <v>0</v>
      </c>
      <c r="P225" s="8" t="n">
        <v>25</v>
      </c>
      <c r="Q225" s="8" t="n">
        <v>0</v>
      </c>
      <c r="R225" s="8" t="n">
        <v>0</v>
      </c>
      <c r="S225" s="8" t="n">
        <v>0</v>
      </c>
      <c r="T225" s="8" t="n">
        <v>0</v>
      </c>
      <c r="U225" s="8" t="n">
        <v>1.5</v>
      </c>
      <c r="V225" s="8" t="n">
        <v>0</v>
      </c>
      <c r="W225" s="8" t="n">
        <v>0</v>
      </c>
      <c r="X225" s="8" t="n">
        <v>0</v>
      </c>
      <c r="Y225" s="8" t="inlineStr">
        <is>
          <t>PTFE micropowder Dyneon TF9207Z 25.0; BOAP 1.5</t>
        </is>
      </c>
      <c r="Z225" s="8" t="n">
        <v>86</v>
      </c>
      <c r="AA225" s="8" t="n">
        <v>13.9</v>
      </c>
      <c r="AB225" s="8" t="n">
        <v>130</v>
      </c>
      <c r="AC225" s="8" t="n">
        <v>6.9</v>
      </c>
      <c r="AD225" s="8" t="n">
        <v>33</v>
      </c>
      <c r="AE225" s="8" t="inlineStr">
        <is>
          <t>260C x 72h, 25% compression, O-ring 3.53 mm cross-section (JIS K6262)</t>
        </is>
      </c>
      <c r="AF225" s="8" t="n"/>
      <c r="AG225" s="8" t="n"/>
      <c r="AH225" s="8" t="inlineStr">
        <is>
          <t>parts by weight; MPa; Shore A (type A durometer, sheet)</t>
        </is>
      </c>
      <c r="AI225" s="8" t="inlineStr">
        <is>
          <t>press 180C x 25 min; post-cure 280C x 6 h. Elastomer column = elastomer content of FFKM1 + FFKM2 (sum 100); fluororesin of PFE-133TBZ reported separately as 'Fluororesin 1'.</t>
        </is>
      </c>
    </row>
    <row r="226">
      <c r="A226" s="8" t="inlineStr">
        <is>
          <t>US20160319102A1</t>
        </is>
      </c>
      <c r="B226" s="8" t="inlineStr">
        <is>
          <t>patent</t>
        </is>
      </c>
      <c r="C226" s="8" t="inlineStr">
        <is>
          <t>Valqua, Ltd. (Nippon Valqua Industries)</t>
        </is>
      </c>
      <c r="D226" s="8" t="inlineStr">
        <is>
          <t>Perfluoroelastomer composition, sealing material, and method for producing same</t>
        </is>
      </c>
      <c r="E226" s="8" t="inlineStr">
        <is>
          <t>https://patents.google.com/patent/US20160319102A1/en</t>
        </is>
      </c>
      <c r="F226" s="8" t="inlineStr">
        <is>
          <t>Comparative Example 6</t>
        </is>
      </c>
      <c r="G226" s="8" t="inlineStr">
        <is>
          <t>FFKM</t>
        </is>
      </c>
      <c r="H226" s="8" t="inlineStr">
        <is>
          <t>Tecnoflon PFR94 (Solvay Specialty Polymers)</t>
        </is>
      </c>
      <c r="I226" s="8" t="inlineStr">
        <is>
          <t>peroxide</t>
        </is>
      </c>
      <c r="J226" s="8" t="n">
        <v>100</v>
      </c>
      <c r="K226" s="8" t="n">
        <v>0</v>
      </c>
      <c r="L226" s="8" t="n">
        <v>0</v>
      </c>
      <c r="M226" s="8" t="n">
        <v>0</v>
      </c>
      <c r="N226" s="8" t="n">
        <v>0</v>
      </c>
      <c r="O226" s="8" t="n">
        <v>0</v>
      </c>
      <c r="P226" s="8" t="n">
        <v>11</v>
      </c>
      <c r="Q226" s="8" t="n">
        <v>0</v>
      </c>
      <c r="R226" s="8" t="n">
        <v>0</v>
      </c>
      <c r="S226" s="8" t="n">
        <v>3</v>
      </c>
      <c r="T226" s="8" t="n">
        <v>1</v>
      </c>
      <c r="U226" s="8" t="n">
        <v>0</v>
      </c>
      <c r="V226" s="8" t="n">
        <v>0</v>
      </c>
      <c r="W226" s="8" t="n">
        <v>0</v>
      </c>
      <c r="X226" s="8" t="n">
        <v>0</v>
      </c>
      <c r="Y226" s="8" t="inlineStr">
        <is>
          <t>PTFE micropowder Dyneon TF9207Z 11.0; TAIC 3.00; Perhexa 25B 1.00</t>
        </is>
      </c>
      <c r="Z226" s="8" t="n">
        <v>64</v>
      </c>
      <c r="AA226" s="8" t="n">
        <v>11.3</v>
      </c>
      <c r="AB226" s="8" t="n">
        <v>160</v>
      </c>
      <c r="AC226" s="8" t="n">
        <v>2.5</v>
      </c>
      <c r="AD226" s="8" t="n">
        <v>95</v>
      </c>
      <c r="AE226" s="8" t="inlineStr">
        <is>
          <t>260C x 72h, 25% compression, O-ring 3.53 mm cross-section (JIS K6262)</t>
        </is>
      </c>
      <c r="AF226" s="8" t="n"/>
      <c r="AG226" s="8" t="n"/>
      <c r="AH226" s="8" t="inlineStr">
        <is>
          <t>parts by weight; MPa; Shore A (type A durometer, sheet)</t>
        </is>
      </c>
      <c r="AI226" s="8" t="inlineStr">
        <is>
          <t>press 170C x 20 min; post-cure 200C x 4 h.</t>
        </is>
      </c>
    </row>
    <row r="227">
      <c r="A227" s="8" t="inlineStr">
        <is>
          <t>US11118045B2</t>
        </is>
      </c>
      <c r="B227" s="8" t="inlineStr">
        <is>
          <t>patent</t>
        </is>
      </c>
      <c r="C227" s="8" t="inlineStr">
        <is>
          <t>Valqua, Ltd.</t>
        </is>
      </c>
      <c r="D227" s="8" t="inlineStr">
        <is>
          <t>Perfluoroelastomer composition and sealing material</t>
        </is>
      </c>
      <c r="E227" s="8" t="inlineStr">
        <is>
          <t>https://patents.google.com/patent/US11118045B2/en</t>
        </is>
      </c>
      <c r="F227" s="8" t="inlineStr">
        <is>
          <t>Example 1</t>
        </is>
      </c>
      <c r="G227" s="8" t="inlineStr">
        <is>
          <t>FFKM</t>
        </is>
      </c>
      <c r="H227" s="8" t="inlineStr">
        <is>
          <t>Tecnoflon PFR5910M (Solvay; TFE/PAVE/I-PAVE FFKM; elastomer part)</t>
        </is>
      </c>
      <c r="I227" s="8" t="inlineStr">
        <is>
          <t>peroxide</t>
        </is>
      </c>
      <c r="J227" s="8" t="n">
        <v>100</v>
      </c>
      <c r="K227" s="8" t="n">
        <v>0</v>
      </c>
      <c r="L227" s="8" t="n">
        <v>0</v>
      </c>
      <c r="M227" s="8" t="n">
        <v>0</v>
      </c>
      <c r="N227" s="8" t="n">
        <v>0</v>
      </c>
      <c r="O227" s="8" t="n">
        <v>0</v>
      </c>
      <c r="P227" s="8" t="n">
        <v>11</v>
      </c>
      <c r="Q227" s="8" t="n">
        <v>0</v>
      </c>
      <c r="R227" s="8" t="n">
        <v>0.1</v>
      </c>
      <c r="S227" s="8" t="n">
        <v>2</v>
      </c>
      <c r="T227" s="8" t="n">
        <v>1</v>
      </c>
      <c r="U227" s="8" t="n">
        <v>0</v>
      </c>
      <c r="V227" s="8" t="n">
        <v>0</v>
      </c>
      <c r="W227" s="8" t="n">
        <v>0</v>
      </c>
      <c r="X227" s="8" t="n">
        <v>0</v>
      </c>
      <c r="Y227" s="8" t="inlineStr">
        <is>
          <t>PTFE particles contained in PFR5910M 11; coagent of formula (3) contained in PFR5910M 2; Perhexa 25B 1; perylene pigment A (C.I. Pigment Red 149) 0.1</t>
        </is>
      </c>
      <c r="Z227" s="8" t="n"/>
      <c r="AA227" s="8" t="n"/>
      <c r="AB227" s="8" t="n"/>
      <c r="AC227" s="8" t="n"/>
      <c r="AD227" s="8" t="n">
        <v>20</v>
      </c>
      <c r="AE227" s="8" t="inlineStr">
        <is>
          <t>200C x 72h, 25% compression, O-ring 3.53 mm cross-section (JIS K6262)</t>
        </is>
      </c>
      <c r="AF227" s="8" t="n"/>
      <c r="AG227" s="8" t="n"/>
      <c r="AH227" s="8" t="inlineStr">
        <is>
          <t>parts by weight; CS %</t>
        </is>
      </c>
      <c r="AI227" s="8" t="inlineStr">
        <is>
          <t>Table 1. Press 165C x 20 min, post-cure 230C x 16 h. CS at 260C x 72h = 49%. Ozone exposure (200 g/m3, 160C, 72 h) weight loss 1.1% (not plasma). Ex1 and Ex5 have identical tabulated formulations but different results.</t>
        </is>
      </c>
    </row>
    <row r="228">
      <c r="A228" s="8" t="inlineStr">
        <is>
          <t>US11118045B2</t>
        </is>
      </c>
      <c r="B228" s="8" t="inlineStr">
        <is>
          <t>patent</t>
        </is>
      </c>
      <c r="C228" s="8" t="inlineStr">
        <is>
          <t>Valqua, Ltd.</t>
        </is>
      </c>
      <c r="D228" s="8" t="inlineStr">
        <is>
          <t>Perfluoroelastomer composition and sealing material</t>
        </is>
      </c>
      <c r="E228" s="8" t="inlineStr">
        <is>
          <t>https://patents.google.com/patent/US11118045B2/en</t>
        </is>
      </c>
      <c r="F228" s="8" t="inlineStr">
        <is>
          <t>Example 2</t>
        </is>
      </c>
      <c r="G228" s="8" t="inlineStr">
        <is>
          <t>FFKM</t>
        </is>
      </c>
      <c r="H228" s="8" t="inlineStr">
        <is>
          <t>Tecnoflon PFR5910M (Solvay; TFE/PAVE/I-PAVE FFKM; elastomer part)</t>
        </is>
      </c>
      <c r="I228" s="8" t="inlineStr">
        <is>
          <t>peroxide</t>
        </is>
      </c>
      <c r="J228" s="8" t="n">
        <v>100</v>
      </c>
      <c r="K228" s="8" t="n">
        <v>0</v>
      </c>
      <c r="L228" s="8" t="n">
        <v>0</v>
      </c>
      <c r="M228" s="8" t="n">
        <v>0</v>
      </c>
      <c r="N228" s="8" t="n">
        <v>0</v>
      </c>
      <c r="O228" s="8" t="n">
        <v>0</v>
      </c>
      <c r="P228" s="8" t="n">
        <v>11</v>
      </c>
      <c r="Q228" s="8" t="n">
        <v>0</v>
      </c>
      <c r="R228" s="8" t="n">
        <v>0.1</v>
      </c>
      <c r="S228" s="8" t="n">
        <v>2</v>
      </c>
      <c r="T228" s="8" t="n">
        <v>1</v>
      </c>
      <c r="U228" s="8" t="n">
        <v>0</v>
      </c>
      <c r="V228" s="8" t="n">
        <v>0</v>
      </c>
      <c r="W228" s="8" t="n">
        <v>0</v>
      </c>
      <c r="X228" s="8" t="n">
        <v>0</v>
      </c>
      <c r="Y228" s="8" t="inlineStr">
        <is>
          <t>PTFE particles contained in PFR5910M 11; coagent of formula (3) contained in PFR5910M 2; Perhexa 25B 1; perylene pigment B (C.I. Pigment Red 178) 0.1</t>
        </is>
      </c>
      <c r="Z228" s="8" t="n"/>
      <c r="AA228" s="8" t="n"/>
      <c r="AB228" s="8" t="n"/>
      <c r="AC228" s="8" t="n"/>
      <c r="AD228" s="8" t="n">
        <v>20</v>
      </c>
      <c r="AE228" s="8" t="inlineStr">
        <is>
          <t>200C x 72h, 25% compression, O-ring 3.53 mm cross-section (JIS K6262)</t>
        </is>
      </c>
      <c r="AF228" s="8" t="n"/>
      <c r="AG228" s="8" t="n"/>
      <c r="AH228" s="8" t="inlineStr">
        <is>
          <t>parts by weight; CS %</t>
        </is>
      </c>
      <c r="AI228" s="8" t="inlineStr">
        <is>
          <t>Table 1. Press 165C x 20 min, post-cure 230C x 16 h. CS at 260C x 72h = 53%. Ozone exposure (200 g/m3, 160C, 72 h) weight loss 1.09% (not plasma).</t>
        </is>
      </c>
    </row>
    <row r="229">
      <c r="A229" s="8" t="inlineStr">
        <is>
          <t>US11118045B2</t>
        </is>
      </c>
      <c r="B229" s="8" t="inlineStr">
        <is>
          <t>patent</t>
        </is>
      </c>
      <c r="C229" s="8" t="inlineStr">
        <is>
          <t>Valqua, Ltd.</t>
        </is>
      </c>
      <c r="D229" s="8" t="inlineStr">
        <is>
          <t>Perfluoroelastomer composition and sealing material</t>
        </is>
      </c>
      <c r="E229" s="8" t="inlineStr">
        <is>
          <t>https://patents.google.com/patent/US11118045B2/en</t>
        </is>
      </c>
      <c r="F229" s="8" t="inlineStr">
        <is>
          <t>Example 3</t>
        </is>
      </c>
      <c r="G229" s="8" t="inlineStr">
        <is>
          <t>FFKM</t>
        </is>
      </c>
      <c r="H229" s="8" t="inlineStr">
        <is>
          <t>Tecnoflon PFR5910M (Solvay; TFE/PAVE/I-PAVE FFKM; elastomer part)</t>
        </is>
      </c>
      <c r="I229" s="8" t="inlineStr">
        <is>
          <t>peroxide</t>
        </is>
      </c>
      <c r="J229" s="8" t="n">
        <v>100</v>
      </c>
      <c r="K229" s="8" t="n">
        <v>0</v>
      </c>
      <c r="L229" s="8" t="n">
        <v>0</v>
      </c>
      <c r="M229" s="8" t="n">
        <v>0</v>
      </c>
      <c r="N229" s="8" t="n">
        <v>0</v>
      </c>
      <c r="O229" s="8" t="n">
        <v>0</v>
      </c>
      <c r="P229" s="8" t="n">
        <v>11</v>
      </c>
      <c r="Q229" s="8" t="n">
        <v>0</v>
      </c>
      <c r="R229" s="8" t="n">
        <v>0.3</v>
      </c>
      <c r="S229" s="8" t="n">
        <v>2</v>
      </c>
      <c r="T229" s="8" t="n">
        <v>1</v>
      </c>
      <c r="U229" s="8" t="n">
        <v>0</v>
      </c>
      <c r="V229" s="8" t="n">
        <v>0</v>
      </c>
      <c r="W229" s="8" t="n">
        <v>0</v>
      </c>
      <c r="X229" s="8" t="n">
        <v>0</v>
      </c>
      <c r="Y229" s="8" t="inlineStr">
        <is>
          <t>PTFE particles contained in PFR5910M 11; coagent of formula (3) contained in PFR5910M 2; Perhexa 25B 1; perylene pigment A (C.I. Pigment Red 149) 0.3</t>
        </is>
      </c>
      <c r="Z229" s="8" t="n"/>
      <c r="AA229" s="8" t="n"/>
      <c r="AB229" s="8" t="n"/>
      <c r="AC229" s="8" t="n"/>
      <c r="AD229" s="8" t="n">
        <v>23</v>
      </c>
      <c r="AE229" s="8" t="inlineStr">
        <is>
          <t>200C x 72h, 25% compression, O-ring 3.53 mm cross-section (JIS K6262)</t>
        </is>
      </c>
      <c r="AF229" s="8" t="n"/>
      <c r="AG229" s="8" t="n"/>
      <c r="AH229" s="8" t="inlineStr">
        <is>
          <t>parts by weight; CS %</t>
        </is>
      </c>
      <c r="AI229" s="8" t="inlineStr">
        <is>
          <t>Table 1. Press 165C x 20 min, post-cure 230C x 16 h. CS at 260C x 72h = 50%. Ozone exposure (200 g/m3, 160C, 72 h) weight loss 1.01% (not plasma). Ex3 and Ex6 have identical tabulated formulations but different results.</t>
        </is>
      </c>
    </row>
    <row r="230">
      <c r="A230" s="8" t="inlineStr">
        <is>
          <t>US11118045B2</t>
        </is>
      </c>
      <c r="B230" s="8" t="inlineStr">
        <is>
          <t>patent</t>
        </is>
      </c>
      <c r="C230" s="8" t="inlineStr">
        <is>
          <t>Valqua, Ltd.</t>
        </is>
      </c>
      <c r="D230" s="8" t="inlineStr">
        <is>
          <t>Perfluoroelastomer composition and sealing material</t>
        </is>
      </c>
      <c r="E230" s="8" t="inlineStr">
        <is>
          <t>https://patents.google.com/patent/US11118045B2/en</t>
        </is>
      </c>
      <c r="F230" s="8" t="inlineStr">
        <is>
          <t>Example 4</t>
        </is>
      </c>
      <c r="G230" s="8" t="inlineStr">
        <is>
          <t>FFKM</t>
        </is>
      </c>
      <c r="H230" s="8" t="inlineStr">
        <is>
          <t>Tecnoflon PFR5910M (Solvay; TFE/PAVE/I-PAVE FFKM; elastomer part)</t>
        </is>
      </c>
      <c r="I230" s="8" t="inlineStr">
        <is>
          <t>peroxide</t>
        </is>
      </c>
      <c r="J230" s="8" t="n">
        <v>100</v>
      </c>
      <c r="K230" s="8" t="n">
        <v>0</v>
      </c>
      <c r="L230" s="8" t="n">
        <v>0</v>
      </c>
      <c r="M230" s="8" t="n">
        <v>0</v>
      </c>
      <c r="N230" s="8" t="n">
        <v>0</v>
      </c>
      <c r="O230" s="8" t="n">
        <v>0</v>
      </c>
      <c r="P230" s="8" t="n">
        <v>11</v>
      </c>
      <c r="Q230" s="8" t="n">
        <v>0</v>
      </c>
      <c r="R230" s="8" t="n">
        <v>0.6</v>
      </c>
      <c r="S230" s="8" t="n">
        <v>2</v>
      </c>
      <c r="T230" s="8" t="n">
        <v>1</v>
      </c>
      <c r="U230" s="8" t="n">
        <v>0</v>
      </c>
      <c r="V230" s="8" t="n">
        <v>0</v>
      </c>
      <c r="W230" s="8" t="n">
        <v>0</v>
      </c>
      <c r="X230" s="8" t="n">
        <v>0</v>
      </c>
      <c r="Y230" s="8" t="inlineStr">
        <is>
          <t>PTFE particles contained in PFR5910M 11; coagent of formula (3) contained in PFR5910M 2; Perhexa 25B 1; perylene pigment A (C.I. Pigment Red 149) 0.6</t>
        </is>
      </c>
      <c r="Z230" s="8" t="n"/>
      <c r="AA230" s="8" t="n"/>
      <c r="AB230" s="8" t="n"/>
      <c r="AC230" s="8" t="n"/>
      <c r="AD230" s="8" t="n">
        <v>24</v>
      </c>
      <c r="AE230" s="8" t="inlineStr">
        <is>
          <t>200C x 72h, 25% compression, O-ring 3.53 mm cross-section (JIS K6262)</t>
        </is>
      </c>
      <c r="AF230" s="8" t="n"/>
      <c r="AG230" s="8" t="n"/>
      <c r="AH230" s="8" t="inlineStr">
        <is>
          <t>parts by weight; CS %</t>
        </is>
      </c>
      <c r="AI230" s="8" t="inlineStr">
        <is>
          <t>Table 1. Press 165C x 20 min, post-cure 230C x 16 h. CS at 260C x 72h = 55%. Ozone exposure (200 g/m3, 160C, 72 h) weight loss 0.98% (not plasma).</t>
        </is>
      </c>
    </row>
    <row r="231">
      <c r="A231" s="8" t="inlineStr">
        <is>
          <t>US11118045B2</t>
        </is>
      </c>
      <c r="B231" s="8" t="inlineStr">
        <is>
          <t>patent</t>
        </is>
      </c>
      <c r="C231" s="8" t="inlineStr">
        <is>
          <t>Valqua, Ltd.</t>
        </is>
      </c>
      <c r="D231" s="8" t="inlineStr">
        <is>
          <t>Perfluoroelastomer composition and sealing material</t>
        </is>
      </c>
      <c r="E231" s="8" t="inlineStr">
        <is>
          <t>https://patents.google.com/patent/US11118045B2/en</t>
        </is>
      </c>
      <c r="F231" s="8" t="inlineStr">
        <is>
          <t>Example 5</t>
        </is>
      </c>
      <c r="G231" s="8" t="inlineStr">
        <is>
          <t>FFKM</t>
        </is>
      </c>
      <c r="H231" s="8" t="inlineStr">
        <is>
          <t>Tecnoflon PFR5910M (Solvay; TFE/PAVE/I-PAVE FFKM; elastomer part)</t>
        </is>
      </c>
      <c r="I231" s="8" t="inlineStr">
        <is>
          <t>peroxide</t>
        </is>
      </c>
      <c r="J231" s="8" t="n">
        <v>100</v>
      </c>
      <c r="K231" s="8" t="n">
        <v>0</v>
      </c>
      <c r="L231" s="8" t="n">
        <v>0</v>
      </c>
      <c r="M231" s="8" t="n">
        <v>0</v>
      </c>
      <c r="N231" s="8" t="n">
        <v>0</v>
      </c>
      <c r="O231" s="8" t="n">
        <v>0</v>
      </c>
      <c r="P231" s="8" t="n">
        <v>11</v>
      </c>
      <c r="Q231" s="8" t="n">
        <v>0</v>
      </c>
      <c r="R231" s="8" t="n">
        <v>0.1</v>
      </c>
      <c r="S231" s="8" t="n">
        <v>2</v>
      </c>
      <c r="T231" s="8" t="n">
        <v>1</v>
      </c>
      <c r="U231" s="8" t="n">
        <v>0</v>
      </c>
      <c r="V231" s="8" t="n">
        <v>0</v>
      </c>
      <c r="W231" s="8" t="n">
        <v>0</v>
      </c>
      <c r="X231" s="8" t="n">
        <v>0</v>
      </c>
      <c r="Y231" s="8" t="inlineStr">
        <is>
          <t>PTFE particles contained in PFR5910M 11; coagent of formula (3) contained in PFR5910M 2; Perhexa 25B 1; perylene pigment A (C.I. Pigment Red 149) 0.1</t>
        </is>
      </c>
      <c r="Z231" s="8" t="n"/>
      <c r="AA231" s="8" t="n"/>
      <c r="AB231" s="8" t="n"/>
      <c r="AC231" s="8" t="n"/>
      <c r="AD231" s="8" t="n">
        <v>23</v>
      </c>
      <c r="AE231" s="8" t="inlineStr">
        <is>
          <t>200C x 72h, 25% compression, O-ring 3.53 mm cross-section (JIS K6262)</t>
        </is>
      </c>
      <c r="AF231" s="8" t="n"/>
      <c r="AG231" s="8" t="n"/>
      <c r="AH231" s="8" t="inlineStr">
        <is>
          <t>parts by weight; CS %</t>
        </is>
      </c>
      <c r="AI231" s="8" t="inlineStr">
        <is>
          <t>Table 1. Press 165C x 20 min, post-cure 230C x 16 h. CS at 260C x 72h = 54%. Ozone exposure (200 g/m3, 160C, 72 h) weight loss 1.02% (not plasma). Ex1 and Ex5 have identical tabulated formulations but different results.</t>
        </is>
      </c>
    </row>
    <row r="232">
      <c r="A232" s="8" t="inlineStr">
        <is>
          <t>US11118045B2</t>
        </is>
      </c>
      <c r="B232" s="8" t="inlineStr">
        <is>
          <t>patent</t>
        </is>
      </c>
      <c r="C232" s="8" t="inlineStr">
        <is>
          <t>Valqua, Ltd.</t>
        </is>
      </c>
      <c r="D232" s="8" t="inlineStr">
        <is>
          <t>Perfluoroelastomer composition and sealing material</t>
        </is>
      </c>
      <c r="E232" s="8" t="inlineStr">
        <is>
          <t>https://patents.google.com/patent/US11118045B2/en</t>
        </is>
      </c>
      <c r="F232" s="8" t="inlineStr">
        <is>
          <t>Example 6</t>
        </is>
      </c>
      <c r="G232" s="8" t="inlineStr">
        <is>
          <t>FFKM</t>
        </is>
      </c>
      <c r="H232" s="8" t="inlineStr">
        <is>
          <t>Tecnoflon PFR5910M (Solvay; TFE/PAVE/I-PAVE FFKM; elastomer part)</t>
        </is>
      </c>
      <c r="I232" s="8" t="inlineStr">
        <is>
          <t>peroxide</t>
        </is>
      </c>
      <c r="J232" s="8" t="n">
        <v>100</v>
      </c>
      <c r="K232" s="8" t="n">
        <v>0</v>
      </c>
      <c r="L232" s="8" t="n">
        <v>0</v>
      </c>
      <c r="M232" s="8" t="n">
        <v>0</v>
      </c>
      <c r="N232" s="8" t="n">
        <v>0</v>
      </c>
      <c r="O232" s="8" t="n">
        <v>0</v>
      </c>
      <c r="P232" s="8" t="n">
        <v>11</v>
      </c>
      <c r="Q232" s="8" t="n">
        <v>0</v>
      </c>
      <c r="R232" s="8" t="n">
        <v>0.3</v>
      </c>
      <c r="S232" s="8" t="n">
        <v>2</v>
      </c>
      <c r="T232" s="8" t="n">
        <v>1</v>
      </c>
      <c r="U232" s="8" t="n">
        <v>0</v>
      </c>
      <c r="V232" s="8" t="n">
        <v>0</v>
      </c>
      <c r="W232" s="8" t="n">
        <v>0</v>
      </c>
      <c r="X232" s="8" t="n">
        <v>0</v>
      </c>
      <c r="Y232" s="8" t="inlineStr">
        <is>
          <t>PTFE particles contained in PFR5910M 11; coagent of formula (3) contained in PFR5910M 2; Perhexa 25B 1; perylene pigment A (C.I. Pigment Red 149) 0.3</t>
        </is>
      </c>
      <c r="Z232" s="8" t="n"/>
      <c r="AA232" s="8" t="n"/>
      <c r="AB232" s="8" t="n"/>
      <c r="AC232" s="8" t="n"/>
      <c r="AD232" s="8" t="n">
        <v>25</v>
      </c>
      <c r="AE232" s="8" t="inlineStr">
        <is>
          <t>200C x 72h, 25% compression, O-ring 3.53 mm cross-section (JIS K6262)</t>
        </is>
      </c>
      <c r="AF232" s="8" t="n"/>
      <c r="AG232" s="8" t="n"/>
      <c r="AH232" s="8" t="inlineStr">
        <is>
          <t>parts by weight; CS %</t>
        </is>
      </c>
      <c r="AI232" s="8" t="inlineStr">
        <is>
          <t>Table 1. Press 165C x 20 min, post-cure 230C x 16 h. CS at 260C x 72h = 53%. Ozone exposure (200 g/m3, 160C, 72 h) weight loss 1.01% (not plasma). Ex3 and Ex6 have identical tabulated formulations but different results.</t>
        </is>
      </c>
    </row>
    <row r="233">
      <c r="A233" s="8" t="inlineStr">
        <is>
          <t>US11118045B2</t>
        </is>
      </c>
      <c r="B233" s="8" t="inlineStr">
        <is>
          <t>patent</t>
        </is>
      </c>
      <c r="C233" s="8" t="inlineStr">
        <is>
          <t>Valqua, Ltd.</t>
        </is>
      </c>
      <c r="D233" s="8" t="inlineStr">
        <is>
          <t>Perfluoroelastomer composition and sealing material</t>
        </is>
      </c>
      <c r="E233" s="8" t="inlineStr">
        <is>
          <t>https://patents.google.com/patent/US11118045B2/en</t>
        </is>
      </c>
      <c r="F233" s="8" t="inlineStr">
        <is>
          <t>Example 7</t>
        </is>
      </c>
      <c r="G233" s="8" t="inlineStr">
        <is>
          <t>FFKM</t>
        </is>
      </c>
      <c r="H233" s="8" t="inlineStr">
        <is>
          <t>Tecnoflon PFR5910M (Solvay; TFE/PAVE/I-PAVE FFKM; elastomer part)</t>
        </is>
      </c>
      <c r="I233" s="8" t="inlineStr">
        <is>
          <t>peroxide</t>
        </is>
      </c>
      <c r="J233" s="8" t="n">
        <v>100</v>
      </c>
      <c r="K233" s="8" t="n">
        <v>0</v>
      </c>
      <c r="L233" s="8" t="n">
        <v>0</v>
      </c>
      <c r="M233" s="8" t="n">
        <v>0</v>
      </c>
      <c r="N233" s="8" t="n">
        <v>0</v>
      </c>
      <c r="O233" s="8" t="n">
        <v>0</v>
      </c>
      <c r="P233" s="8" t="n">
        <v>11</v>
      </c>
      <c r="Q233" s="8" t="n">
        <v>0</v>
      </c>
      <c r="R233" s="8" t="n">
        <v>0.1</v>
      </c>
      <c r="S233" s="8" t="n">
        <v>2</v>
      </c>
      <c r="T233" s="8" t="n">
        <v>2</v>
      </c>
      <c r="U233" s="8" t="n">
        <v>0</v>
      </c>
      <c r="V233" s="8" t="n">
        <v>0</v>
      </c>
      <c r="W233" s="8" t="n">
        <v>0</v>
      </c>
      <c r="X233" s="8" t="n">
        <v>0</v>
      </c>
      <c r="Y233" s="8" t="inlineStr">
        <is>
          <t>PTFE particles contained in PFR5910M 11; coagent of formula (3) contained in PFR5910M 2; Perhexa 25B 2; perylene pigment A (C.I. Pigment Red 149) 0.1</t>
        </is>
      </c>
      <c r="Z233" s="8" t="n"/>
      <c r="AA233" s="8" t="n"/>
      <c r="AB233" s="8" t="n"/>
      <c r="AC233" s="8" t="n"/>
      <c r="AD233" s="8" t="n">
        <v>26</v>
      </c>
      <c r="AE233" s="8" t="inlineStr">
        <is>
          <t>200C x 72h, 25% compression, O-ring 3.53 mm cross-section (JIS K6262)</t>
        </is>
      </c>
      <c r="AF233" s="8" t="n"/>
      <c r="AG233" s="8" t="n"/>
      <c r="AH233" s="8" t="inlineStr">
        <is>
          <t>parts by weight; CS %</t>
        </is>
      </c>
      <c r="AI233" s="8" t="inlineStr">
        <is>
          <t>Table 1. Press 165C x 20 min, post-cure 230C x 16 h. CS at 260C x 72h = 52%. Ozone exposure (200 g/m3, 160C, 72 h) weight loss 1.15% (not plasma).</t>
        </is>
      </c>
    </row>
    <row r="234">
      <c r="A234" s="8" t="inlineStr">
        <is>
          <t>US11118045B2</t>
        </is>
      </c>
      <c r="B234" s="8" t="inlineStr">
        <is>
          <t>patent</t>
        </is>
      </c>
      <c r="C234" s="8" t="inlineStr">
        <is>
          <t>Valqua, Ltd.</t>
        </is>
      </c>
      <c r="D234" s="8" t="inlineStr">
        <is>
          <t>Perfluoroelastomer composition and sealing material</t>
        </is>
      </c>
      <c r="E234" s="8" t="inlineStr">
        <is>
          <t>https://patents.google.com/patent/US11118045B2/en</t>
        </is>
      </c>
      <c r="F234" s="8" t="inlineStr">
        <is>
          <t>Example 8</t>
        </is>
      </c>
      <c r="G234" s="8" t="inlineStr">
        <is>
          <t>FFKM</t>
        </is>
      </c>
      <c r="H234" s="8" t="inlineStr">
        <is>
          <t>Tecnoflon PFR5910M (Solvay; TFE/PAVE/I-PAVE FFKM; elastomer part)</t>
        </is>
      </c>
      <c r="I234" s="8" t="inlineStr">
        <is>
          <t>peroxide</t>
        </is>
      </c>
      <c r="J234" s="8" t="n">
        <v>100</v>
      </c>
      <c r="K234" s="8" t="n">
        <v>0</v>
      </c>
      <c r="L234" s="8" t="n">
        <v>0</v>
      </c>
      <c r="M234" s="8" t="n">
        <v>0</v>
      </c>
      <c r="N234" s="8" t="n">
        <v>0</v>
      </c>
      <c r="O234" s="8" t="n">
        <v>0</v>
      </c>
      <c r="P234" s="8" t="n">
        <v>11</v>
      </c>
      <c r="Q234" s="8" t="n">
        <v>0</v>
      </c>
      <c r="R234" s="8" t="n">
        <v>0.3</v>
      </c>
      <c r="S234" s="8" t="n">
        <v>2</v>
      </c>
      <c r="T234" s="8" t="n">
        <v>2</v>
      </c>
      <c r="U234" s="8" t="n">
        <v>0</v>
      </c>
      <c r="V234" s="8" t="n">
        <v>0</v>
      </c>
      <c r="W234" s="8" t="n">
        <v>0</v>
      </c>
      <c r="X234" s="8" t="n">
        <v>0</v>
      </c>
      <c r="Y234" s="8" t="inlineStr">
        <is>
          <t>PTFE particles contained in PFR5910M 11; coagent of formula (3) contained in PFR5910M 2; Perhexa 25B 2; perylene pigment A (C.I. Pigment Red 149) 0.3</t>
        </is>
      </c>
      <c r="Z234" s="8" t="n"/>
      <c r="AA234" s="8" t="n"/>
      <c r="AB234" s="8" t="n"/>
      <c r="AC234" s="8" t="n"/>
      <c r="AD234" s="8" t="n">
        <v>24</v>
      </c>
      <c r="AE234" s="8" t="inlineStr">
        <is>
          <t>200C x 72h, 25% compression, O-ring 3.53 mm cross-section (JIS K6262)</t>
        </is>
      </c>
      <c r="AF234" s="8" t="n"/>
      <c r="AG234" s="8" t="n"/>
      <c r="AH234" s="8" t="inlineStr">
        <is>
          <t>parts by weight; CS %</t>
        </is>
      </c>
      <c r="AI234" s="8" t="inlineStr">
        <is>
          <t>Table 1. Press 165C x 20 min, post-cure 230C x 16 h. CS at 260C x 72h = 55%. Ozone exposure (200 g/m3, 160C, 72 h) weight loss 1.18% (not plasma).</t>
        </is>
      </c>
    </row>
    <row r="235">
      <c r="A235" s="8" t="inlineStr">
        <is>
          <t>US11118045B2</t>
        </is>
      </c>
      <c r="B235" s="8" t="inlineStr">
        <is>
          <t>patent</t>
        </is>
      </c>
      <c r="C235" s="8" t="inlineStr">
        <is>
          <t>Valqua, Ltd.</t>
        </is>
      </c>
      <c r="D235" s="8" t="inlineStr">
        <is>
          <t>Perfluoroelastomer composition and sealing material</t>
        </is>
      </c>
      <c r="E235" s="8" t="inlineStr">
        <is>
          <t>https://patents.google.com/patent/US11118045B2/en</t>
        </is>
      </c>
      <c r="F235" s="8" t="inlineStr">
        <is>
          <t>Example 9</t>
        </is>
      </c>
      <c r="G235" s="8" t="inlineStr">
        <is>
          <t>FFKM</t>
        </is>
      </c>
      <c r="H235" s="8" t="inlineStr">
        <is>
          <t>Tecnoflon PFR5910M (Solvay; TFE/PAVE/I-PAVE FFKM; elastomer part)</t>
        </is>
      </c>
      <c r="I235" s="8" t="inlineStr">
        <is>
          <t>peroxide</t>
        </is>
      </c>
      <c r="J235" s="8" t="n">
        <v>100</v>
      </c>
      <c r="K235" s="8" t="n">
        <v>0</v>
      </c>
      <c r="L235" s="8" t="n">
        <v>0</v>
      </c>
      <c r="M235" s="8" t="n">
        <v>0</v>
      </c>
      <c r="N235" s="8" t="n">
        <v>0</v>
      </c>
      <c r="O235" s="8" t="n">
        <v>0</v>
      </c>
      <c r="P235" s="8" t="n">
        <v>11</v>
      </c>
      <c r="Q235" s="8" t="n">
        <v>0</v>
      </c>
      <c r="R235" s="8" t="n">
        <v>1.1</v>
      </c>
      <c r="S235" s="8" t="n">
        <v>2</v>
      </c>
      <c r="T235" s="8" t="n">
        <v>1</v>
      </c>
      <c r="U235" s="8" t="n">
        <v>0</v>
      </c>
      <c r="V235" s="8" t="n">
        <v>0</v>
      </c>
      <c r="W235" s="8" t="n">
        <v>0</v>
      </c>
      <c r="X235" s="8" t="n">
        <v>0</v>
      </c>
      <c r="Y235" s="8" t="inlineStr">
        <is>
          <t>PTFE particles contained in PFR5910M 11; coagent of formula (3) contained in PFR5910M 2; Perhexa 25B 1; perylene pigment A (C.I. Pigment Red 149) 1.1</t>
        </is>
      </c>
      <c r="Z235" s="8" t="n"/>
      <c r="AA235" s="8" t="n"/>
      <c r="AB235" s="8" t="n"/>
      <c r="AC235" s="8" t="n"/>
      <c r="AD235" s="8" t="n">
        <v>31</v>
      </c>
      <c r="AE235" s="8" t="inlineStr">
        <is>
          <t>200C x 72h, 25% compression, O-ring 3.53 mm cross-section (JIS K6262)</t>
        </is>
      </c>
      <c r="AF235" s="8" t="n"/>
      <c r="AG235" s="8" t="n"/>
      <c r="AH235" s="8" t="inlineStr">
        <is>
          <t>parts by weight; CS %</t>
        </is>
      </c>
      <c r="AI235" s="8" t="inlineStr">
        <is>
          <t>Table 1. Press 165C x 20 min, post-cure 230C x 16 h. CS at 260C x 72h = 59%. Ozone exposure (200 g/m3, 160C, 72 h) weight loss 1.19% (not plasma).</t>
        </is>
      </c>
    </row>
    <row r="236">
      <c r="A236" s="8" t="inlineStr">
        <is>
          <t>US11118045B2</t>
        </is>
      </c>
      <c r="B236" s="8" t="inlineStr">
        <is>
          <t>patent</t>
        </is>
      </c>
      <c r="C236" s="8" t="inlineStr">
        <is>
          <t>Valqua, Ltd.</t>
        </is>
      </c>
      <c r="D236" s="8" t="inlineStr">
        <is>
          <t>Perfluoroelastomer composition and sealing material</t>
        </is>
      </c>
      <c r="E236" s="8" t="inlineStr">
        <is>
          <t>https://patents.google.com/patent/US11118045B2/en</t>
        </is>
      </c>
      <c r="F236" s="8" t="inlineStr">
        <is>
          <t>Comparative Example 1</t>
        </is>
      </c>
      <c r="G236" s="8" t="inlineStr">
        <is>
          <t>FFKM</t>
        </is>
      </c>
      <c r="H236" s="8" t="inlineStr">
        <is>
          <t>Tecnoflon PFR5910M (Solvay; TFE/PAVE/I-PAVE FFKM; elastomer part)</t>
        </is>
      </c>
      <c r="I236" s="8" t="inlineStr">
        <is>
          <t>peroxide</t>
        </is>
      </c>
      <c r="J236" s="8" t="n">
        <v>100</v>
      </c>
      <c r="K236" s="8" t="n">
        <v>0</v>
      </c>
      <c r="L236" s="8" t="n">
        <v>0</v>
      </c>
      <c r="M236" s="8" t="n">
        <v>0</v>
      </c>
      <c r="N236" s="8" t="n">
        <v>0</v>
      </c>
      <c r="O236" s="8" t="n">
        <v>0</v>
      </c>
      <c r="P236" s="8" t="n">
        <v>11</v>
      </c>
      <c r="Q236" s="8" t="n">
        <v>0</v>
      </c>
      <c r="R236" s="8" t="n">
        <v>0</v>
      </c>
      <c r="S236" s="8" t="n">
        <v>2</v>
      </c>
      <c r="T236" s="8" t="n">
        <v>1</v>
      </c>
      <c r="U236" s="8" t="n">
        <v>0</v>
      </c>
      <c r="V236" s="8" t="n">
        <v>0</v>
      </c>
      <c r="W236" s="8" t="n">
        <v>0</v>
      </c>
      <c r="X236" s="8" t="n">
        <v>0</v>
      </c>
      <c r="Y236" s="8" t="inlineStr">
        <is>
          <t>PTFE particles contained in PFR5910M 11; coagent of formula (3) contained in PFR5910M 2; Perhexa 25B 1</t>
        </is>
      </c>
      <c r="Z236" s="8" t="n"/>
      <c r="AA236" s="8" t="n"/>
      <c r="AB236" s="8" t="n"/>
      <c r="AC236" s="8" t="n"/>
      <c r="AD236" s="8" t="n">
        <v>18</v>
      </c>
      <c r="AE236" s="8" t="inlineStr">
        <is>
          <t>200C x 72h, 25% compression, O-ring 3.53 mm cross-section (JIS K6262)</t>
        </is>
      </c>
      <c r="AF236" s="8" t="n"/>
      <c r="AG236" s="8" t="n"/>
      <c r="AH236" s="8" t="inlineStr">
        <is>
          <t>parts by weight; CS %</t>
        </is>
      </c>
      <c r="AI236" s="8" t="inlineStr">
        <is>
          <t>Table 1. Press 165C x 20 min, post-cure 230C x 16 h. CS at 260C x 72h = 63%. Ozone exposure (200 g/m3, 160C, 72 h) weight loss 1.27% (not plasma).</t>
        </is>
      </c>
    </row>
    <row r="237">
      <c r="A237" s="8" t="inlineStr">
        <is>
          <t>US11118045B2</t>
        </is>
      </c>
      <c r="B237" s="8" t="inlineStr">
        <is>
          <t>patent</t>
        </is>
      </c>
      <c r="C237" s="8" t="inlineStr">
        <is>
          <t>Valqua, Ltd.</t>
        </is>
      </c>
      <c r="D237" s="8" t="inlineStr">
        <is>
          <t>Perfluoroelastomer composition and sealing material</t>
        </is>
      </c>
      <c r="E237" s="8" t="inlineStr">
        <is>
          <t>https://patents.google.com/patent/US11118045B2/en</t>
        </is>
      </c>
      <c r="F237" s="8" t="inlineStr">
        <is>
          <t>Example 12</t>
        </is>
      </c>
      <c r="G237" s="8" t="inlineStr">
        <is>
          <t>FFKM</t>
        </is>
      </c>
      <c r="H237" s="8" t="inlineStr">
        <is>
          <t>Tecnoflon PFR5910M (Solvay; TFE/PAVE/I-PAVE FFKM; elastomer part)</t>
        </is>
      </c>
      <c r="I237" s="8" t="inlineStr">
        <is>
          <t>peroxide</t>
        </is>
      </c>
      <c r="J237" s="8" t="n">
        <v>100</v>
      </c>
      <c r="K237" s="8" t="n">
        <v>0</v>
      </c>
      <c r="L237" s="8" t="n">
        <v>0</v>
      </c>
      <c r="M237" s="8" t="n">
        <v>0</v>
      </c>
      <c r="N237" s="8" t="n">
        <v>0</v>
      </c>
      <c r="O237" s="8" t="n">
        <v>0</v>
      </c>
      <c r="P237" s="8" t="n">
        <v>11</v>
      </c>
      <c r="Q237" s="8" t="n">
        <v>0</v>
      </c>
      <c r="R237" s="8" t="n">
        <v>0.3</v>
      </c>
      <c r="S237" s="8" t="n">
        <v>2</v>
      </c>
      <c r="T237" s="8" t="n">
        <v>1</v>
      </c>
      <c r="U237" s="8" t="n">
        <v>0</v>
      </c>
      <c r="V237" s="8" t="n">
        <v>0</v>
      </c>
      <c r="W237" s="8" t="n">
        <v>0</v>
      </c>
      <c r="X237" s="8" t="n">
        <v>0</v>
      </c>
      <c r="Y237" s="8" t="inlineStr">
        <is>
          <t>PTFE particles contained in PFR5910M 11; coagent of formula (3) contained in PFR5910M 2; Perhexa 25B 1; perylene pigment C (C.I. Pigment Red 179) 0.3</t>
        </is>
      </c>
      <c r="Z237" s="8" t="n"/>
      <c r="AA237" s="8" t="n"/>
      <c r="AB237" s="8" t="n"/>
      <c r="AC237" s="8" t="n"/>
      <c r="AD237" s="8" t="n">
        <v>32</v>
      </c>
      <c r="AE237" s="8" t="inlineStr">
        <is>
          <t>200C x 72h, 25% compression, O-ring 3.53 mm cross-section (JIS K6262)</t>
        </is>
      </c>
      <c r="AF237" s="8" t="n"/>
      <c r="AG237" s="8" t="n"/>
      <c r="AH237" s="8" t="inlineStr">
        <is>
          <t>parts by weight; CS %</t>
        </is>
      </c>
      <c r="AI237" s="8" t="inlineStr">
        <is>
          <t>Table 2. Press 165C x 20 min, post-cure 230C x 16 h. CS at 260C x 72h = 56%. Ozone exposure (200 g/m3, 160C, 72 h) weight loss 1.06% (not plasma). Peroxide cell printed as 'I' in Google Patents table, read as 1 (all other cells in row = 1).</t>
        </is>
      </c>
    </row>
    <row r="238">
      <c r="A238" s="8" t="inlineStr">
        <is>
          <t>US11118045B2</t>
        </is>
      </c>
      <c r="B238" s="8" t="inlineStr">
        <is>
          <t>patent</t>
        </is>
      </c>
      <c r="C238" s="8" t="inlineStr">
        <is>
          <t>Valqua, Ltd.</t>
        </is>
      </c>
      <c r="D238" s="8" t="inlineStr">
        <is>
          <t>Perfluoroelastomer composition and sealing material</t>
        </is>
      </c>
      <c r="E238" s="8" t="inlineStr">
        <is>
          <t>https://patents.google.com/patent/US11118045B2/en</t>
        </is>
      </c>
      <c r="F238" s="8" t="inlineStr">
        <is>
          <t>Example 13</t>
        </is>
      </c>
      <c r="G238" s="8" t="inlineStr">
        <is>
          <t>FFKM</t>
        </is>
      </c>
      <c r="H238" s="8" t="inlineStr">
        <is>
          <t>Tecnoflon PFR5910M (Solvay; TFE/PAVE/I-PAVE FFKM; elastomer part)</t>
        </is>
      </c>
      <c r="I238" s="8" t="inlineStr">
        <is>
          <t>peroxide</t>
        </is>
      </c>
      <c r="J238" s="8" t="n">
        <v>100</v>
      </c>
      <c r="K238" s="8" t="n">
        <v>0</v>
      </c>
      <c r="L238" s="8" t="n">
        <v>0</v>
      </c>
      <c r="M238" s="8" t="n">
        <v>0</v>
      </c>
      <c r="N238" s="8" t="n">
        <v>0</v>
      </c>
      <c r="O238" s="8" t="n">
        <v>0</v>
      </c>
      <c r="P238" s="8" t="n">
        <v>11</v>
      </c>
      <c r="Q238" s="8" t="n">
        <v>0</v>
      </c>
      <c r="R238" s="8" t="n">
        <v>0.05</v>
      </c>
      <c r="S238" s="8" t="n">
        <v>2</v>
      </c>
      <c r="T238" s="8" t="n">
        <v>1</v>
      </c>
      <c r="U238" s="8" t="n">
        <v>0</v>
      </c>
      <c r="V238" s="8" t="n">
        <v>0</v>
      </c>
      <c r="W238" s="8" t="n">
        <v>0</v>
      </c>
      <c r="X238" s="8" t="n">
        <v>0</v>
      </c>
      <c r="Y238" s="8" t="inlineStr">
        <is>
          <t>PTFE particles contained in PFR5910M 11; coagent of formula (3) contained in PFR5910M 2; Perhexa 25B 1; perylene pigment A (C.I. Pigment Red 149; Table 2 text says PR 119) 0.05</t>
        </is>
      </c>
      <c r="Z238" s="8" t="n"/>
      <c r="AA238" s="8" t="n"/>
      <c r="AB238" s="8" t="n"/>
      <c r="AC238" s="8" t="n"/>
      <c r="AD238" s="8" t="n">
        <v>29</v>
      </c>
      <c r="AE238" s="8" t="inlineStr">
        <is>
          <t>200C x 72h, 25% compression, O-ring 3.53 mm cross-section (JIS K6262)</t>
        </is>
      </c>
      <c r="AF238" s="8" t="n"/>
      <c r="AG238" s="8" t="n"/>
      <c r="AH238" s="8" t="inlineStr">
        <is>
          <t>parts by weight; CS %</t>
        </is>
      </c>
      <c r="AI238" s="8" t="inlineStr">
        <is>
          <t>Table 2. Press 165C x 20 min, post-cure 230C x 16 h. CS at 260C x 72h = 49%. Ozone exposure (200 g/m3, 160C, 72 h) weight loss 0.95% (not plasma).</t>
        </is>
      </c>
    </row>
    <row r="239">
      <c r="A239" s="8" t="inlineStr">
        <is>
          <t>US11118045B2</t>
        </is>
      </c>
      <c r="B239" s="8" t="inlineStr">
        <is>
          <t>patent</t>
        </is>
      </c>
      <c r="C239" s="8" t="inlineStr">
        <is>
          <t>Valqua, Ltd.</t>
        </is>
      </c>
      <c r="D239" s="8" t="inlineStr">
        <is>
          <t>Perfluoroelastomer composition and sealing material</t>
        </is>
      </c>
      <c r="E239" s="8" t="inlineStr">
        <is>
          <t>https://patents.google.com/patent/US11118045B2/en</t>
        </is>
      </c>
      <c r="F239" s="8" t="inlineStr">
        <is>
          <t>Comparative Example 4</t>
        </is>
      </c>
      <c r="G239" s="8" t="inlineStr">
        <is>
          <t>FFKM</t>
        </is>
      </c>
      <c r="H239" s="8" t="inlineStr">
        <is>
          <t>Tecnoflon PFR5910M (Solvay; TFE/PAVE/I-PAVE FFKM; elastomer part)</t>
        </is>
      </c>
      <c r="I239" s="8" t="inlineStr">
        <is>
          <t>peroxide</t>
        </is>
      </c>
      <c r="J239" s="8" t="n">
        <v>100</v>
      </c>
      <c r="K239" s="8" t="n">
        <v>0</v>
      </c>
      <c r="L239" s="8" t="n">
        <v>0</v>
      </c>
      <c r="M239" s="8" t="n">
        <v>0</v>
      </c>
      <c r="N239" s="8" t="n">
        <v>0</v>
      </c>
      <c r="O239" s="8" t="n">
        <v>0</v>
      </c>
      <c r="P239" s="8" t="n">
        <v>11</v>
      </c>
      <c r="Q239" s="8" t="n">
        <v>0</v>
      </c>
      <c r="R239" s="8" t="n">
        <v>2</v>
      </c>
      <c r="S239" s="8" t="n">
        <v>2</v>
      </c>
      <c r="T239" s="8" t="n">
        <v>1</v>
      </c>
      <c r="U239" s="8" t="n">
        <v>0</v>
      </c>
      <c r="V239" s="8" t="n">
        <v>0</v>
      </c>
      <c r="W239" s="8" t="n">
        <v>0</v>
      </c>
      <c r="X239" s="8" t="n">
        <v>0</v>
      </c>
      <c r="Y239" s="8" t="inlineStr">
        <is>
          <t>PTFE particles contained in PFR5910M 11; coagent of formula (3) contained in PFR5910M 2; Perhexa 25B 1; perylene pigment A (C.I. Pigment Red 149; Table 2 text says PR 119) 2.0</t>
        </is>
      </c>
      <c r="Z239" s="8" t="n"/>
      <c r="AA239" s="8" t="n"/>
      <c r="AB239" s="8" t="n"/>
      <c r="AC239" s="8" t="n"/>
      <c r="AD239" s="8" t="n">
        <v>33</v>
      </c>
      <c r="AE239" s="8" t="inlineStr">
        <is>
          <t>200C x 72h, 25% compression, O-ring 3.53 mm cross-section (JIS K6262)</t>
        </is>
      </c>
      <c r="AF239" s="8" t="n"/>
      <c r="AG239" s="8" t="n"/>
      <c r="AH239" s="8" t="inlineStr">
        <is>
          <t>parts by weight; CS %</t>
        </is>
      </c>
      <c r="AI239" s="8" t="inlineStr">
        <is>
          <t>Table 2. Press 165C x 20 min, post-cure 230C x 16 h. CS at 260C x 72h = 55%. Ozone exposure (200 g/m3, 160C, 72 h) weight loss 1.63% (not plasma).</t>
        </is>
      </c>
    </row>
    <row r="240">
      <c r="A240" s="8" t="inlineStr">
        <is>
          <t>US11118045B2</t>
        </is>
      </c>
      <c r="B240" s="8" t="inlineStr">
        <is>
          <t>patent</t>
        </is>
      </c>
      <c r="C240" s="8" t="inlineStr">
        <is>
          <t>Valqua, Ltd.</t>
        </is>
      </c>
      <c r="D240" s="8" t="inlineStr">
        <is>
          <t>Perfluoroelastomer composition and sealing material</t>
        </is>
      </c>
      <c r="E240" s="8" t="inlineStr">
        <is>
          <t>https://patents.google.com/patent/US11118045B2/en</t>
        </is>
      </c>
      <c r="F240" s="8" t="inlineStr">
        <is>
          <t>Comparative Example 5</t>
        </is>
      </c>
      <c r="G240" s="8" t="inlineStr">
        <is>
          <t>FFKM</t>
        </is>
      </c>
      <c r="H240" s="8" t="inlineStr">
        <is>
          <t>Tecnoflon PFR5910M (Solvay; TFE/PAVE/I-PAVE FFKM; elastomer part)</t>
        </is>
      </c>
      <c r="I240" s="8" t="inlineStr">
        <is>
          <t>peroxide</t>
        </is>
      </c>
      <c r="J240" s="8" t="n">
        <v>100</v>
      </c>
      <c r="K240" s="8" t="n">
        <v>0</v>
      </c>
      <c r="L240" s="8" t="n">
        <v>0</v>
      </c>
      <c r="M240" s="8" t="n">
        <v>0</v>
      </c>
      <c r="N240" s="8" t="n">
        <v>0</v>
      </c>
      <c r="O240" s="8" t="n">
        <v>0</v>
      </c>
      <c r="P240" s="8" t="n">
        <v>11</v>
      </c>
      <c r="Q240" s="8" t="n">
        <v>0</v>
      </c>
      <c r="R240" s="8" t="n">
        <v>5</v>
      </c>
      <c r="S240" s="8" t="n">
        <v>2</v>
      </c>
      <c r="T240" s="8" t="n">
        <v>1</v>
      </c>
      <c r="U240" s="8" t="n">
        <v>0</v>
      </c>
      <c r="V240" s="8" t="n">
        <v>0</v>
      </c>
      <c r="W240" s="8" t="n">
        <v>0</v>
      </c>
      <c r="X240" s="8" t="n">
        <v>0</v>
      </c>
      <c r="Y240" s="8" t="inlineStr">
        <is>
          <t>PTFE particles contained in PFR5910M 11; coagent of formula (3) contained in PFR5910M 2; Perhexa 25B 1; perylene pigment A (C.I. Pigment Red 149; Table 2 text says PR 119) 5.0</t>
        </is>
      </c>
      <c r="Z240" s="8" t="n"/>
      <c r="AA240" s="8" t="n"/>
      <c r="AB240" s="8" t="n"/>
      <c r="AC240" s="8" t="n"/>
      <c r="AD240" s="8" t="n">
        <v>43</v>
      </c>
      <c r="AE240" s="8" t="inlineStr">
        <is>
          <t>200C x 72h, 25% compression, O-ring 3.53 mm cross-section (JIS K6262)</t>
        </is>
      </c>
      <c r="AF240" s="8" t="n"/>
      <c r="AG240" s="8" t="n"/>
      <c r="AH240" s="8" t="inlineStr">
        <is>
          <t>parts by weight; CS %</t>
        </is>
      </c>
      <c r="AI240" s="8" t="inlineStr">
        <is>
          <t>Table 2. Press 165C x 20 min, post-cure 230C x 16 h. CS at 260C x 72h = 66%. Ozone exposure (200 g/m3, 160C, 72 h) weight loss 2.29% (not plasma).</t>
        </is>
      </c>
    </row>
    <row r="241">
      <c r="A241" s="8" t="inlineStr">
        <is>
          <t>US11118045B2</t>
        </is>
      </c>
      <c r="B241" s="8" t="inlineStr">
        <is>
          <t>patent</t>
        </is>
      </c>
      <c r="C241" s="8" t="inlineStr">
        <is>
          <t>Valqua, Ltd.</t>
        </is>
      </c>
      <c r="D241" s="8" t="inlineStr">
        <is>
          <t>Perfluoroelastomer composition and sealing material</t>
        </is>
      </c>
      <c r="E241" s="8" t="inlineStr">
        <is>
          <t>https://patents.google.com/patent/US11118045B2/en</t>
        </is>
      </c>
      <c r="F241" s="8" t="inlineStr">
        <is>
          <t>Comparative Example 6</t>
        </is>
      </c>
      <c r="G241" s="8" t="inlineStr">
        <is>
          <t>FFKM</t>
        </is>
      </c>
      <c r="H241" s="8" t="inlineStr">
        <is>
          <t>Tecnoflon PFR5910M (Solvay; TFE/PAVE/I-PAVE FFKM; elastomer part)</t>
        </is>
      </c>
      <c r="I241" s="8" t="inlineStr">
        <is>
          <t>peroxide</t>
        </is>
      </c>
      <c r="J241" s="8" t="n">
        <v>100</v>
      </c>
      <c r="K241" s="8" t="n">
        <v>0</v>
      </c>
      <c r="L241" s="8" t="n">
        <v>0</v>
      </c>
      <c r="M241" s="8" t="n">
        <v>0</v>
      </c>
      <c r="N241" s="8" t="n">
        <v>0</v>
      </c>
      <c r="O241" s="8" t="n">
        <v>0</v>
      </c>
      <c r="P241" s="8" t="n">
        <v>11</v>
      </c>
      <c r="Q241" s="8" t="n">
        <v>0</v>
      </c>
      <c r="R241" s="8" t="n">
        <v>10</v>
      </c>
      <c r="S241" s="8" t="n">
        <v>2</v>
      </c>
      <c r="T241" s="8" t="n">
        <v>1</v>
      </c>
      <c r="U241" s="8" t="n">
        <v>0</v>
      </c>
      <c r="V241" s="8" t="n">
        <v>0</v>
      </c>
      <c r="W241" s="8" t="n">
        <v>0</v>
      </c>
      <c r="X241" s="8" t="n">
        <v>0</v>
      </c>
      <c r="Y241" s="8" t="inlineStr">
        <is>
          <t>PTFE particles contained in PFR5910M 11; coagent of formula (3) contained in PFR5910M 2; Perhexa 25B 1; perylene pigment A (C.I. Pigment Red 149; Table 2 text says PR 119) 10.0</t>
        </is>
      </c>
      <c r="Z241" s="8" t="n"/>
      <c r="AA241" s="8" t="n"/>
      <c r="AB241" s="8" t="n"/>
      <c r="AC241" s="8" t="n"/>
      <c r="AD241" s="8" t="n">
        <v>59</v>
      </c>
      <c r="AE241" s="8" t="inlineStr">
        <is>
          <t>200C x 72h, 25% compression, O-ring 3.53 mm cross-section (JIS K6262)</t>
        </is>
      </c>
      <c r="AF241" s="8" t="n"/>
      <c r="AG241" s="8" t="n"/>
      <c r="AH241" s="8" t="inlineStr">
        <is>
          <t>parts by weight; CS %</t>
        </is>
      </c>
      <c r="AI241" s="8" t="inlineStr">
        <is>
          <t>Table 2. Press 165C x 20 min, post-cure 230C x 16 h. CS at 260C x 72h = 84%. Ozone exposure (200 g/m3, 160C, 72 h) weight loss 3.09% (not plasma).</t>
        </is>
      </c>
    </row>
    <row r="242">
      <c r="A242" s="8" t="inlineStr">
        <is>
          <t>US11118045B2</t>
        </is>
      </c>
      <c r="B242" s="8" t="inlineStr">
        <is>
          <t>patent</t>
        </is>
      </c>
      <c r="C242" s="8" t="inlineStr">
        <is>
          <t>Valqua, Ltd.</t>
        </is>
      </c>
      <c r="D242" s="8" t="inlineStr">
        <is>
          <t>Perfluoroelastomer composition and sealing material</t>
        </is>
      </c>
      <c r="E242" s="8" t="inlineStr">
        <is>
          <t>https://patents.google.com/patent/US11118045B2/en</t>
        </is>
      </c>
      <c r="F242" s="8" t="inlineStr">
        <is>
          <t>Comparative Example 7</t>
        </is>
      </c>
      <c r="G242" s="8" t="inlineStr">
        <is>
          <t>FFKM</t>
        </is>
      </c>
      <c r="H242" s="8" t="inlineStr">
        <is>
          <t>Tecnoflon PFR5910M (Solvay; TFE/PAVE/I-PAVE FFKM; elastomer part)</t>
        </is>
      </c>
      <c r="I242" s="8" t="inlineStr">
        <is>
          <t>peroxide</t>
        </is>
      </c>
      <c r="J242" s="8" t="n">
        <v>100</v>
      </c>
      <c r="K242" s="8" t="n">
        <v>0</v>
      </c>
      <c r="L242" s="8" t="n">
        <v>0</v>
      </c>
      <c r="M242" s="8" t="n">
        <v>0</v>
      </c>
      <c r="N242" s="8" t="n">
        <v>0</v>
      </c>
      <c r="O242" s="8" t="n">
        <v>0</v>
      </c>
      <c r="P242" s="8" t="n">
        <v>11</v>
      </c>
      <c r="Q242" s="8" t="n">
        <v>0</v>
      </c>
      <c r="R242" s="8" t="n">
        <v>20</v>
      </c>
      <c r="S242" s="8" t="n">
        <v>2</v>
      </c>
      <c r="T242" s="8" t="n">
        <v>1</v>
      </c>
      <c r="U242" s="8" t="n">
        <v>0</v>
      </c>
      <c r="V242" s="8" t="n">
        <v>0</v>
      </c>
      <c r="W242" s="8" t="n">
        <v>0</v>
      </c>
      <c r="X242" s="8" t="n">
        <v>0</v>
      </c>
      <c r="Y242" s="8" t="inlineStr">
        <is>
          <t>PTFE particles contained in PFR5910M 11; coagent of formula (3) contained in PFR5910M 2; Perhexa 25B 1; perylene pigment A (C.I. Pigment Red 149; Table 2 text says PR 119) 20.0</t>
        </is>
      </c>
      <c r="Z242" s="8" t="n"/>
      <c r="AA242" s="8" t="n"/>
      <c r="AB242" s="8" t="n"/>
      <c r="AC242" s="8" t="n"/>
      <c r="AD242" s="8" t="n">
        <v>66</v>
      </c>
      <c r="AE242" s="8" t="inlineStr">
        <is>
          <t>200C x 72h, 25% compression, O-ring 3.53 mm cross-section (JIS K6262)</t>
        </is>
      </c>
      <c r="AF242" s="8" t="n"/>
      <c r="AG242" s="8" t="n"/>
      <c r="AH242" s="8" t="inlineStr">
        <is>
          <t>parts by weight; CS %</t>
        </is>
      </c>
      <c r="AI242" s="8" t="inlineStr">
        <is>
          <t>Table 2. Press 165C x 20 min, post-cure 230C x 16 h. CS at 260C x 72h = 91%. Ozone exposure (200 g/m3, 160C, 72 h) weight loss 3.54% (not plasma).</t>
        </is>
      </c>
    </row>
    <row r="243">
      <c r="A243" s="8" t="inlineStr">
        <is>
          <t>US11118045B2</t>
        </is>
      </c>
      <c r="B243" s="8" t="inlineStr">
        <is>
          <t>patent</t>
        </is>
      </c>
      <c r="C243" s="8" t="inlineStr">
        <is>
          <t>Valqua, Ltd.</t>
        </is>
      </c>
      <c r="D243" s="8" t="inlineStr">
        <is>
          <t>Perfluoroelastomer composition and sealing material</t>
        </is>
      </c>
      <c r="E243" s="8" t="inlineStr">
        <is>
          <t>https://patents.google.com/patent/US11118045B2/en</t>
        </is>
      </c>
      <c r="F243" s="8" t="inlineStr">
        <is>
          <t>Example 10</t>
        </is>
      </c>
      <c r="G243" s="8" t="inlineStr">
        <is>
          <t>FFKM</t>
        </is>
      </c>
      <c r="H243" s="8" t="inlineStr">
        <is>
          <t>3M PFE 191TZ (FFKM; placed in FFKM 2 row by inference, see notes)</t>
        </is>
      </c>
      <c r="I243" s="8" t="inlineStr">
        <is>
          <t>nitrile_triazine</t>
        </is>
      </c>
      <c r="J243" s="8" t="n">
        <v>100</v>
      </c>
      <c r="K243" s="8" t="n">
        <v>15</v>
      </c>
      <c r="L243" s="8" t="n">
        <v>0</v>
      </c>
      <c r="M243" s="8" t="n">
        <v>0</v>
      </c>
      <c r="N243" s="8" t="n">
        <v>0</v>
      </c>
      <c r="O243" s="8" t="n">
        <v>0</v>
      </c>
      <c r="P243" s="8" t="n">
        <v>0</v>
      </c>
      <c r="Q243" s="8" t="n">
        <v>0</v>
      </c>
      <c r="R243" s="8" t="n">
        <v>0.3</v>
      </c>
      <c r="S243" s="8" t="n">
        <v>0</v>
      </c>
      <c r="T243" s="8" t="n">
        <v>0</v>
      </c>
      <c r="U243" s="8" t="n">
        <v>1</v>
      </c>
      <c r="V243" s="8" t="n">
        <v>0</v>
      </c>
      <c r="W243" s="8" t="n">
        <v>0</v>
      </c>
      <c r="X243" s="8" t="n">
        <v>0</v>
      </c>
      <c r="Y243" s="8" t="inlineStr">
        <is>
          <t>carbon black N990 MT 15; triazine catalyst 3M PFE 300C 1; perylene pigment B (C.I. Pigment Red 178) 0.3</t>
        </is>
      </c>
      <c r="Z243" s="8" t="n"/>
      <c r="AA243" s="8" t="n"/>
      <c r="AB243" s="8" t="n"/>
      <c r="AC243" s="8" t="n"/>
      <c r="AD243" s="8" t="n">
        <v>11</v>
      </c>
      <c r="AE243" s="8" t="inlineStr">
        <is>
          <t>200C x 72h, 25% compression, O-ring 3.53 mm cross-section (JIS K6262)</t>
        </is>
      </c>
      <c r="AF243" s="8" t="n"/>
      <c r="AG243" s="8" t="n"/>
      <c r="AH243" s="8" t="inlineStr">
        <is>
          <t>parts by weight; CS %</t>
        </is>
      </c>
      <c r="AI243" s="8" t="inlineStr">
        <is>
          <t>Press 165C x 10 min, post-cure 150C x 7 h + 300C x 4 h. CS at 260C x 72h = 9%. Ozone weight loss 1.79%. The '100' appears on the row line between FFKM 1 and FFKM 2 in the Google Patents table; assigned to FFKM 2 (PFE 191TZ) since FFKM 1 row is blank for this column and cure is triazine.</t>
        </is>
      </c>
    </row>
    <row r="244">
      <c r="A244" s="8" t="inlineStr">
        <is>
          <t>US11118045B2</t>
        </is>
      </c>
      <c r="B244" s="8" t="inlineStr">
        <is>
          <t>patent</t>
        </is>
      </c>
      <c r="C244" s="8" t="inlineStr">
        <is>
          <t>Valqua, Ltd.</t>
        </is>
      </c>
      <c r="D244" s="8" t="inlineStr">
        <is>
          <t>Perfluoroelastomer composition and sealing material</t>
        </is>
      </c>
      <c r="E244" s="8" t="inlineStr">
        <is>
          <t>https://patents.google.com/patent/US11118045B2/en</t>
        </is>
      </c>
      <c r="F244" s="8" t="inlineStr">
        <is>
          <t>Comparative Example 2</t>
        </is>
      </c>
      <c r="G244" s="8" t="inlineStr">
        <is>
          <t>FFKM</t>
        </is>
      </c>
      <c r="H244" s="8" t="inlineStr">
        <is>
          <t>3M PFE 191TZ (FFKM; placed in FFKM 2 row by inference, see notes)</t>
        </is>
      </c>
      <c r="I244" s="8" t="inlineStr">
        <is>
          <t>nitrile_triazine</t>
        </is>
      </c>
      <c r="J244" s="8" t="n">
        <v>100</v>
      </c>
      <c r="K244" s="8" t="n">
        <v>15</v>
      </c>
      <c r="L244" s="8" t="n">
        <v>0</v>
      </c>
      <c r="M244" s="8" t="n">
        <v>0</v>
      </c>
      <c r="N244" s="8" t="n">
        <v>0</v>
      </c>
      <c r="O244" s="8" t="n">
        <v>0</v>
      </c>
      <c r="P244" s="8" t="n">
        <v>0</v>
      </c>
      <c r="Q244" s="8" t="n">
        <v>0</v>
      </c>
      <c r="R244" s="8" t="n">
        <v>0</v>
      </c>
      <c r="S244" s="8" t="n">
        <v>0</v>
      </c>
      <c r="T244" s="8" t="n">
        <v>0</v>
      </c>
      <c r="U244" s="8" t="n">
        <v>1</v>
      </c>
      <c r="V244" s="8" t="n">
        <v>0</v>
      </c>
      <c r="W244" s="8" t="n">
        <v>0</v>
      </c>
      <c r="X244" s="8" t="n">
        <v>0</v>
      </c>
      <c r="Y244" s="8" t="inlineStr">
        <is>
          <t>carbon black N990 MT 15; triazine catalyst 3M PFE 300C 1</t>
        </is>
      </c>
      <c r="Z244" s="8" t="n"/>
      <c r="AA244" s="8" t="n"/>
      <c r="AB244" s="8" t="n"/>
      <c r="AC244" s="8" t="n"/>
      <c r="AD244" s="8" t="n">
        <v>8</v>
      </c>
      <c r="AE244" s="8" t="inlineStr">
        <is>
          <t>200C x 72h, 25% compression, O-ring 3.53 mm cross-section (JIS K6262)</t>
        </is>
      </c>
      <c r="AF244" s="8" t="n"/>
      <c r="AG244" s="8" t="n"/>
      <c r="AH244" s="8" t="inlineStr">
        <is>
          <t>parts by weight; CS %</t>
        </is>
      </c>
      <c r="AI244" s="8" t="inlineStr">
        <is>
          <t>Press 165C x 10 min, post-cure 150C x 7 h + 300C x 4 h. CS at 260C x 72h = 10%. Ozone weight loss 1.88%. '100' assigned to FFKM 2 (PFE 191TZ), see Example 10 note.</t>
        </is>
      </c>
    </row>
    <row r="245">
      <c r="A245" s="8" t="inlineStr">
        <is>
          <t>US11118045B2</t>
        </is>
      </c>
      <c r="B245" s="8" t="inlineStr">
        <is>
          <t>patent</t>
        </is>
      </c>
      <c r="C245" s="8" t="inlineStr">
        <is>
          <t>Valqua, Ltd.</t>
        </is>
      </c>
      <c r="D245" s="8" t="inlineStr">
        <is>
          <t>Perfluoroelastomer composition and sealing material</t>
        </is>
      </c>
      <c r="E245" s="8" t="inlineStr">
        <is>
          <t>https://patents.google.com/patent/US11118045B2/en</t>
        </is>
      </c>
      <c r="F245" s="8" t="inlineStr">
        <is>
          <t>Example 11</t>
        </is>
      </c>
      <c r="G245" s="8" t="inlineStr">
        <is>
          <t>FFKM</t>
        </is>
      </c>
      <c r="H245" s="8" t="inlineStr">
        <is>
          <t>3M PFE 133TBZ elastomer part 93 + 3M PFE 01CZ elastomer part 7</t>
        </is>
      </c>
      <c r="I245" s="8" t="inlineStr">
        <is>
          <t>nitrile_triazine</t>
        </is>
      </c>
      <c r="J245" s="8" t="n">
        <v>100</v>
      </c>
      <c r="K245" s="8" t="n">
        <v>0</v>
      </c>
      <c r="L245" s="8" t="n">
        <v>2</v>
      </c>
      <c r="M245" s="8" t="n">
        <v>0</v>
      </c>
      <c r="N245" s="8" t="n">
        <v>0</v>
      </c>
      <c r="O245" s="8" t="n">
        <v>0</v>
      </c>
      <c r="P245" s="8" t="n">
        <v>23</v>
      </c>
      <c r="Q245" s="8" t="n">
        <v>0</v>
      </c>
      <c r="R245" s="8" t="n">
        <v>0.4</v>
      </c>
      <c r="S245" s="8" t="n">
        <v>0</v>
      </c>
      <c r="T245" s="8" t="n">
        <v>0</v>
      </c>
      <c r="U245" s="8" t="n">
        <v>2</v>
      </c>
      <c r="V245" s="8" t="n">
        <v>0</v>
      </c>
      <c r="W245" s="8" t="n">
        <v>0</v>
      </c>
      <c r="X245" s="8" t="n">
        <v>0</v>
      </c>
      <c r="Y245" s="8" t="inlineStr">
        <is>
          <t>fluororesin contained in PFE 133TBZ 23; triazine catalyst contained in PFE 01CZ 2; silica Aerosil R972 2; perylene pigment A (C.I. Pigment Red 149) 0.4</t>
        </is>
      </c>
      <c r="Z245" s="8" t="n"/>
      <c r="AA245" s="8" t="n"/>
      <c r="AB245" s="8" t="n"/>
      <c r="AC245" s="8" t="n"/>
      <c r="AD245" s="8" t="n">
        <v>16</v>
      </c>
      <c r="AE245" s="8" t="inlineStr">
        <is>
          <t>200C x 72h, 25% compression, O-ring 3.53 mm cross-section (JIS K6262)</t>
        </is>
      </c>
      <c r="AF245" s="8" t="n"/>
      <c r="AG245" s="8" t="n"/>
      <c r="AH245" s="8" t="inlineStr">
        <is>
          <t>parts by weight; CS %</t>
        </is>
      </c>
      <c r="AI245" s="8" t="inlineStr">
        <is>
          <t>Press 188C x 15 min, post-cure 250C x 24 h. CS at 260C x 72h = 43%. Ozone weight loss 1.12%. Silica row labelled 'Silion' in table = Aerosil R972.</t>
        </is>
      </c>
    </row>
    <row r="246">
      <c r="A246" s="8" t="inlineStr">
        <is>
          <t>US11118045B2</t>
        </is>
      </c>
      <c r="B246" s="8" t="inlineStr">
        <is>
          <t>patent</t>
        </is>
      </c>
      <c r="C246" s="8" t="inlineStr">
        <is>
          <t>Valqua, Ltd.</t>
        </is>
      </c>
      <c r="D246" s="8" t="inlineStr">
        <is>
          <t>Perfluoroelastomer composition and sealing material</t>
        </is>
      </c>
      <c r="E246" s="8" t="inlineStr">
        <is>
          <t>https://patents.google.com/patent/US11118045B2/en</t>
        </is>
      </c>
      <c r="F246" s="8" t="inlineStr">
        <is>
          <t>Comparative Example 3</t>
        </is>
      </c>
      <c r="G246" s="8" t="inlineStr">
        <is>
          <t>FFKM</t>
        </is>
      </c>
      <c r="H246" s="8" t="inlineStr">
        <is>
          <t>3M PFE 133TBZ elastomer part 93 + 3M PFE 01CZ elastomer part 7</t>
        </is>
      </c>
      <c r="I246" s="8" t="inlineStr">
        <is>
          <t>nitrile_triazine</t>
        </is>
      </c>
      <c r="J246" s="8" t="n">
        <v>100</v>
      </c>
      <c r="K246" s="8" t="n">
        <v>0</v>
      </c>
      <c r="L246" s="8" t="n">
        <v>2</v>
      </c>
      <c r="M246" s="8" t="n">
        <v>0</v>
      </c>
      <c r="N246" s="8" t="n">
        <v>0</v>
      </c>
      <c r="O246" s="8" t="n">
        <v>0</v>
      </c>
      <c r="P246" s="8" t="n">
        <v>23</v>
      </c>
      <c r="Q246" s="8" t="n">
        <v>0</v>
      </c>
      <c r="R246" s="8" t="n">
        <v>0</v>
      </c>
      <c r="S246" s="8" t="n">
        <v>0</v>
      </c>
      <c r="T246" s="8" t="n">
        <v>0</v>
      </c>
      <c r="U246" s="8" t="n">
        <v>2</v>
      </c>
      <c r="V246" s="8" t="n">
        <v>0</v>
      </c>
      <c r="W246" s="8" t="n">
        <v>0</v>
      </c>
      <c r="X246" s="8" t="n">
        <v>0</v>
      </c>
      <c r="Y246" s="8" t="inlineStr">
        <is>
          <t>fluororesin contained in PFE 133TBZ 23; triazine catalyst contained in PFE 01CZ 2; silica Aerosil R972 2</t>
        </is>
      </c>
      <c r="Z246" s="8" t="n"/>
      <c r="AA246" s="8" t="n"/>
      <c r="AB246" s="8" t="n"/>
      <c r="AC246" s="8" t="n"/>
      <c r="AD246" s="8" t="n">
        <v>18</v>
      </c>
      <c r="AE246" s="8" t="inlineStr">
        <is>
          <t>200C x 72h, 25% compression, O-ring 3.53 mm cross-section (JIS K6262)</t>
        </is>
      </c>
      <c r="AF246" s="8" t="n"/>
      <c r="AG246" s="8" t="n"/>
      <c r="AH246" s="8" t="inlineStr">
        <is>
          <t>parts by weight; CS %</t>
        </is>
      </c>
      <c r="AI246" s="8" t="inlineStr">
        <is>
          <t>Press 188C x 15 min, post-cure 250C x 24 h. CS at 260C x 72h = 47%. Ozone weight loss 1.22%. Silica row labelled 'Silion' in table = Aerosil R972.</t>
        </is>
      </c>
    </row>
    <row r="247">
      <c r="A247" s="8" t="inlineStr">
        <is>
          <t>US8349965B2</t>
        </is>
      </c>
      <c r="B247" s="8" t="inlineStr">
        <is>
          <t>patent</t>
        </is>
      </c>
      <c r="C247" s="8" t="inlineStr">
        <is>
          <t>Nippon Valqua Industries, Ltd.</t>
        </is>
      </c>
      <c r="D247" s="8" t="inlineStr">
        <is>
          <t>Fluororubber composition capable of forming crack-resistant seal and crack-resistant seal formed from the composition</t>
        </is>
      </c>
      <c r="E247" s="8" t="inlineStr">
        <is>
          <t>https://patents.google.com/patent/US8349965B2/en</t>
        </is>
      </c>
      <c r="F247" s="8" t="inlineStr">
        <is>
          <t>Example 1</t>
        </is>
      </c>
      <c r="G247" s="8" t="inlineStr">
        <is>
          <t>FKM</t>
        </is>
      </c>
      <c r="H247" s="8" t="inlineStr">
        <is>
          <t>DAI-EL G912 (VDF/HFP/TFE)</t>
        </is>
      </c>
      <c r="I247" s="8" t="inlineStr">
        <is>
          <t>peroxide</t>
        </is>
      </c>
      <c r="J247" s="8" t="n">
        <v>100</v>
      </c>
      <c r="K247" s="8" t="n">
        <v>0</v>
      </c>
      <c r="L247" s="8" t="n">
        <v>0</v>
      </c>
      <c r="M247" s="8" t="n">
        <v>0</v>
      </c>
      <c r="N247" s="8" t="n">
        <v>0</v>
      </c>
      <c r="O247" s="8" t="n">
        <v>0</v>
      </c>
      <c r="P247" s="8" t="n">
        <v>0</v>
      </c>
      <c r="Q247" s="8" t="n">
        <v>0</v>
      </c>
      <c r="R247" s="8" t="n">
        <v>0</v>
      </c>
      <c r="S247" s="8" t="n">
        <v>4</v>
      </c>
      <c r="T247" s="8" t="n">
        <v>1.5</v>
      </c>
      <c r="U247" s="8" t="n">
        <v>0</v>
      </c>
      <c r="V247" s="8" t="n">
        <v>0.5</v>
      </c>
      <c r="W247" s="8" t="n">
        <v>0</v>
      </c>
      <c r="X247" s="8" t="n">
        <v>0</v>
      </c>
      <c r="Y247" s="8" t="inlineStr">
        <is>
          <t>TAIC 4; Perhexa 25B 1.5; bisphenol AF 0.5 (polyol additive)</t>
        </is>
      </c>
      <c r="Z247" s="8" t="n"/>
      <c r="AA247" s="8" t="n"/>
      <c r="AB247" s="8" t="n"/>
      <c r="AC247" s="8" t="n"/>
      <c r="AD247" s="8" t="n">
        <v>24</v>
      </c>
      <c r="AE247" s="8" t="inlineStr">
        <is>
          <t>200C x 70h, 25% compression, AS214 O-ring (JIS K6262)</t>
        </is>
      </c>
      <c r="AF247" s="8" t="n">
        <v>2.1</v>
      </c>
      <c r="AG247" s="8" t="inlineStr">
        <is>
          <t>O2:CF4=9:1, RF 300 W, 200 sccm, 1 torr, 6 h, sample 10 cm from electrode (Hirano Koh-On plate apparatus)</t>
        </is>
      </c>
      <c r="AH247" s="8" t="inlineStr">
        <is>
          <t>parts by weight; CS %; weight loss %</t>
        </is>
      </c>
      <c r="AI247" s="8" t="inlineStr">
        <is>
          <t>Press 160C x 30 min, post-cure 180C x 16 h (vacuum). Plasma crack test (2 h, 28% stretch): No crack.</t>
        </is>
      </c>
    </row>
    <row r="248">
      <c r="A248" s="8" t="inlineStr">
        <is>
          <t>US8349965B2</t>
        </is>
      </c>
      <c r="B248" s="8" t="inlineStr">
        <is>
          <t>patent</t>
        </is>
      </c>
      <c r="C248" s="8" t="inlineStr">
        <is>
          <t>Nippon Valqua Industries, Ltd.</t>
        </is>
      </c>
      <c r="D248" s="8" t="inlineStr">
        <is>
          <t>Fluororubber composition capable of forming crack-resistant seal and crack-resistant seal formed from the composition</t>
        </is>
      </c>
      <c r="E248" s="8" t="inlineStr">
        <is>
          <t>https://patents.google.com/patent/US8349965B2/en</t>
        </is>
      </c>
      <c r="F248" s="8" t="inlineStr">
        <is>
          <t>Example 2</t>
        </is>
      </c>
      <c r="G248" s="8" t="inlineStr">
        <is>
          <t>FKM</t>
        </is>
      </c>
      <c r="H248" s="8" t="inlineStr">
        <is>
          <t>DAI-EL LT302 (VDF/PAVE/TFE)</t>
        </is>
      </c>
      <c r="I248" s="8" t="inlineStr">
        <is>
          <t>peroxide</t>
        </is>
      </c>
      <c r="J248" s="8" t="n">
        <v>100</v>
      </c>
      <c r="K248" s="8" t="n">
        <v>0</v>
      </c>
      <c r="L248" s="8" t="n">
        <v>0</v>
      </c>
      <c r="M248" s="8" t="n">
        <v>0</v>
      </c>
      <c r="N248" s="8" t="n">
        <v>0</v>
      </c>
      <c r="O248" s="8" t="n">
        <v>0</v>
      </c>
      <c r="P248" s="8" t="n">
        <v>0</v>
      </c>
      <c r="Q248" s="8" t="n">
        <v>0</v>
      </c>
      <c r="R248" s="8" t="n">
        <v>0</v>
      </c>
      <c r="S248" s="8" t="n">
        <v>4</v>
      </c>
      <c r="T248" s="8" t="n">
        <v>1.5</v>
      </c>
      <c r="U248" s="8" t="n">
        <v>0</v>
      </c>
      <c r="V248" s="8" t="n">
        <v>0.5</v>
      </c>
      <c r="W248" s="8" t="n">
        <v>0</v>
      </c>
      <c r="X248" s="8" t="n">
        <v>0</v>
      </c>
      <c r="Y248" s="8" t="inlineStr">
        <is>
          <t>TAIC 4; Perhexa 25B 1.5; bisphenol AF 0.5 (polyol additive)</t>
        </is>
      </c>
      <c r="Z248" s="8" t="n"/>
      <c r="AA248" s="8" t="n"/>
      <c r="AB248" s="8" t="n"/>
      <c r="AC248" s="8" t="n"/>
      <c r="AD248" s="8" t="n">
        <v>36</v>
      </c>
      <c r="AE248" s="8" t="inlineStr">
        <is>
          <t>200C x 70h, 25% compression, AS214 O-ring (JIS K6262)</t>
        </is>
      </c>
      <c r="AF248" s="8" t="n">
        <v>4.3</v>
      </c>
      <c r="AG248" s="8" t="inlineStr">
        <is>
          <t>O2:CF4=9:1, RF 300 W, 200 sccm, 1 torr, 6 h, sample 10 cm from electrode (Hirano Koh-On plate apparatus)</t>
        </is>
      </c>
      <c r="AH248" s="8" t="inlineStr">
        <is>
          <t>parts by weight; CS %; weight loss %</t>
        </is>
      </c>
      <c r="AI248" s="8" t="inlineStr">
        <is>
          <t>Press 160C x 30 min, post-cure 180C x 16 h (vacuum). Plasma crack test (2 h, 28% stretch): No crack.</t>
        </is>
      </c>
    </row>
    <row r="249">
      <c r="A249" s="8" t="inlineStr">
        <is>
          <t>US8349965B2</t>
        </is>
      </c>
      <c r="B249" s="8" t="inlineStr">
        <is>
          <t>patent</t>
        </is>
      </c>
      <c r="C249" s="8" t="inlineStr">
        <is>
          <t>Nippon Valqua Industries, Ltd.</t>
        </is>
      </c>
      <c r="D249" s="8" t="inlineStr">
        <is>
          <t>Fluororubber composition capable of forming crack-resistant seal and crack-resistant seal formed from the composition</t>
        </is>
      </c>
      <c r="E249" s="8" t="inlineStr">
        <is>
          <t>https://patents.google.com/patent/US8349965B2/en</t>
        </is>
      </c>
      <c r="F249" s="8" t="inlineStr">
        <is>
          <t>Example 3</t>
        </is>
      </c>
      <c r="G249" s="8" t="inlineStr">
        <is>
          <t>FKM</t>
        </is>
      </c>
      <c r="H249" s="8" t="inlineStr">
        <is>
          <t>DAI-EL G912 (VDF/HFP/TFE) 50 + DAI-EL LT302 (VDF/PAVE/TFE) 50</t>
        </is>
      </c>
      <c r="I249" s="8" t="inlineStr">
        <is>
          <t>peroxide</t>
        </is>
      </c>
      <c r="J249" s="8" t="n">
        <v>100</v>
      </c>
      <c r="K249" s="8" t="n">
        <v>0</v>
      </c>
      <c r="L249" s="8" t="n">
        <v>0</v>
      </c>
      <c r="M249" s="8" t="n">
        <v>0</v>
      </c>
      <c r="N249" s="8" t="n">
        <v>0</v>
      </c>
      <c r="O249" s="8" t="n">
        <v>0</v>
      </c>
      <c r="P249" s="8" t="n">
        <v>0</v>
      </c>
      <c r="Q249" s="8" t="n">
        <v>0</v>
      </c>
      <c r="R249" s="8" t="n">
        <v>0</v>
      </c>
      <c r="S249" s="8" t="n">
        <v>4</v>
      </c>
      <c r="T249" s="8" t="n">
        <v>1.5</v>
      </c>
      <c r="U249" s="8" t="n">
        <v>0</v>
      </c>
      <c r="V249" s="8" t="n">
        <v>0.5</v>
      </c>
      <c r="W249" s="8" t="n">
        <v>0</v>
      </c>
      <c r="X249" s="8" t="n">
        <v>0</v>
      </c>
      <c r="Y249" s="8" t="inlineStr">
        <is>
          <t>TAIC 4; Perhexa 25B 1.5; bisphenol AF 0.5 (polyol additive)</t>
        </is>
      </c>
      <c r="Z249" s="8" t="n"/>
      <c r="AA249" s="8" t="n"/>
      <c r="AB249" s="8" t="n"/>
      <c r="AC249" s="8" t="n"/>
      <c r="AD249" s="8" t="n">
        <v>29</v>
      </c>
      <c r="AE249" s="8" t="inlineStr">
        <is>
          <t>200C x 70h, 25% compression, AS214 O-ring (JIS K6262)</t>
        </is>
      </c>
      <c r="AF249" s="8" t="n">
        <v>3.5</v>
      </c>
      <c r="AG249" s="8" t="inlineStr">
        <is>
          <t>O2:CF4=9:1, RF 300 W, 200 sccm, 1 torr, 6 h, sample 10 cm from electrode (Hirano Koh-On plate apparatus)</t>
        </is>
      </c>
      <c r="AH249" s="8" t="inlineStr">
        <is>
          <t>parts by weight; CS %; weight loss %</t>
        </is>
      </c>
      <c r="AI249" s="8" t="inlineStr">
        <is>
          <t>Press 160C x 30 min, post-cure 180C x 16 h (vacuum). Plasma crack test (2 h, 28% stretch): No crack.</t>
        </is>
      </c>
    </row>
    <row r="250">
      <c r="A250" s="8" t="inlineStr">
        <is>
          <t>US8349965B2</t>
        </is>
      </c>
      <c r="B250" s="8" t="inlineStr">
        <is>
          <t>patent</t>
        </is>
      </c>
      <c r="C250" s="8" t="inlineStr">
        <is>
          <t>Nippon Valqua Industries, Ltd.</t>
        </is>
      </c>
      <c r="D250" s="8" t="inlineStr">
        <is>
          <t>Fluororubber composition capable of forming crack-resistant seal and crack-resistant seal formed from the composition</t>
        </is>
      </c>
      <c r="E250" s="8" t="inlineStr">
        <is>
          <t>https://patents.google.com/patent/US8349965B2/en</t>
        </is>
      </c>
      <c r="F250" s="8" t="inlineStr">
        <is>
          <t>Example 4</t>
        </is>
      </c>
      <c r="G250" s="8" t="inlineStr">
        <is>
          <t>FKM</t>
        </is>
      </c>
      <c r="H250" s="8" t="inlineStr">
        <is>
          <t>DAI-EL G912 (VDF/HFP/TFE)</t>
        </is>
      </c>
      <c r="I250" s="8" t="inlineStr">
        <is>
          <t>peroxide</t>
        </is>
      </c>
      <c r="J250" s="8" t="n">
        <v>100</v>
      </c>
      <c r="K250" s="8" t="n">
        <v>0</v>
      </c>
      <c r="L250" s="8" t="n">
        <v>0</v>
      </c>
      <c r="M250" s="8" t="n">
        <v>0</v>
      </c>
      <c r="N250" s="8" t="n">
        <v>0</v>
      </c>
      <c r="O250" s="8" t="n">
        <v>0</v>
      </c>
      <c r="P250" s="8" t="n">
        <v>0</v>
      </c>
      <c r="Q250" s="8" t="n">
        <v>0</v>
      </c>
      <c r="R250" s="8" t="n">
        <v>0</v>
      </c>
      <c r="S250" s="8" t="n">
        <v>4</v>
      </c>
      <c r="T250" s="8" t="n">
        <v>1.5</v>
      </c>
      <c r="U250" s="8" t="n">
        <v>0</v>
      </c>
      <c r="V250" s="8" t="n">
        <v>0.1</v>
      </c>
      <c r="W250" s="8" t="n">
        <v>0</v>
      </c>
      <c r="X250" s="8" t="n">
        <v>0</v>
      </c>
      <c r="Y250" s="8" t="inlineStr">
        <is>
          <t>TAIC 4; Perhexa 25B 1.5; bisphenol AF 0.1 (polyol additive)</t>
        </is>
      </c>
      <c r="Z250" s="8" t="n"/>
      <c r="AA250" s="8" t="n"/>
      <c r="AB250" s="8" t="n"/>
      <c r="AC250" s="8" t="n"/>
      <c r="AD250" s="8" t="n">
        <v>25</v>
      </c>
      <c r="AE250" s="8" t="inlineStr">
        <is>
          <t>200C x 70h, 25% compression, AS214 O-ring (JIS K6262)</t>
        </is>
      </c>
      <c r="AF250" s="8" t="n">
        <v>2</v>
      </c>
      <c r="AG250" s="8" t="inlineStr">
        <is>
          <t>O2:CF4=9:1, RF 300 W, 200 sccm, 1 torr, 6 h, sample 10 cm from electrode (Hirano Koh-On plate apparatus)</t>
        </is>
      </c>
      <c r="AH250" s="8" t="inlineStr">
        <is>
          <t>parts by weight; CS %; weight loss %</t>
        </is>
      </c>
      <c r="AI250" s="8" t="inlineStr">
        <is>
          <t>Press 160C x 30 min, post-cure 180C x 16 h (vacuum). Plasma crack test (2 h, 28% stretch): No crack. Table total 105.65 vs sum 105.6 (BPAF printed 0.10).</t>
        </is>
      </c>
    </row>
    <row r="251">
      <c r="A251" s="8" t="inlineStr">
        <is>
          <t>US8349965B2</t>
        </is>
      </c>
      <c r="B251" s="8" t="inlineStr">
        <is>
          <t>patent</t>
        </is>
      </c>
      <c r="C251" s="8" t="inlineStr">
        <is>
          <t>Nippon Valqua Industries, Ltd.</t>
        </is>
      </c>
      <c r="D251" s="8" t="inlineStr">
        <is>
          <t>Fluororubber composition capable of forming crack-resistant seal and crack-resistant seal formed from the composition</t>
        </is>
      </c>
      <c r="E251" s="8" t="inlineStr">
        <is>
          <t>https://patents.google.com/patent/US8349965B2/en</t>
        </is>
      </c>
      <c r="F251" s="8" t="inlineStr">
        <is>
          <t>Example 5</t>
        </is>
      </c>
      <c r="G251" s="8" t="inlineStr">
        <is>
          <t>FKM</t>
        </is>
      </c>
      <c r="H251" s="8" t="inlineStr">
        <is>
          <t>DAI-EL G912 (VDF/HFP/TFE)</t>
        </is>
      </c>
      <c r="I251" s="8" t="inlineStr">
        <is>
          <t>peroxide</t>
        </is>
      </c>
      <c r="J251" s="8" t="n">
        <v>100</v>
      </c>
      <c r="K251" s="8" t="n">
        <v>0</v>
      </c>
      <c r="L251" s="8" t="n">
        <v>0</v>
      </c>
      <c r="M251" s="8" t="n">
        <v>0</v>
      </c>
      <c r="N251" s="8" t="n">
        <v>0</v>
      </c>
      <c r="O251" s="8" t="n">
        <v>0</v>
      </c>
      <c r="P251" s="8" t="n">
        <v>0</v>
      </c>
      <c r="Q251" s="8" t="n">
        <v>0</v>
      </c>
      <c r="R251" s="8" t="n">
        <v>0</v>
      </c>
      <c r="S251" s="8" t="n">
        <v>4</v>
      </c>
      <c r="T251" s="8" t="n">
        <v>1.5</v>
      </c>
      <c r="U251" s="8" t="n">
        <v>0</v>
      </c>
      <c r="V251" s="8" t="n">
        <v>1</v>
      </c>
      <c r="W251" s="8" t="n">
        <v>0</v>
      </c>
      <c r="X251" s="8" t="n">
        <v>0</v>
      </c>
      <c r="Y251" s="8" t="inlineStr">
        <is>
          <t>TAIC 4; Perhexa 25B 1.5; bisphenol AF 1.0 (polyol additive)</t>
        </is>
      </c>
      <c r="Z251" s="8" t="n"/>
      <c r="AA251" s="8" t="n"/>
      <c r="AB251" s="8" t="n"/>
      <c r="AC251" s="8" t="n"/>
      <c r="AD251" s="8" t="n">
        <v>38</v>
      </c>
      <c r="AE251" s="8" t="inlineStr">
        <is>
          <t>200C x 70h, 25% compression, AS214 O-ring (JIS K6262)</t>
        </is>
      </c>
      <c r="AF251" s="8" t="n">
        <v>2.1</v>
      </c>
      <c r="AG251" s="8" t="inlineStr">
        <is>
          <t>O2:CF4=9:1, RF 300 W, 200 sccm, 1 torr, 6 h, sample 10 cm from electrode (Hirano Koh-On plate apparatus)</t>
        </is>
      </c>
      <c r="AH251" s="8" t="inlineStr">
        <is>
          <t>parts by weight; CS %; weight loss %</t>
        </is>
      </c>
      <c r="AI251" s="8" t="inlineStr">
        <is>
          <t>Press 160C x 30 min, post-cure 180C x 16 h (vacuum). Plasma crack test (2 h, 28% stretch): No crack. Table total 108.5 vs sum of listed parts 106.5.</t>
        </is>
      </c>
    </row>
    <row r="252">
      <c r="A252" s="8" t="inlineStr">
        <is>
          <t>US8349965B2</t>
        </is>
      </c>
      <c r="B252" s="8" t="inlineStr">
        <is>
          <t>patent</t>
        </is>
      </c>
      <c r="C252" s="8" t="inlineStr">
        <is>
          <t>Nippon Valqua Industries, Ltd.</t>
        </is>
      </c>
      <c r="D252" s="8" t="inlineStr">
        <is>
          <t>Fluororubber composition capable of forming crack-resistant seal and crack-resistant seal formed from the composition</t>
        </is>
      </c>
      <c r="E252" s="8" t="inlineStr">
        <is>
          <t>https://patents.google.com/patent/US8349965B2/en</t>
        </is>
      </c>
      <c r="F252" s="8" t="inlineStr">
        <is>
          <t>Example 6</t>
        </is>
      </c>
      <c r="G252" s="8" t="inlineStr">
        <is>
          <t>FKM</t>
        </is>
      </c>
      <c r="H252" s="8" t="inlineStr">
        <is>
          <t>DAI-EL G912 (VDF/HFP/TFE)</t>
        </is>
      </c>
      <c r="I252" s="8" t="inlineStr">
        <is>
          <t>peroxide</t>
        </is>
      </c>
      <c r="J252" s="8" t="n">
        <v>100</v>
      </c>
      <c r="K252" s="8" t="n">
        <v>0</v>
      </c>
      <c r="L252" s="8" t="n">
        <v>0</v>
      </c>
      <c r="M252" s="8" t="n">
        <v>0</v>
      </c>
      <c r="N252" s="8" t="n">
        <v>0</v>
      </c>
      <c r="O252" s="8" t="n">
        <v>0</v>
      </c>
      <c r="P252" s="8" t="n">
        <v>0</v>
      </c>
      <c r="Q252" s="8" t="n">
        <v>0</v>
      </c>
      <c r="R252" s="8" t="n">
        <v>0</v>
      </c>
      <c r="S252" s="8" t="n">
        <v>4</v>
      </c>
      <c r="T252" s="8" t="n">
        <v>1.5</v>
      </c>
      <c r="U252" s="8" t="n">
        <v>0</v>
      </c>
      <c r="V252" s="8" t="n">
        <v>3</v>
      </c>
      <c r="W252" s="8" t="n">
        <v>0</v>
      </c>
      <c r="X252" s="8" t="n">
        <v>0</v>
      </c>
      <c r="Y252" s="8" t="inlineStr">
        <is>
          <t>TAIC 4; Perhexa 25B 1.5; bisphenol AF 3 (polyol additive)</t>
        </is>
      </c>
      <c r="Z252" s="8" t="n"/>
      <c r="AA252" s="8" t="n"/>
      <c r="AB252" s="8" t="n"/>
      <c r="AC252" s="8" t="n"/>
      <c r="AD252" s="8" t="n">
        <v>56</v>
      </c>
      <c r="AE252" s="8" t="inlineStr">
        <is>
          <t>200C x 70h, 25% compression, AS214 O-ring (JIS K6262)</t>
        </is>
      </c>
      <c r="AF252" s="8" t="n">
        <v>2.3</v>
      </c>
      <c r="AG252" s="8" t="inlineStr">
        <is>
          <t>O2:CF4=9:1, RF 300 W, 200 sccm, 1 torr, 6 h, sample 10 cm from electrode (Hirano Koh-On plate apparatus)</t>
        </is>
      </c>
      <c r="AH252" s="8" t="inlineStr">
        <is>
          <t>parts by weight; CS %; weight loss %</t>
        </is>
      </c>
      <c r="AI252" s="8" t="inlineStr">
        <is>
          <t>Press 160C x 30 min, post-cure 180C x 16 h (vacuum). Plasma crack test (2 h, 28% stretch): No crack.</t>
        </is>
      </c>
    </row>
    <row r="253">
      <c r="A253" s="8" t="inlineStr">
        <is>
          <t>US8349965B2</t>
        </is>
      </c>
      <c r="B253" s="8" t="inlineStr">
        <is>
          <t>patent</t>
        </is>
      </c>
      <c r="C253" s="8" t="inlineStr">
        <is>
          <t>Nippon Valqua Industries, Ltd.</t>
        </is>
      </c>
      <c r="D253" s="8" t="inlineStr">
        <is>
          <t>Fluororubber composition capable of forming crack-resistant seal and crack-resistant seal formed from the composition</t>
        </is>
      </c>
      <c r="E253" s="8" t="inlineStr">
        <is>
          <t>https://patents.google.com/patent/US8349965B2/en</t>
        </is>
      </c>
      <c r="F253" s="8" t="inlineStr">
        <is>
          <t>Example 7</t>
        </is>
      </c>
      <c r="G253" s="8" t="inlineStr">
        <is>
          <t>FKM</t>
        </is>
      </c>
      <c r="H253" s="8" t="inlineStr">
        <is>
          <t>DAI-EL G801 (VDF/HFP)</t>
        </is>
      </c>
      <c r="I253" s="8" t="inlineStr">
        <is>
          <t>peroxide</t>
        </is>
      </c>
      <c r="J253" s="8" t="n">
        <v>100</v>
      </c>
      <c r="K253" s="8" t="n">
        <v>0</v>
      </c>
      <c r="L253" s="8" t="n">
        <v>0</v>
      </c>
      <c r="M253" s="8" t="n">
        <v>0</v>
      </c>
      <c r="N253" s="8" t="n">
        <v>0</v>
      </c>
      <c r="O253" s="8" t="n">
        <v>0</v>
      </c>
      <c r="P253" s="8" t="n">
        <v>0</v>
      </c>
      <c r="Q253" s="8" t="n">
        <v>0</v>
      </c>
      <c r="R253" s="8" t="n">
        <v>0</v>
      </c>
      <c r="S253" s="8" t="n">
        <v>4</v>
      </c>
      <c r="T253" s="8" t="n">
        <v>1.5</v>
      </c>
      <c r="U253" s="8" t="n">
        <v>0</v>
      </c>
      <c r="V253" s="8" t="n">
        <v>0.5</v>
      </c>
      <c r="W253" s="8" t="n">
        <v>0</v>
      </c>
      <c r="X253" s="8" t="n">
        <v>0</v>
      </c>
      <c r="Y253" s="8" t="inlineStr">
        <is>
          <t>TAIC 4; Perhexa 25B 1.5; bisphenol AF 0.5 (polyol additive)</t>
        </is>
      </c>
      <c r="Z253" s="8" t="n"/>
      <c r="AA253" s="8" t="n"/>
      <c r="AB253" s="8" t="n"/>
      <c r="AC253" s="8" t="n"/>
      <c r="AD253" s="8" t="n">
        <v>26</v>
      </c>
      <c r="AE253" s="8" t="inlineStr">
        <is>
          <t>200C x 70h, 25% compression, AS214 O-ring (JIS K6262)</t>
        </is>
      </c>
      <c r="AF253" s="8" t="n">
        <v>4.7</v>
      </c>
      <c r="AG253" s="8" t="inlineStr">
        <is>
          <t>O2:CF4=9:1, RF 300 W, 200 sccm, 1 torr, 6 h, sample 10 cm from electrode (Hirano Koh-On plate apparatus)</t>
        </is>
      </c>
      <c r="AH253" s="8" t="inlineStr">
        <is>
          <t>parts by weight; CS %; weight loss %</t>
        </is>
      </c>
      <c r="AI253" s="8" t="inlineStr">
        <is>
          <t>Press 160C x 30 min, post-cure 180C x 16 h (vacuum). Plasma crack test (2 h, 28% stretch): No crack.</t>
        </is>
      </c>
    </row>
    <row r="254">
      <c r="A254" s="8" t="inlineStr">
        <is>
          <t>US8349965B2</t>
        </is>
      </c>
      <c r="B254" s="8" t="inlineStr">
        <is>
          <t>patent</t>
        </is>
      </c>
      <c r="C254" s="8" t="inlineStr">
        <is>
          <t>Nippon Valqua Industries, Ltd.</t>
        </is>
      </c>
      <c r="D254" s="8" t="inlineStr">
        <is>
          <t>Fluororubber composition capable of forming crack-resistant seal and crack-resistant seal formed from the composition</t>
        </is>
      </c>
      <c r="E254" s="8" t="inlineStr">
        <is>
          <t>https://patents.google.com/patent/US8349965B2/en</t>
        </is>
      </c>
      <c r="F254" s="8" t="inlineStr">
        <is>
          <t>Example 8</t>
        </is>
      </c>
      <c r="G254" s="8" t="inlineStr">
        <is>
          <t>FKM</t>
        </is>
      </c>
      <c r="H254" s="8" t="inlineStr">
        <is>
          <t>DAI-EL G912 (VDF/HFP/TFE)</t>
        </is>
      </c>
      <c r="I254" s="8" t="inlineStr">
        <is>
          <t>peroxide</t>
        </is>
      </c>
      <c r="J254" s="8" t="n">
        <v>100</v>
      </c>
      <c r="K254" s="8" t="n">
        <v>0</v>
      </c>
      <c r="L254" s="8" t="n">
        <v>0</v>
      </c>
      <c r="M254" s="8" t="n">
        <v>0</v>
      </c>
      <c r="N254" s="8" t="n">
        <v>0</v>
      </c>
      <c r="O254" s="8" t="n">
        <v>0</v>
      </c>
      <c r="P254" s="8" t="n">
        <v>0</v>
      </c>
      <c r="Q254" s="8" t="n">
        <v>0</v>
      </c>
      <c r="R254" s="8" t="n">
        <v>0</v>
      </c>
      <c r="S254" s="8" t="n">
        <v>4</v>
      </c>
      <c r="T254" s="8" t="n">
        <v>1.5</v>
      </c>
      <c r="U254" s="8" t="n">
        <v>0</v>
      </c>
      <c r="V254" s="8" t="n">
        <v>0.5</v>
      </c>
      <c r="W254" s="8" t="n">
        <v>0</v>
      </c>
      <c r="X254" s="8" t="n">
        <v>0</v>
      </c>
      <c r="Y254" s="8" t="inlineStr">
        <is>
          <t>TAIC 4; Perhexa 25B 1.5; bisphenol S 0.5 (polyol additive)</t>
        </is>
      </c>
      <c r="Z254" s="8" t="n"/>
      <c r="AA254" s="8" t="n"/>
      <c r="AB254" s="8" t="n"/>
      <c r="AC254" s="8" t="n"/>
      <c r="AD254" s="8" t="n">
        <v>30</v>
      </c>
      <c r="AE254" s="8" t="inlineStr">
        <is>
          <t>200C x 70h, 25% compression, AS214 O-ring (JIS K6262)</t>
        </is>
      </c>
      <c r="AF254" s="8" t="n">
        <v>2.3</v>
      </c>
      <c r="AG254" s="8" t="inlineStr">
        <is>
          <t>O2:CF4=9:1, RF 300 W, 200 sccm, 1 torr, 6 h, sample 10 cm from electrode (Hirano Koh-On plate apparatus)</t>
        </is>
      </c>
      <c r="AH254" s="8" t="inlineStr">
        <is>
          <t>parts by weight; CS %; weight loss %</t>
        </is>
      </c>
      <c r="AI254" s="8" t="inlineStr">
        <is>
          <t>Press 160C x 30 min, post-cure 180C x 16 h (vacuum). Plasma crack test (2 h, 28% stretch): No crack.</t>
        </is>
      </c>
    </row>
    <row r="255">
      <c r="A255" s="8" t="inlineStr">
        <is>
          <t>US8349965B2</t>
        </is>
      </c>
      <c r="B255" s="8" t="inlineStr">
        <is>
          <t>patent</t>
        </is>
      </c>
      <c r="C255" s="8" t="inlineStr">
        <is>
          <t>Nippon Valqua Industries, Ltd.</t>
        </is>
      </c>
      <c r="D255" s="8" t="inlineStr">
        <is>
          <t>Fluororubber composition capable of forming crack-resistant seal and crack-resistant seal formed from the composition</t>
        </is>
      </c>
      <c r="E255" s="8" t="inlineStr">
        <is>
          <t>https://patents.google.com/patent/US8349965B2/en</t>
        </is>
      </c>
      <c r="F255" s="8" t="inlineStr">
        <is>
          <t>Example 9</t>
        </is>
      </c>
      <c r="G255" s="8" t="inlineStr">
        <is>
          <t>FKM</t>
        </is>
      </c>
      <c r="H255" s="8" t="inlineStr">
        <is>
          <t>DAI-EL G912 (VDF/HFP/TFE)</t>
        </is>
      </c>
      <c r="I255" s="8" t="inlineStr">
        <is>
          <t>peroxide</t>
        </is>
      </c>
      <c r="J255" s="8" t="n">
        <v>100</v>
      </c>
      <c r="K255" s="8" t="n">
        <v>0</v>
      </c>
      <c r="L255" s="8" t="n">
        <v>0</v>
      </c>
      <c r="M255" s="8" t="n">
        <v>0</v>
      </c>
      <c r="N255" s="8" t="n">
        <v>0</v>
      </c>
      <c r="O255" s="8" t="n">
        <v>0</v>
      </c>
      <c r="P255" s="8" t="n">
        <v>0</v>
      </c>
      <c r="Q255" s="8" t="n">
        <v>0</v>
      </c>
      <c r="R255" s="8" t="n">
        <v>0</v>
      </c>
      <c r="S255" s="8" t="n">
        <v>2.5</v>
      </c>
      <c r="T255" s="8" t="n">
        <v>1.5</v>
      </c>
      <c r="U255" s="8" t="n">
        <v>0</v>
      </c>
      <c r="V255" s="8" t="n">
        <v>0.5</v>
      </c>
      <c r="W255" s="8" t="n">
        <v>0</v>
      </c>
      <c r="X255" s="8" t="n">
        <v>0</v>
      </c>
      <c r="Y255" s="8" t="inlineStr">
        <is>
          <t>TAIC 2.5; Perhexa 25B 1.5; bisphenol AF 0.5 (polyol additive)</t>
        </is>
      </c>
      <c r="Z255" s="8" t="n"/>
      <c r="AA255" s="8" t="n"/>
      <c r="AB255" s="8" t="n"/>
      <c r="AC255" s="8" t="n"/>
      <c r="AD255" s="8" t="n">
        <v>35</v>
      </c>
      <c r="AE255" s="8" t="inlineStr">
        <is>
          <t>200C x 70h, 25% compression, AS214 O-ring (JIS K6262)</t>
        </is>
      </c>
      <c r="AF255" s="8" t="n">
        <v>2.2</v>
      </c>
      <c r="AG255" s="8" t="inlineStr">
        <is>
          <t>O2:CF4=9:1, RF 300 W, 200 sccm, 1 torr, 6 h, sample 10 cm from electrode (Hirano Koh-On plate apparatus)</t>
        </is>
      </c>
      <c r="AH255" s="8" t="inlineStr">
        <is>
          <t>parts by weight; CS %; weight loss %</t>
        </is>
      </c>
      <c r="AI255" s="8" t="inlineStr">
        <is>
          <t>Press 160C x 30 min, post-cure 180C x 16 h (vacuum). Plasma crack test (2 h, 28% stretch): No crack.</t>
        </is>
      </c>
    </row>
    <row r="256">
      <c r="A256" s="8" t="inlineStr">
        <is>
          <t>US8349965B2</t>
        </is>
      </c>
      <c r="B256" s="8" t="inlineStr">
        <is>
          <t>patent</t>
        </is>
      </c>
      <c r="C256" s="8" t="inlineStr">
        <is>
          <t>Nippon Valqua Industries, Ltd.</t>
        </is>
      </c>
      <c r="D256" s="8" t="inlineStr">
        <is>
          <t>Fluororubber composition capable of forming crack-resistant seal and crack-resistant seal formed from the composition</t>
        </is>
      </c>
      <c r="E256" s="8" t="inlineStr">
        <is>
          <t>https://patents.google.com/patent/US8349965B2/en</t>
        </is>
      </c>
      <c r="F256" s="8" t="inlineStr">
        <is>
          <t>Example 10</t>
        </is>
      </c>
      <c r="G256" s="8" t="inlineStr">
        <is>
          <t>FKM</t>
        </is>
      </c>
      <c r="H256" s="8" t="inlineStr">
        <is>
          <t>DAI-EL G912 (VDF/HFP/TFE)</t>
        </is>
      </c>
      <c r="I256" s="8" t="inlineStr">
        <is>
          <t>peroxide</t>
        </is>
      </c>
      <c r="J256" s="8" t="n">
        <v>100</v>
      </c>
      <c r="K256" s="8" t="n">
        <v>0</v>
      </c>
      <c r="L256" s="8" t="n">
        <v>0</v>
      </c>
      <c r="M256" s="8" t="n">
        <v>0</v>
      </c>
      <c r="N256" s="8" t="n">
        <v>0</v>
      </c>
      <c r="O256" s="8" t="n">
        <v>0</v>
      </c>
      <c r="P256" s="8" t="n">
        <v>0</v>
      </c>
      <c r="Q256" s="8" t="n">
        <v>0</v>
      </c>
      <c r="R256" s="8" t="n">
        <v>0</v>
      </c>
      <c r="S256" s="8" t="n">
        <v>7</v>
      </c>
      <c r="T256" s="8" t="n">
        <v>1.5</v>
      </c>
      <c r="U256" s="8" t="n">
        <v>0</v>
      </c>
      <c r="V256" s="8" t="n">
        <v>0.5</v>
      </c>
      <c r="W256" s="8" t="n">
        <v>0</v>
      </c>
      <c r="X256" s="8" t="n">
        <v>0</v>
      </c>
      <c r="Y256" s="8" t="inlineStr">
        <is>
          <t>TAIC 7; Perhexa 25B 1.5; bisphenol AF 0.5 (polyol additive)</t>
        </is>
      </c>
      <c r="Z256" s="8" t="n"/>
      <c r="AA256" s="8" t="n"/>
      <c r="AB256" s="8" t="n"/>
      <c r="AC256" s="8" t="n"/>
      <c r="AD256" s="8" t="n">
        <v>30</v>
      </c>
      <c r="AE256" s="8" t="inlineStr">
        <is>
          <t>200C x 70h, 25% compression, AS214 O-ring (JIS K6262)</t>
        </is>
      </c>
      <c r="AF256" s="8" t="n">
        <v>2.3</v>
      </c>
      <c r="AG256" s="8" t="inlineStr">
        <is>
          <t>O2:CF4=9:1, RF 300 W, 200 sccm, 1 torr, 6 h, sample 10 cm from electrode (Hirano Koh-On plate apparatus)</t>
        </is>
      </c>
      <c r="AH256" s="8" t="inlineStr">
        <is>
          <t>parts by weight; CS %; weight loss %</t>
        </is>
      </c>
      <c r="AI256" s="8" t="inlineStr">
        <is>
          <t>Press 160C x 30 min, post-cure 180C x 16 h (vacuum). Plasma crack test (2 h, 28% stretch): No crack. Table total 111.0 vs sum of listed parts 109.0.</t>
        </is>
      </c>
    </row>
    <row r="257">
      <c r="A257" s="8" t="inlineStr">
        <is>
          <t>US8349965B2</t>
        </is>
      </c>
      <c r="B257" s="8" t="inlineStr">
        <is>
          <t>patent</t>
        </is>
      </c>
      <c r="C257" s="8" t="inlineStr">
        <is>
          <t>Nippon Valqua Industries, Ltd.</t>
        </is>
      </c>
      <c r="D257" s="8" t="inlineStr">
        <is>
          <t>Fluororubber composition capable of forming crack-resistant seal and crack-resistant seal formed from the composition</t>
        </is>
      </c>
      <c r="E257" s="8" t="inlineStr">
        <is>
          <t>https://patents.google.com/patent/US8349965B2/en</t>
        </is>
      </c>
      <c r="F257" s="8" t="inlineStr">
        <is>
          <t>Example 11</t>
        </is>
      </c>
      <c r="G257" s="8" t="inlineStr">
        <is>
          <t>FKM</t>
        </is>
      </c>
      <c r="H257" s="8" t="inlineStr">
        <is>
          <t>DAI-EL G912 (VDF/HFP/TFE)</t>
        </is>
      </c>
      <c r="I257" s="8" t="inlineStr">
        <is>
          <t>peroxide</t>
        </is>
      </c>
      <c r="J257" s="8" t="n">
        <v>100</v>
      </c>
      <c r="K257" s="8" t="n">
        <v>0</v>
      </c>
      <c r="L257" s="8" t="n">
        <v>0</v>
      </c>
      <c r="M257" s="8" t="n">
        <v>0</v>
      </c>
      <c r="N257" s="8" t="n">
        <v>0</v>
      </c>
      <c r="O257" s="8" t="n">
        <v>0</v>
      </c>
      <c r="P257" s="8" t="n">
        <v>0</v>
      </c>
      <c r="Q257" s="8" t="n">
        <v>0</v>
      </c>
      <c r="R257" s="8" t="n">
        <v>0</v>
      </c>
      <c r="S257" s="8" t="n">
        <v>4</v>
      </c>
      <c r="T257" s="8" t="n">
        <v>3</v>
      </c>
      <c r="U257" s="8" t="n">
        <v>0</v>
      </c>
      <c r="V257" s="8" t="n">
        <v>0.5</v>
      </c>
      <c r="W257" s="8" t="n">
        <v>0</v>
      </c>
      <c r="X257" s="8" t="n">
        <v>0</v>
      </c>
      <c r="Y257" s="8" t="inlineStr">
        <is>
          <t>TAIC 4; Perhexa 25B 3; bisphenol AF 0.5 (polyol additive)</t>
        </is>
      </c>
      <c r="Z257" s="8" t="n"/>
      <c r="AA257" s="8" t="n"/>
      <c r="AB257" s="8" t="n"/>
      <c r="AC257" s="8" t="n"/>
      <c r="AD257" s="8" t="n">
        <v>28</v>
      </c>
      <c r="AE257" s="8" t="inlineStr">
        <is>
          <t>200C x 70h, 25% compression, AS214 O-ring (JIS K6262)</t>
        </is>
      </c>
      <c r="AF257" s="8" t="n">
        <v>2.1</v>
      </c>
      <c r="AG257" s="8" t="inlineStr">
        <is>
          <t>O2:CF4=9:1, RF 300 W, 200 sccm, 1 torr, 6 h, sample 10 cm from electrode (Hirano Koh-On plate apparatus)</t>
        </is>
      </c>
      <c r="AH257" s="8" t="inlineStr">
        <is>
          <t>parts by weight; CS %; weight loss %</t>
        </is>
      </c>
      <c r="AI257" s="8" t="inlineStr">
        <is>
          <t>Press 160C x 30 min, post-cure 180C x 16 h (vacuum). Plasma crack test (2 h, 28% stretch): No crack.</t>
        </is>
      </c>
    </row>
    <row r="258">
      <c r="A258" s="8" t="inlineStr">
        <is>
          <t>US8349965B2</t>
        </is>
      </c>
      <c r="B258" s="8" t="inlineStr">
        <is>
          <t>patent</t>
        </is>
      </c>
      <c r="C258" s="8" t="inlineStr">
        <is>
          <t>Nippon Valqua Industries, Ltd.</t>
        </is>
      </c>
      <c r="D258" s="8" t="inlineStr">
        <is>
          <t>Fluororubber composition capable of forming crack-resistant seal and crack-resistant seal formed from the composition</t>
        </is>
      </c>
      <c r="E258" s="8" t="inlineStr">
        <is>
          <t>https://patents.google.com/patent/US8349965B2/en</t>
        </is>
      </c>
      <c r="F258" s="8" t="inlineStr">
        <is>
          <t>Example 12</t>
        </is>
      </c>
      <c r="G258" s="8" t="inlineStr">
        <is>
          <t>FKM</t>
        </is>
      </c>
      <c r="H258" s="8" t="inlineStr">
        <is>
          <t>DAI-EL G912 (VDF/HFP/TFE)</t>
        </is>
      </c>
      <c r="I258" s="8" t="inlineStr">
        <is>
          <t>peroxide</t>
        </is>
      </c>
      <c r="J258" s="8" t="n">
        <v>100</v>
      </c>
      <c r="K258" s="8" t="n">
        <v>0</v>
      </c>
      <c r="L258" s="8" t="n">
        <v>0</v>
      </c>
      <c r="M258" s="8" t="n">
        <v>0</v>
      </c>
      <c r="N258" s="8" t="n">
        <v>0</v>
      </c>
      <c r="O258" s="8" t="n">
        <v>0</v>
      </c>
      <c r="P258" s="8" t="n">
        <v>0</v>
      </c>
      <c r="Q258" s="8" t="n">
        <v>0</v>
      </c>
      <c r="R258" s="8" t="n">
        <v>0</v>
      </c>
      <c r="S258" s="8" t="n">
        <v>4</v>
      </c>
      <c r="T258" s="8" t="n">
        <v>1.5</v>
      </c>
      <c r="U258" s="8" t="n">
        <v>0</v>
      </c>
      <c r="V258" s="8" t="n">
        <v>0.5</v>
      </c>
      <c r="W258" s="8" t="n">
        <v>0</v>
      </c>
      <c r="X258" s="8" t="n">
        <v>0</v>
      </c>
      <c r="Y258" s="8" t="inlineStr">
        <is>
          <t>TAIC 4; Perbutyl P 1.5; bisphenol AF 0.5 (polyol additive)</t>
        </is>
      </c>
      <c r="Z258" s="8" t="n"/>
      <c r="AA258" s="8" t="n"/>
      <c r="AB258" s="8" t="n"/>
      <c r="AC258" s="8" t="n"/>
      <c r="AD258" s="8" t="n">
        <v>32</v>
      </c>
      <c r="AE258" s="8" t="inlineStr">
        <is>
          <t>200C x 70h, 25% compression, AS214 O-ring (JIS K6262)</t>
        </is>
      </c>
      <c r="AF258" s="8" t="n">
        <v>2.2</v>
      </c>
      <c r="AG258" s="8" t="inlineStr">
        <is>
          <t>O2:CF4=9:1, RF 300 W, 200 sccm, 1 torr, 6 h, sample 10 cm from electrode (Hirano Koh-On plate apparatus)</t>
        </is>
      </c>
      <c r="AH258" s="8" t="inlineStr">
        <is>
          <t>parts by weight; CS %; weight loss %</t>
        </is>
      </c>
      <c r="AI258" s="8" t="inlineStr">
        <is>
          <t>Press 160C x 30 min, post-cure 180C x 16 h (vacuum). Plasma crack test (2 h, 28% stretch): No crack.</t>
        </is>
      </c>
    </row>
    <row r="259">
      <c r="A259" s="8" t="inlineStr">
        <is>
          <t>US8349965B2</t>
        </is>
      </c>
      <c r="B259" s="8" t="inlineStr">
        <is>
          <t>patent</t>
        </is>
      </c>
      <c r="C259" s="8" t="inlineStr">
        <is>
          <t>Nippon Valqua Industries, Ltd.</t>
        </is>
      </c>
      <c r="D259" s="8" t="inlineStr">
        <is>
          <t>Fluororubber composition capable of forming crack-resistant seal and crack-resistant seal formed from the composition</t>
        </is>
      </c>
      <c r="E259" s="8" t="inlineStr">
        <is>
          <t>https://patents.google.com/patent/US8349965B2/en</t>
        </is>
      </c>
      <c r="F259" s="8" t="inlineStr">
        <is>
          <t>Example 13</t>
        </is>
      </c>
      <c r="G259" s="8" t="inlineStr">
        <is>
          <t>FKM</t>
        </is>
      </c>
      <c r="H259" s="8" t="inlineStr">
        <is>
          <t>DAI-EL G912 (VDF/HFP/TFE)</t>
        </is>
      </c>
      <c r="I259" s="8" t="inlineStr">
        <is>
          <t>peroxide</t>
        </is>
      </c>
      <c r="J259" s="8" t="n">
        <v>100</v>
      </c>
      <c r="K259" s="8" t="n">
        <v>0</v>
      </c>
      <c r="L259" s="8" t="n">
        <v>0</v>
      </c>
      <c r="M259" s="8" t="n">
        <v>0</v>
      </c>
      <c r="N259" s="8" t="n">
        <v>0</v>
      </c>
      <c r="O259" s="8" t="n">
        <v>0</v>
      </c>
      <c r="P259" s="8" t="n">
        <v>0</v>
      </c>
      <c r="Q259" s="8" t="n">
        <v>0</v>
      </c>
      <c r="R259" s="8" t="n">
        <v>0</v>
      </c>
      <c r="S259" s="8" t="n">
        <v>4</v>
      </c>
      <c r="T259" s="8" t="n">
        <v>0.5</v>
      </c>
      <c r="U259" s="8" t="n">
        <v>0</v>
      </c>
      <c r="V259" s="8" t="n">
        <v>0.5</v>
      </c>
      <c r="W259" s="8" t="n">
        <v>0</v>
      </c>
      <c r="X259" s="8" t="n">
        <v>0</v>
      </c>
      <c r="Y259" s="8" t="inlineStr">
        <is>
          <t>TAIC 4; Perhexa 25B 0.5; bisphenol AF 0.5 (polyol additive)</t>
        </is>
      </c>
      <c r="Z259" s="8" t="n"/>
      <c r="AA259" s="8" t="n"/>
      <c r="AB259" s="8" t="n"/>
      <c r="AC259" s="8" t="n"/>
      <c r="AD259" s="8" t="n">
        <v>34</v>
      </c>
      <c r="AE259" s="8" t="inlineStr">
        <is>
          <t>200C x 70h, 25% compression, AS214 O-ring (JIS K6262)</t>
        </is>
      </c>
      <c r="AF259" s="8" t="n">
        <v>2.3</v>
      </c>
      <c r="AG259" s="8" t="inlineStr">
        <is>
          <t>O2:CF4=9:1, RF 300 W, 200 sccm, 1 torr, 6 h, sample 10 cm from electrode (Hirano Koh-On plate apparatus)</t>
        </is>
      </c>
      <c r="AH259" s="8" t="inlineStr">
        <is>
          <t>parts by weight; CS %; weight loss %</t>
        </is>
      </c>
      <c r="AI259" s="8" t="inlineStr">
        <is>
          <t>Press 160C x 30 min, post-cure 180C x 16 h (vacuum). Plasma crack test (2 h, 28% stretch): No crack.</t>
        </is>
      </c>
    </row>
    <row r="260">
      <c r="A260" s="8" t="inlineStr">
        <is>
          <t>US8349965B2</t>
        </is>
      </c>
      <c r="B260" s="8" t="inlineStr">
        <is>
          <t>patent</t>
        </is>
      </c>
      <c r="C260" s="8" t="inlineStr">
        <is>
          <t>Nippon Valqua Industries, Ltd.</t>
        </is>
      </c>
      <c r="D260" s="8" t="inlineStr">
        <is>
          <t>Fluororubber composition capable of forming crack-resistant seal and crack-resistant seal formed from the composition</t>
        </is>
      </c>
      <c r="E260" s="8" t="inlineStr">
        <is>
          <t>https://patents.google.com/patent/US8349965B2/en</t>
        </is>
      </c>
      <c r="F260" s="8" t="inlineStr">
        <is>
          <t>Example 14</t>
        </is>
      </c>
      <c r="G260" s="8" t="inlineStr">
        <is>
          <t>FKM</t>
        </is>
      </c>
      <c r="H260" s="8" t="inlineStr">
        <is>
          <t>DAI-EL G912 (VDF/HFP/TFE)</t>
        </is>
      </c>
      <c r="I260" s="8" t="inlineStr">
        <is>
          <t>peroxide</t>
        </is>
      </c>
      <c r="J260" s="8" t="n">
        <v>100</v>
      </c>
      <c r="K260" s="8" t="n">
        <v>0</v>
      </c>
      <c r="L260" s="8" t="n">
        <v>0</v>
      </c>
      <c r="M260" s="8" t="n">
        <v>0</v>
      </c>
      <c r="N260" s="8" t="n">
        <v>0</v>
      </c>
      <c r="O260" s="8" t="n">
        <v>0</v>
      </c>
      <c r="P260" s="8" t="n">
        <v>0</v>
      </c>
      <c r="Q260" s="8" t="n">
        <v>0</v>
      </c>
      <c r="R260" s="8" t="n">
        <v>0</v>
      </c>
      <c r="S260" s="8" t="n">
        <v>4</v>
      </c>
      <c r="T260" s="8" t="n">
        <v>1</v>
      </c>
      <c r="U260" s="8" t="n">
        <v>0</v>
      </c>
      <c r="V260" s="8" t="n">
        <v>0.5</v>
      </c>
      <c r="W260" s="8" t="n">
        <v>0</v>
      </c>
      <c r="X260" s="8" t="n">
        <v>0</v>
      </c>
      <c r="Y260" s="8" t="inlineStr">
        <is>
          <t>TAIC 4; Perhexa 25B 1.0; bisphenol AF 0.5 (polyol additive)</t>
        </is>
      </c>
      <c r="Z260" s="8" t="n"/>
      <c r="AA260" s="8" t="n"/>
      <c r="AB260" s="8" t="n"/>
      <c r="AC260" s="8" t="n"/>
      <c r="AD260" s="8" t="n">
        <v>31</v>
      </c>
      <c r="AE260" s="8" t="inlineStr">
        <is>
          <t>200C x 70h, 25% compression, AS214 O-ring (JIS K6262)</t>
        </is>
      </c>
      <c r="AF260" s="8" t="n">
        <v>2.1</v>
      </c>
      <c r="AG260" s="8" t="inlineStr">
        <is>
          <t>O2:CF4=9:1, RF 300 W, 200 sccm, 1 torr, 6 h, sample 10 cm from electrode (Hirano Koh-On plate apparatus)</t>
        </is>
      </c>
      <c r="AH260" s="8" t="inlineStr">
        <is>
          <t>parts by weight; CS %; weight loss %</t>
        </is>
      </c>
      <c r="AI260" s="8" t="inlineStr">
        <is>
          <t>Press 160C x 30 min, post-cure 180C x 16 h (vacuum). Plasma crack test (2 h, 28% stretch): No crack.</t>
        </is>
      </c>
    </row>
    <row r="261">
      <c r="A261" s="8" t="inlineStr">
        <is>
          <t>US8349965B2</t>
        </is>
      </c>
      <c r="B261" s="8" t="inlineStr">
        <is>
          <t>patent</t>
        </is>
      </c>
      <c r="C261" s="8" t="inlineStr">
        <is>
          <t>Nippon Valqua Industries, Ltd.</t>
        </is>
      </c>
      <c r="D261" s="8" t="inlineStr">
        <is>
          <t>Fluororubber composition capable of forming crack-resistant seal and crack-resistant seal formed from the composition</t>
        </is>
      </c>
      <c r="E261" s="8" t="inlineStr">
        <is>
          <t>https://patents.google.com/patent/US8349965B2/en</t>
        </is>
      </c>
      <c r="F261" s="8" t="inlineStr">
        <is>
          <t>Comparative Example 1</t>
        </is>
      </c>
      <c r="G261" s="8" t="inlineStr">
        <is>
          <t>FKM</t>
        </is>
      </c>
      <c r="H261" s="8" t="inlineStr">
        <is>
          <t>DAI-EL G912 (VDF/HFP/TFE)</t>
        </is>
      </c>
      <c r="I261" s="8" t="inlineStr">
        <is>
          <t>peroxide</t>
        </is>
      </c>
      <c r="J261" s="8" t="n">
        <v>100</v>
      </c>
      <c r="K261" s="8" t="n">
        <v>0</v>
      </c>
      <c r="L261" s="8" t="n">
        <v>0</v>
      </c>
      <c r="M261" s="8" t="n">
        <v>0</v>
      </c>
      <c r="N261" s="8" t="n">
        <v>0</v>
      </c>
      <c r="O261" s="8" t="n">
        <v>0</v>
      </c>
      <c r="P261" s="8" t="n">
        <v>0</v>
      </c>
      <c r="Q261" s="8" t="n">
        <v>0</v>
      </c>
      <c r="R261" s="8" t="n">
        <v>0</v>
      </c>
      <c r="S261" s="8" t="n">
        <v>4</v>
      </c>
      <c r="T261" s="8" t="n">
        <v>1.5</v>
      </c>
      <c r="U261" s="8" t="n">
        <v>0</v>
      </c>
      <c r="V261" s="8" t="n">
        <v>0</v>
      </c>
      <c r="W261" s="8" t="n">
        <v>0</v>
      </c>
      <c r="X261" s="8" t="n">
        <v>0</v>
      </c>
      <c r="Y261" s="8" t="inlineStr">
        <is>
          <t>TAIC 4; Perhexa 25B 1.5</t>
        </is>
      </c>
      <c r="Z261" s="8" t="n"/>
      <c r="AA261" s="8" t="n"/>
      <c r="AB261" s="8" t="n"/>
      <c r="AC261" s="8" t="n"/>
      <c r="AD261" s="8" t="n">
        <v>23</v>
      </c>
      <c r="AE261" s="8" t="inlineStr">
        <is>
          <t>200C x 70h, 25% compression, AS214 O-ring (JIS K6262)</t>
        </is>
      </c>
      <c r="AF261" s="8" t="n">
        <v>2</v>
      </c>
      <c r="AG261" s="8" t="inlineStr">
        <is>
          <t>O2:CF4=9:1, RF 300 W, 200 sccm, 1 torr, 6 h, sample 10 cm from electrode (Hirano Koh-On plate apparatus)</t>
        </is>
      </c>
      <c r="AH261" s="8" t="inlineStr">
        <is>
          <t>parts by weight; CS %; weight loss %</t>
        </is>
      </c>
      <c r="AI261" s="8" t="inlineStr">
        <is>
          <t>Press 160C x 30 min, post-cure 180C x 16 h (vacuum). Plasma crack test (2 h, 28% stretch): Crack.</t>
        </is>
      </c>
    </row>
    <row r="262">
      <c r="A262" s="8" t="inlineStr">
        <is>
          <t>US8349965B2</t>
        </is>
      </c>
      <c r="B262" s="8" t="inlineStr">
        <is>
          <t>patent</t>
        </is>
      </c>
      <c r="C262" s="8" t="inlineStr">
        <is>
          <t>Nippon Valqua Industries, Ltd.</t>
        </is>
      </c>
      <c r="D262" s="8" t="inlineStr">
        <is>
          <t>Fluororubber composition capable of forming crack-resistant seal and crack-resistant seal formed from the composition</t>
        </is>
      </c>
      <c r="E262" s="8" t="inlineStr">
        <is>
          <t>https://patents.google.com/patent/US8349965B2/en</t>
        </is>
      </c>
      <c r="F262" s="8" t="inlineStr">
        <is>
          <t>Comparative Example 2</t>
        </is>
      </c>
      <c r="G262" s="8" t="inlineStr">
        <is>
          <t>FKM</t>
        </is>
      </c>
      <c r="H262" s="8" t="inlineStr">
        <is>
          <t>DAI-EL LT302 (VDF/PAVE/TFE)</t>
        </is>
      </c>
      <c r="I262" s="8" t="inlineStr">
        <is>
          <t>peroxide</t>
        </is>
      </c>
      <c r="J262" s="8" t="n">
        <v>100</v>
      </c>
      <c r="K262" s="8" t="n">
        <v>0</v>
      </c>
      <c r="L262" s="8" t="n">
        <v>0</v>
      </c>
      <c r="M262" s="8" t="n">
        <v>0</v>
      </c>
      <c r="N262" s="8" t="n">
        <v>0</v>
      </c>
      <c r="O262" s="8" t="n">
        <v>0</v>
      </c>
      <c r="P262" s="8" t="n">
        <v>0</v>
      </c>
      <c r="Q262" s="8" t="n">
        <v>0</v>
      </c>
      <c r="R262" s="8" t="n">
        <v>0</v>
      </c>
      <c r="S262" s="8" t="n">
        <v>4</v>
      </c>
      <c r="T262" s="8" t="n">
        <v>1.5</v>
      </c>
      <c r="U262" s="8" t="n">
        <v>0</v>
      </c>
      <c r="V262" s="8" t="n">
        <v>0</v>
      </c>
      <c r="W262" s="8" t="n">
        <v>0</v>
      </c>
      <c r="X262" s="8" t="n">
        <v>0</v>
      </c>
      <c r="Y262" s="8" t="inlineStr">
        <is>
          <t>TAIC 4; Perhexa 25B 1.5</t>
        </is>
      </c>
      <c r="Z262" s="8" t="n"/>
      <c r="AA262" s="8" t="n"/>
      <c r="AB262" s="8" t="n"/>
      <c r="AC262" s="8" t="n"/>
      <c r="AD262" s="8" t="n">
        <v>34</v>
      </c>
      <c r="AE262" s="8" t="inlineStr">
        <is>
          <t>200C x 70h, 25% compression, AS214 O-ring (JIS K6262)</t>
        </is>
      </c>
      <c r="AF262" s="8" t="n">
        <v>4.5</v>
      </c>
      <c r="AG262" s="8" t="inlineStr">
        <is>
          <t>O2:CF4=9:1, RF 300 W, 200 sccm, 1 torr, 6 h, sample 10 cm from electrode (Hirano Koh-On plate apparatus)</t>
        </is>
      </c>
      <c r="AH262" s="8" t="inlineStr">
        <is>
          <t>parts by weight; CS %; weight loss %</t>
        </is>
      </c>
      <c r="AI262" s="8" t="inlineStr">
        <is>
          <t>Press 160C x 30 min, post-cure 180C x 16 h (vacuum). Plasma crack test (2 h, 28% stretch): Crack.</t>
        </is>
      </c>
    </row>
    <row r="263">
      <c r="A263" s="8" t="inlineStr">
        <is>
          <t>US8349965B2</t>
        </is>
      </c>
      <c r="B263" s="8" t="inlineStr">
        <is>
          <t>patent</t>
        </is>
      </c>
      <c r="C263" s="8" t="inlineStr">
        <is>
          <t>Nippon Valqua Industries, Ltd.</t>
        </is>
      </c>
      <c r="D263" s="8" t="inlineStr">
        <is>
          <t>Fluororubber composition capable of forming crack-resistant seal and crack-resistant seal formed from the composition</t>
        </is>
      </c>
      <c r="E263" s="8" t="inlineStr">
        <is>
          <t>https://patents.google.com/patent/US8349965B2/en</t>
        </is>
      </c>
      <c r="F263" s="8" t="inlineStr">
        <is>
          <t>Comparative Example 3</t>
        </is>
      </c>
      <c r="G263" s="8" t="inlineStr">
        <is>
          <t>FKM</t>
        </is>
      </c>
      <c r="H263" s="8" t="inlineStr">
        <is>
          <t>DAI-EL G912 (VDF/HFP/TFE) 50 + DAI-EL LT302 (VDF/PAVE/TFE) 50</t>
        </is>
      </c>
      <c r="I263" s="8" t="inlineStr">
        <is>
          <t>peroxide</t>
        </is>
      </c>
      <c r="J263" s="8" t="n">
        <v>100</v>
      </c>
      <c r="K263" s="8" t="n">
        <v>0</v>
      </c>
      <c r="L263" s="8" t="n">
        <v>0</v>
      </c>
      <c r="M263" s="8" t="n">
        <v>0</v>
      </c>
      <c r="N263" s="8" t="n">
        <v>0</v>
      </c>
      <c r="O263" s="8" t="n">
        <v>0</v>
      </c>
      <c r="P263" s="8" t="n">
        <v>0</v>
      </c>
      <c r="Q263" s="8" t="n">
        <v>0</v>
      </c>
      <c r="R263" s="8" t="n">
        <v>0</v>
      </c>
      <c r="S263" s="8" t="n">
        <v>4</v>
      </c>
      <c r="T263" s="8" t="n">
        <v>1.5</v>
      </c>
      <c r="U263" s="8" t="n">
        <v>0</v>
      </c>
      <c r="V263" s="8" t="n">
        <v>0</v>
      </c>
      <c r="W263" s="8" t="n">
        <v>0</v>
      </c>
      <c r="X263" s="8" t="n">
        <v>0</v>
      </c>
      <c r="Y263" s="8" t="inlineStr">
        <is>
          <t>TAIC 4; Perhexa 25B 1.5</t>
        </is>
      </c>
      <c r="Z263" s="8" t="n"/>
      <c r="AA263" s="8" t="n"/>
      <c r="AB263" s="8" t="n"/>
      <c r="AC263" s="8" t="n"/>
      <c r="AD263" s="8" t="n">
        <v>30</v>
      </c>
      <c r="AE263" s="8" t="inlineStr">
        <is>
          <t>200C x 70h, 25% compression, AS214 O-ring (JIS K6262)</t>
        </is>
      </c>
      <c r="AF263" s="8" t="n">
        <v>3.7</v>
      </c>
      <c r="AG263" s="8" t="inlineStr">
        <is>
          <t>O2:CF4=9:1, RF 300 W, 200 sccm, 1 torr, 6 h, sample 10 cm from electrode (Hirano Koh-On plate apparatus)</t>
        </is>
      </c>
      <c r="AH263" s="8" t="inlineStr">
        <is>
          <t>parts by weight; CS %; weight loss %</t>
        </is>
      </c>
      <c r="AI263" s="8" t="inlineStr">
        <is>
          <t>Press 160C x 30 min, post-cure 180C x 16 h (vacuum). Plasma crack test (2 h, 28% stretch): Crack.</t>
        </is>
      </c>
    </row>
    <row r="264">
      <c r="A264" s="8" t="inlineStr">
        <is>
          <t>US8349965B2</t>
        </is>
      </c>
      <c r="B264" s="8" t="inlineStr">
        <is>
          <t>patent</t>
        </is>
      </c>
      <c r="C264" s="8" t="inlineStr">
        <is>
          <t>Nippon Valqua Industries, Ltd.</t>
        </is>
      </c>
      <c r="D264" s="8" t="inlineStr">
        <is>
          <t>Fluororubber composition capable of forming crack-resistant seal and crack-resistant seal formed from the composition</t>
        </is>
      </c>
      <c r="E264" s="8" t="inlineStr">
        <is>
          <t>https://patents.google.com/patent/US8349965B2/en</t>
        </is>
      </c>
      <c r="F264" s="8" t="inlineStr">
        <is>
          <t>Comparative Example 4</t>
        </is>
      </c>
      <c r="G264" s="8" t="inlineStr">
        <is>
          <t>FKM</t>
        </is>
      </c>
      <c r="H264" s="8" t="inlineStr">
        <is>
          <t>DAI-EL G701M BP (VDF/HFP)</t>
        </is>
      </c>
      <c r="I264" s="8" t="inlineStr">
        <is>
          <t>bisphenol</t>
        </is>
      </c>
      <c r="J264" s="8" t="n">
        <v>100</v>
      </c>
      <c r="K264" s="8" t="n">
        <v>0</v>
      </c>
      <c r="L264" s="8" t="n">
        <v>0</v>
      </c>
      <c r="M264" s="8" t="n">
        <v>0</v>
      </c>
      <c r="N264" s="8" t="n">
        <v>0</v>
      </c>
      <c r="O264" s="8" t="n">
        <v>0</v>
      </c>
      <c r="P264" s="8" t="n">
        <v>0</v>
      </c>
      <c r="Q264" s="8" t="n">
        <v>0</v>
      </c>
      <c r="R264" s="8" t="n">
        <v>0</v>
      </c>
      <c r="S264" s="8" t="n">
        <v>0</v>
      </c>
      <c r="T264" s="8" t="n">
        <v>0</v>
      </c>
      <c r="U264" s="8" t="n">
        <v>0</v>
      </c>
      <c r="V264" s="8" t="n">
        <v>6.5</v>
      </c>
      <c r="W264" s="8" t="n">
        <v>9</v>
      </c>
      <c r="X264" s="8" t="n">
        <v>0</v>
      </c>
      <c r="Y264" s="8" t="inlineStr">
        <is>
          <t>bisphenol AF 2 + Curative VC20 (33% active phosphonium MB) 4.5; MgO Kyowamag 150 3 + Ca(OH)2 Caldic 2000 6</t>
        </is>
      </c>
      <c r="Z264" s="8" t="n"/>
      <c r="AA264" s="8" t="n"/>
      <c r="AB264" s="8" t="n"/>
      <c r="AC264" s="8" t="n"/>
      <c r="AD264" s="8" t="n">
        <v>28</v>
      </c>
      <c r="AE264" s="8" t="inlineStr">
        <is>
          <t>200C x 70h, 25% compression, AS214 O-ring (JIS K6262)</t>
        </is>
      </c>
      <c r="AF264" s="8" t="n">
        <v>4.7</v>
      </c>
      <c r="AG264" s="8" t="inlineStr">
        <is>
          <t>O2:CF4=9:1, RF 300 W, 200 sccm, 1 torr, 6 h, sample 10 cm from electrode (Hirano Koh-On plate apparatus)</t>
        </is>
      </c>
      <c r="AH264" s="8" t="inlineStr">
        <is>
          <t>parts by weight; CS %; weight loss %</t>
        </is>
      </c>
      <c r="AI264" s="8" t="inlineStr">
        <is>
          <t>Press 160C x 30 min, post-cure 230C x 24 h. Plasma crack test: Crack.</t>
        </is>
      </c>
    </row>
    <row r="265">
      <c r="A265" s="8" t="inlineStr">
        <is>
          <t>US8349965B2</t>
        </is>
      </c>
      <c r="B265" s="8" t="inlineStr">
        <is>
          <t>patent</t>
        </is>
      </c>
      <c r="C265" s="8" t="inlineStr">
        <is>
          <t>Nippon Valqua Industries, Ltd.</t>
        </is>
      </c>
      <c r="D265" s="8" t="inlineStr">
        <is>
          <t>Fluororubber composition capable of forming crack-resistant seal and crack-resistant seal formed from the composition</t>
        </is>
      </c>
      <c r="E265" s="8" t="inlineStr">
        <is>
          <t>https://patents.google.com/patent/US8349965B2/en</t>
        </is>
      </c>
      <c r="F265" s="8" t="inlineStr">
        <is>
          <t>Comparative Example 5</t>
        </is>
      </c>
      <c r="G265" s="8" t="inlineStr">
        <is>
          <t>FKM</t>
        </is>
      </c>
      <c r="H265" s="8" t="inlineStr">
        <is>
          <t>DAI-EL G621 (VDF/HFP/TFE masterbatch with quaternary ammonium salt + BPAF)</t>
        </is>
      </c>
      <c r="I265" s="8" t="inlineStr">
        <is>
          <t>bisphenol</t>
        </is>
      </c>
      <c r="J265" s="8" t="n">
        <v>100</v>
      </c>
      <c r="K265" s="8" t="n">
        <v>0</v>
      </c>
      <c r="L265" s="8" t="n">
        <v>0</v>
      </c>
      <c r="M265" s="8" t="n">
        <v>0</v>
      </c>
      <c r="N265" s="8" t="n">
        <v>0</v>
      </c>
      <c r="O265" s="8" t="n">
        <v>0</v>
      </c>
      <c r="P265" s="8" t="n">
        <v>0</v>
      </c>
      <c r="Q265" s="8" t="n">
        <v>0</v>
      </c>
      <c r="R265" s="8" t="n">
        <v>0</v>
      </c>
      <c r="S265" s="8" t="n">
        <v>0</v>
      </c>
      <c r="T265" s="8" t="n">
        <v>0</v>
      </c>
      <c r="U265" s="8" t="n">
        <v>0</v>
      </c>
      <c r="V265" s="8" t="n"/>
      <c r="W265" s="8" t="n">
        <v>9</v>
      </c>
      <c r="X265" s="8" t="n">
        <v>0</v>
      </c>
      <c r="Y265" s="8" t="inlineStr">
        <is>
          <t>cure system pre-incorporated in G621 masterbatch (amount not stated); MgO 3 + Ca(OH)2 6</t>
        </is>
      </c>
      <c r="Z265" s="8" t="n"/>
      <c r="AA265" s="8" t="n"/>
      <c r="AB265" s="8" t="n"/>
      <c r="AC265" s="8" t="n"/>
      <c r="AD265" s="8" t="n">
        <v>45</v>
      </c>
      <c r="AE265" s="8" t="inlineStr">
        <is>
          <t>200C x 70h, 25% compression, AS214 O-ring (JIS K6262)</t>
        </is>
      </c>
      <c r="AF265" s="8" t="n">
        <v>3</v>
      </c>
      <c r="AG265" s="8" t="inlineStr">
        <is>
          <t>O2:CF4=9:1, RF 300 W, 200 sccm, 1 torr, 6 h, sample 10 cm from electrode (Hirano Koh-On plate apparatus)</t>
        </is>
      </c>
      <c r="AH265" s="8" t="inlineStr">
        <is>
          <t>parts by weight; CS %; weight loss %</t>
        </is>
      </c>
      <c r="AI265" s="8" t="inlineStr">
        <is>
          <t>Press 160C x 30 min, post-cure 230C x 24 h. Plasma crack test: Crack. other_curative left empty (incorporated in polymer).</t>
        </is>
      </c>
    </row>
    <row r="266">
      <c r="A266" s="8" t="inlineStr">
        <is>
          <t>US10723872B2</t>
        </is>
      </c>
      <c r="B266" s="8" t="inlineStr">
        <is>
          <t>patent</t>
        </is>
      </c>
      <c r="C266" s="8" t="inlineStr">
        <is>
          <t>Nichias Corporation</t>
        </is>
      </c>
      <c r="D266" s="8" t="inlineStr">
        <is>
          <t>Crosslinkable elastomer composition, molded article, seal member, plasma treatment apparatus and semiconductor manufacturing apparatus including said seal member, and agent for decreasing hardness of molded article, method for producing molded article</t>
        </is>
      </c>
      <c r="E266" s="8" t="inlineStr">
        <is>
          <t>https://patents.google.com/patent/US10723872B2/en</t>
        </is>
      </c>
      <c r="F266" s="8" t="inlineStr">
        <is>
          <t>Comparative example 1</t>
        </is>
      </c>
      <c r="G266" s="8" t="inlineStr">
        <is>
          <t>FKM</t>
        </is>
      </c>
      <c r="H266" s="8" t="inlineStr">
        <is>
          <t>Tecnoflon P959 (Solvay)</t>
        </is>
      </c>
      <c r="I266" s="8" t="inlineStr">
        <is>
          <t>peroxide</t>
        </is>
      </c>
      <c r="J266" s="8" t="n">
        <v>100</v>
      </c>
      <c r="K266" s="8" t="n">
        <v>15</v>
      </c>
      <c r="L266" s="8" t="n">
        <v>0</v>
      </c>
      <c r="M266" s="8" t="n">
        <v>0</v>
      </c>
      <c r="N266" s="8" t="n">
        <v>0</v>
      </c>
      <c r="O266" s="8" t="n">
        <v>0</v>
      </c>
      <c r="P266" s="8" t="n">
        <v>0</v>
      </c>
      <c r="Q266" s="8" t="n">
        <v>0</v>
      </c>
      <c r="R266" s="8" t="n">
        <v>0</v>
      </c>
      <c r="S266" s="8" t="n">
        <v>2</v>
      </c>
      <c r="T266" s="8" t="n">
        <v>1</v>
      </c>
      <c r="U266" s="8" t="n">
        <v>0</v>
      </c>
      <c r="V266" s="8" t="n">
        <v>0</v>
      </c>
      <c r="W266" s="8" t="n">
        <v>0</v>
      </c>
      <c r="X266" s="8" t="n">
        <v>0</v>
      </c>
      <c r="Y266" s="8" t="inlineStr">
        <is>
          <t>MT carbon N990 15; TAIC 2; Perhexa 25B 1</t>
        </is>
      </c>
      <c r="Z266" s="8" t="n">
        <v>67.5</v>
      </c>
      <c r="AA266" s="8" t="n"/>
      <c r="AB266" s="8" t="n"/>
      <c r="AC266" s="8" t="n"/>
      <c r="AD266" s="8" t="n"/>
      <c r="AE266" s="8" t="n"/>
      <c r="AF266" s="8" t="n">
        <v>9.720000000000001</v>
      </c>
      <c r="AG266" s="8" t="inlineStr">
        <is>
          <t>O2+CF4 surface-wave plasma (Shinko Seiki), 133 Pa, 3 kW, 2 h; 3.53 mm x 30 mm cut AS568-214 piece</t>
        </is>
      </c>
      <c r="AH266" s="8" t="inlineStr">
        <is>
          <t>amounts in g per 100 g elastomer (= phr); hardness micro-tester; weight loss wt%</t>
        </is>
      </c>
      <c r="AI266" s="8" t="inlineStr">
        <is>
          <t>Hardness measured on O-ring with Bareiss HPE II micro rubber hardness meter (Shore AM/M), not a standard type-A durometer on sheet. Table 5. Press at 150C for 1.2 x tc90, post-cure 180C x 4 h.</t>
        </is>
      </c>
    </row>
    <row r="267">
      <c r="A267" s="8" t="inlineStr">
        <is>
          <t>US10723872B2</t>
        </is>
      </c>
      <c r="B267" s="8" t="inlineStr">
        <is>
          <t>patent</t>
        </is>
      </c>
      <c r="C267" s="8" t="inlineStr">
        <is>
          <t>Nichias Corporation</t>
        </is>
      </c>
      <c r="D267" s="8" t="inlineStr">
        <is>
          <t>Crosslinkable elastomer composition, molded article, seal member, plasma treatment apparatus and semiconductor manufacturing apparatus including said seal member, and agent for decreasing hardness of molded article, method for producing molded article</t>
        </is>
      </c>
      <c r="E267" s="8" t="inlineStr">
        <is>
          <t>https://patents.google.com/patent/US10723872B2/en</t>
        </is>
      </c>
      <c r="F267" s="8" t="inlineStr">
        <is>
          <t>Comparative example 4</t>
        </is>
      </c>
      <c r="G267" s="8" t="inlineStr">
        <is>
          <t>FKM</t>
        </is>
      </c>
      <c r="H267" s="8" t="inlineStr">
        <is>
          <t>Tecnoflon P959 (Solvay)</t>
        </is>
      </c>
      <c r="I267" s="8" t="inlineStr">
        <is>
          <t>peroxide</t>
        </is>
      </c>
      <c r="J267" s="8" t="n">
        <v>100</v>
      </c>
      <c r="K267" s="8" t="n">
        <v>15</v>
      </c>
      <c r="L267" s="8" t="n">
        <v>0</v>
      </c>
      <c r="M267" s="8" t="n">
        <v>0</v>
      </c>
      <c r="N267" s="8" t="n">
        <v>0</v>
      </c>
      <c r="O267" s="8" t="n">
        <v>0</v>
      </c>
      <c r="P267" s="8" t="n">
        <v>0</v>
      </c>
      <c r="Q267" s="8" t="n">
        <v>0</v>
      </c>
      <c r="R267" s="8" t="n">
        <v>0</v>
      </c>
      <c r="S267" s="8" t="n">
        <v>2</v>
      </c>
      <c r="T267" s="8" t="n">
        <v>1</v>
      </c>
      <c r="U267" s="8" t="n">
        <v>0</v>
      </c>
      <c r="V267" s="8" t="n">
        <v>0</v>
      </c>
      <c r="W267" s="8" t="n">
        <v>0</v>
      </c>
      <c r="X267" s="8" t="n">
        <v>3</v>
      </c>
      <c r="Y267" s="8" t="inlineStr">
        <is>
          <t>MT carbon N990 15; TAIC 2; Perhexa 25B 1; hydrogen-containing fluoro oligomer 3M Novec 7000 3</t>
        </is>
      </c>
      <c r="Z267" s="8" t="n">
        <v>65.90000000000001</v>
      </c>
      <c r="AA267" s="8" t="n"/>
      <c r="AB267" s="8" t="n"/>
      <c r="AC267" s="8" t="n"/>
      <c r="AD267" s="8" t="n"/>
      <c r="AE267" s="8" t="n"/>
      <c r="AF267" s="8" t="n">
        <v>9.93</v>
      </c>
      <c r="AG267" s="8" t="inlineStr">
        <is>
          <t>O2+CF4 surface-wave plasma (Shinko Seiki), 133 Pa, 3 kW, 2 h; 3.53 mm x 30 mm cut AS568-214 piece</t>
        </is>
      </c>
      <c r="AH267" s="8" t="inlineStr">
        <is>
          <t>amounts in g per 100 g elastomer (= phr); hardness micro-tester; weight loss wt%</t>
        </is>
      </c>
      <c r="AI267" s="8" t="inlineStr">
        <is>
          <t>Hardness measured on O-ring with Bareiss HPE II micro rubber hardness meter (Shore AM/M), not a standard type-A durometer on sheet. Table 5. Press at 150C for 1.2 x tc90, post-cure 180C x 4 h.</t>
        </is>
      </c>
    </row>
    <row r="268">
      <c r="A268" s="8" t="inlineStr">
        <is>
          <t>US10723872B2</t>
        </is>
      </c>
      <c r="B268" s="8" t="inlineStr">
        <is>
          <t>patent</t>
        </is>
      </c>
      <c r="C268" s="8" t="inlineStr">
        <is>
          <t>Nichias Corporation</t>
        </is>
      </c>
      <c r="D268" s="8" t="inlineStr">
        <is>
          <t>Crosslinkable elastomer composition, molded article, seal member, plasma treatment apparatus and semiconductor manufacturing apparatus including said seal member, and agent for decreasing hardness of molded article, method for producing molded article</t>
        </is>
      </c>
      <c r="E268" s="8" t="inlineStr">
        <is>
          <t>https://patents.google.com/patent/US10723872B2/en</t>
        </is>
      </c>
      <c r="F268" s="8" t="inlineStr">
        <is>
          <t>Comparative example 5</t>
        </is>
      </c>
      <c r="G268" s="8" t="inlineStr">
        <is>
          <t>FKM</t>
        </is>
      </c>
      <c r="H268" s="8" t="inlineStr">
        <is>
          <t>Tecnoflon P959 (Solvay)</t>
        </is>
      </c>
      <c r="I268" s="8" t="inlineStr">
        <is>
          <t>peroxide</t>
        </is>
      </c>
      <c r="J268" s="8" t="n">
        <v>100</v>
      </c>
      <c r="K268" s="8" t="n">
        <v>15</v>
      </c>
      <c r="L268" s="8" t="n">
        <v>0</v>
      </c>
      <c r="M268" s="8" t="n">
        <v>0</v>
      </c>
      <c r="N268" s="8" t="n">
        <v>0</v>
      </c>
      <c r="O268" s="8" t="n">
        <v>0</v>
      </c>
      <c r="P268" s="8" t="n">
        <v>0</v>
      </c>
      <c r="Q268" s="8" t="n">
        <v>0</v>
      </c>
      <c r="R268" s="8" t="n">
        <v>0</v>
      </c>
      <c r="S268" s="8" t="n">
        <v>2</v>
      </c>
      <c r="T268" s="8" t="n">
        <v>1</v>
      </c>
      <c r="U268" s="8" t="n">
        <v>0</v>
      </c>
      <c r="V268" s="8" t="n">
        <v>0</v>
      </c>
      <c r="W268" s="8" t="n">
        <v>0</v>
      </c>
      <c r="X268" s="8" t="n">
        <v>3</v>
      </c>
      <c r="Y268" s="8" t="inlineStr">
        <is>
          <t>MT carbon N990 15; TAIC 2; Perhexa 25B 1; hydrogen-containing fluoro oligomer 3M Novec 7100 3</t>
        </is>
      </c>
      <c r="Z268" s="8" t="n">
        <v>66</v>
      </c>
      <c r="AA268" s="8" t="n"/>
      <c r="AB268" s="8" t="n"/>
      <c r="AC268" s="8" t="n"/>
      <c r="AD268" s="8" t="n"/>
      <c r="AE268" s="8" t="n"/>
      <c r="AF268" s="8" t="n">
        <v>9.91</v>
      </c>
      <c r="AG268" s="8" t="inlineStr">
        <is>
          <t>O2+CF4 surface-wave plasma (Shinko Seiki), 133 Pa, 3 kW, 2 h; 3.53 mm x 30 mm cut AS568-214 piece</t>
        </is>
      </c>
      <c r="AH268" s="8" t="inlineStr">
        <is>
          <t>amounts in g per 100 g elastomer (= phr); hardness micro-tester; weight loss wt%</t>
        </is>
      </c>
      <c r="AI268" s="8" t="inlineStr">
        <is>
          <t>Hardness measured on O-ring with Bareiss HPE II micro rubber hardness meter (Shore AM/M), not a standard type-A durometer on sheet. Table 5. Press at 150C for 1.2 x tc90, post-cure 180C x 4 h.</t>
        </is>
      </c>
    </row>
    <row r="269">
      <c r="A269" s="8" t="inlineStr">
        <is>
          <t>US10723872B2</t>
        </is>
      </c>
      <c r="B269" s="8" t="inlineStr">
        <is>
          <t>patent</t>
        </is>
      </c>
      <c r="C269" s="8" t="inlineStr">
        <is>
          <t>Nichias Corporation</t>
        </is>
      </c>
      <c r="D269" s="8" t="inlineStr">
        <is>
          <t>Crosslinkable elastomer composition, molded article, seal member, plasma treatment apparatus and semiconductor manufacturing apparatus including said seal member, and agent for decreasing hardness of molded article, method for producing molded article</t>
        </is>
      </c>
      <c r="E269" s="8" t="inlineStr">
        <is>
          <t>https://patents.google.com/patent/US10723872B2/en</t>
        </is>
      </c>
      <c r="F269" s="8" t="inlineStr">
        <is>
          <t>Comparative example 6</t>
        </is>
      </c>
      <c r="G269" s="8" t="inlineStr">
        <is>
          <t>FKM</t>
        </is>
      </c>
      <c r="H269" s="8" t="inlineStr">
        <is>
          <t>Tecnoflon P959 (Solvay)</t>
        </is>
      </c>
      <c r="I269" s="8" t="inlineStr">
        <is>
          <t>peroxide</t>
        </is>
      </c>
      <c r="J269" s="8" t="n">
        <v>100</v>
      </c>
      <c r="K269" s="8" t="n">
        <v>15</v>
      </c>
      <c r="L269" s="8" t="n">
        <v>0</v>
      </c>
      <c r="M269" s="8" t="n">
        <v>0</v>
      </c>
      <c r="N269" s="8" t="n">
        <v>0</v>
      </c>
      <c r="O269" s="8" t="n">
        <v>0</v>
      </c>
      <c r="P269" s="8" t="n">
        <v>0</v>
      </c>
      <c r="Q269" s="8" t="n">
        <v>0</v>
      </c>
      <c r="R269" s="8" t="n">
        <v>0</v>
      </c>
      <c r="S269" s="8" t="n">
        <v>2</v>
      </c>
      <c r="T269" s="8" t="n">
        <v>1</v>
      </c>
      <c r="U269" s="8" t="n">
        <v>0</v>
      </c>
      <c r="V269" s="8" t="n">
        <v>0</v>
      </c>
      <c r="W269" s="8" t="n">
        <v>0</v>
      </c>
      <c r="X269" s="8" t="n">
        <v>3</v>
      </c>
      <c r="Y269" s="8" t="inlineStr">
        <is>
          <t>MT carbon N990 15; TAIC 2; Perhexa 25B 1; hydrogen-containing fluoro oligomer 3M Novec 7200 3</t>
        </is>
      </c>
      <c r="Z269" s="8" t="n">
        <v>64.09999999999999</v>
      </c>
      <c r="AA269" s="8" t="n"/>
      <c r="AB269" s="8" t="n"/>
      <c r="AC269" s="8" t="n"/>
      <c r="AD269" s="8" t="n"/>
      <c r="AE269" s="8" t="n"/>
      <c r="AF269" s="8" t="n">
        <v>9.74</v>
      </c>
      <c r="AG269" s="8" t="inlineStr">
        <is>
          <t>O2+CF4 surface-wave plasma (Shinko Seiki), 133 Pa, 3 kW, 2 h; 3.53 mm x 30 mm cut AS568-214 piece</t>
        </is>
      </c>
      <c r="AH269" s="8" t="inlineStr">
        <is>
          <t>amounts in g per 100 g elastomer (= phr); hardness micro-tester; weight loss wt%</t>
        </is>
      </c>
      <c r="AI269" s="8" t="inlineStr">
        <is>
          <t>Hardness measured on O-ring with Bareiss HPE II micro rubber hardness meter (Shore AM/M), not a standard type-A durometer on sheet. Table 5. Press at 150C for 1.2 x tc90, post-cure 180C x 4 h.</t>
        </is>
      </c>
    </row>
    <row r="270">
      <c r="A270" s="8" t="inlineStr">
        <is>
          <t>US10723872B2</t>
        </is>
      </c>
      <c r="B270" s="8" t="inlineStr">
        <is>
          <t>patent</t>
        </is>
      </c>
      <c r="C270" s="8" t="inlineStr">
        <is>
          <t>Nichias Corporation</t>
        </is>
      </c>
      <c r="D270" s="8" t="inlineStr">
        <is>
          <t>Crosslinkable elastomer composition, molded article, seal member, plasma treatment apparatus and semiconductor manufacturing apparatus including said seal member, and agent for decreasing hardness of molded article, method for producing molded article</t>
        </is>
      </c>
      <c r="E270" s="8" t="inlineStr">
        <is>
          <t>https://patents.google.com/patent/US10723872B2/en</t>
        </is>
      </c>
      <c r="F270" s="8" t="inlineStr">
        <is>
          <t>Comparative example 7</t>
        </is>
      </c>
      <c r="G270" s="8" t="inlineStr">
        <is>
          <t>FKM</t>
        </is>
      </c>
      <c r="H270" s="8" t="inlineStr">
        <is>
          <t>Tecnoflon P959 (Solvay)</t>
        </is>
      </c>
      <c r="I270" s="8" t="inlineStr">
        <is>
          <t>peroxide</t>
        </is>
      </c>
      <c r="J270" s="8" t="n">
        <v>100</v>
      </c>
      <c r="K270" s="8" t="n">
        <v>15</v>
      </c>
      <c r="L270" s="8" t="n">
        <v>0</v>
      </c>
      <c r="M270" s="8" t="n">
        <v>0</v>
      </c>
      <c r="N270" s="8" t="n">
        <v>0</v>
      </c>
      <c r="O270" s="8" t="n">
        <v>0</v>
      </c>
      <c r="P270" s="8" t="n">
        <v>0</v>
      </c>
      <c r="Q270" s="8" t="n">
        <v>0</v>
      </c>
      <c r="R270" s="8" t="n">
        <v>0</v>
      </c>
      <c r="S270" s="8" t="n">
        <v>2</v>
      </c>
      <c r="T270" s="8" t="n">
        <v>1</v>
      </c>
      <c r="U270" s="8" t="n">
        <v>0</v>
      </c>
      <c r="V270" s="8" t="n">
        <v>0</v>
      </c>
      <c r="W270" s="8" t="n">
        <v>0</v>
      </c>
      <c r="X270" s="8" t="n">
        <v>3</v>
      </c>
      <c r="Y270" s="8" t="inlineStr">
        <is>
          <t>MT carbon N990 15; TAIC 2; Perhexa 25B 1; hydrogen-containing fluoro oligomer 3M Novec 7300 3</t>
        </is>
      </c>
      <c r="Z270" s="8" t="n">
        <v>62.6</v>
      </c>
      <c r="AA270" s="8" t="n"/>
      <c r="AB270" s="8" t="n"/>
      <c r="AC270" s="8" t="n"/>
      <c r="AD270" s="8" t="n"/>
      <c r="AE270" s="8" t="n"/>
      <c r="AF270" s="8" t="n">
        <v>9.890000000000001</v>
      </c>
      <c r="AG270" s="8" t="inlineStr">
        <is>
          <t>O2+CF4 surface-wave plasma (Shinko Seiki), 133 Pa, 3 kW, 2 h; 3.53 mm x 30 mm cut AS568-214 piece</t>
        </is>
      </c>
      <c r="AH270" s="8" t="inlineStr">
        <is>
          <t>amounts in g per 100 g elastomer (= phr); hardness micro-tester; weight loss wt%</t>
        </is>
      </c>
      <c r="AI270" s="8" t="inlineStr">
        <is>
          <t>Hardness measured on O-ring with Bareiss HPE II micro rubber hardness meter (Shore AM/M), not a standard type-A durometer on sheet. Table 5. Press at 150C for 1.2 x tc90, post-cure 180C x 4 h.</t>
        </is>
      </c>
    </row>
    <row r="271">
      <c r="A271" s="8" t="inlineStr">
        <is>
          <t>US10723872B2</t>
        </is>
      </c>
      <c r="B271" s="8" t="inlineStr">
        <is>
          <t>patent</t>
        </is>
      </c>
      <c r="C271" s="8" t="inlineStr">
        <is>
          <t>Nichias Corporation</t>
        </is>
      </c>
      <c r="D271" s="8" t="inlineStr">
        <is>
          <t>Crosslinkable elastomer composition, molded article, seal member, plasma treatment apparatus and semiconductor manufacturing apparatus including said seal member, and agent for decreasing hardness of molded article, method for producing molded article</t>
        </is>
      </c>
      <c r="E271" s="8" t="inlineStr">
        <is>
          <t>https://patents.google.com/patent/US10723872B2/en</t>
        </is>
      </c>
      <c r="F271" s="8" t="inlineStr">
        <is>
          <t>Example 32</t>
        </is>
      </c>
      <c r="G271" s="8" t="inlineStr">
        <is>
          <t>FFKM</t>
        </is>
      </c>
      <c r="H271" s="8" t="inlineStr">
        <is>
          <t>DAI-EL Perfluor GA-15 (Daikin)</t>
        </is>
      </c>
      <c r="I271" s="8" t="inlineStr">
        <is>
          <t>peroxide</t>
        </is>
      </c>
      <c r="J271" s="8" t="n">
        <v>100</v>
      </c>
      <c r="K271" s="8" t="n">
        <v>15</v>
      </c>
      <c r="L271" s="8" t="n">
        <v>0</v>
      </c>
      <c r="M271" s="8" t="n">
        <v>0</v>
      </c>
      <c r="N271" s="8" t="n">
        <v>0</v>
      </c>
      <c r="O271" s="8" t="n">
        <v>0</v>
      </c>
      <c r="P271" s="8" t="n">
        <v>0</v>
      </c>
      <c r="Q271" s="8" t="n">
        <v>0</v>
      </c>
      <c r="R271" s="8" t="n">
        <v>0</v>
      </c>
      <c r="S271" s="8" t="n">
        <v>2</v>
      </c>
      <c r="T271" s="8" t="n">
        <v>1</v>
      </c>
      <c r="U271" s="8" t="n">
        <v>0</v>
      </c>
      <c r="V271" s="8" t="n">
        <v>0</v>
      </c>
      <c r="W271" s="8" t="n">
        <v>0</v>
      </c>
      <c r="X271" s="8" t="n">
        <v>5</v>
      </c>
      <c r="Y271" s="8" t="inlineStr">
        <is>
          <t>MT carbon N990 15; TAIC 2; Perhexa 25B 1; PFPE oil Krytox 143AD (MW 7480) 5</t>
        </is>
      </c>
      <c r="Z271" s="8" t="n">
        <v>70</v>
      </c>
      <c r="AA271" s="8" t="n"/>
      <c r="AB271" s="8" t="n"/>
      <c r="AC271" s="8" t="n"/>
      <c r="AD271" s="8" t="n"/>
      <c r="AE271" s="8" t="n"/>
      <c r="AF271" s="8" t="n">
        <v>0.01</v>
      </c>
      <c r="AG271" s="8" t="inlineStr">
        <is>
          <t>O2+CF4 surface-wave plasma (Shinko Seiki), 133 Pa, 3 kW, 2 h; 3.53 mm x 30 mm cut AS568-214 piece</t>
        </is>
      </c>
      <c r="AH271" s="8" t="inlineStr">
        <is>
          <t>amounts in g per 100 g elastomer (= phr); hardness micro-tester; weight loss wt%</t>
        </is>
      </c>
      <c r="AI271" s="8" t="inlineStr">
        <is>
          <t>Hardness measured on O-ring with Bareiss HPE II micro rubber hardness meter (Shore AM/M), not a standard type-A durometer on sheet. Table 7.</t>
        </is>
      </c>
    </row>
    <row r="272">
      <c r="A272" s="8" t="inlineStr">
        <is>
          <t>US10723872B2</t>
        </is>
      </c>
      <c r="B272" s="8" t="inlineStr">
        <is>
          <t>patent</t>
        </is>
      </c>
      <c r="C272" s="8" t="inlineStr">
        <is>
          <t>Nichias Corporation</t>
        </is>
      </c>
      <c r="D272" s="8" t="inlineStr">
        <is>
          <t>Crosslinkable elastomer composition, molded article, seal member, plasma treatment apparatus and semiconductor manufacturing apparatus including said seal member, and agent for decreasing hardness of molded article, method for producing molded article</t>
        </is>
      </c>
      <c r="E272" s="8" t="inlineStr">
        <is>
          <t>https://patents.google.com/patent/US10723872B2/en</t>
        </is>
      </c>
      <c r="F272" s="8" t="inlineStr">
        <is>
          <t>Example 33</t>
        </is>
      </c>
      <c r="G272" s="8" t="inlineStr">
        <is>
          <t>FFKM</t>
        </is>
      </c>
      <c r="H272" s="8" t="inlineStr">
        <is>
          <t>DAI-EL Perfluor GA-15 (Daikin)</t>
        </is>
      </c>
      <c r="I272" s="8" t="inlineStr">
        <is>
          <t>peroxide</t>
        </is>
      </c>
      <c r="J272" s="8" t="n">
        <v>100</v>
      </c>
      <c r="K272" s="8" t="n">
        <v>15</v>
      </c>
      <c r="L272" s="8" t="n">
        <v>0</v>
      </c>
      <c r="M272" s="8" t="n">
        <v>0</v>
      </c>
      <c r="N272" s="8" t="n">
        <v>0</v>
      </c>
      <c r="O272" s="8" t="n">
        <v>0</v>
      </c>
      <c r="P272" s="8" t="n">
        <v>0</v>
      </c>
      <c r="Q272" s="8" t="n">
        <v>0</v>
      </c>
      <c r="R272" s="8" t="n">
        <v>0</v>
      </c>
      <c r="S272" s="8" t="n">
        <v>2</v>
      </c>
      <c r="T272" s="8" t="n">
        <v>1</v>
      </c>
      <c r="U272" s="8" t="n">
        <v>0</v>
      </c>
      <c r="V272" s="8" t="n">
        <v>0</v>
      </c>
      <c r="W272" s="8" t="n">
        <v>0</v>
      </c>
      <c r="X272" s="8" t="n">
        <v>10</v>
      </c>
      <c r="Y272" s="8" t="inlineStr">
        <is>
          <t>MT carbon N990 15; TAIC 2; Perhexa 25B 1; PFPE oil Krytox 143AD (MW 7480) 10</t>
        </is>
      </c>
      <c r="Z272" s="8" t="n">
        <v>65</v>
      </c>
      <c r="AA272" s="8" t="n"/>
      <c r="AB272" s="8" t="n"/>
      <c r="AC272" s="8" t="n"/>
      <c r="AD272" s="8" t="n"/>
      <c r="AE272" s="8" t="n"/>
      <c r="AF272" s="8" t="n">
        <v>0.01</v>
      </c>
      <c r="AG272" s="8" t="inlineStr">
        <is>
          <t>O2+CF4 surface-wave plasma (Shinko Seiki), 133 Pa, 3 kW, 2 h; 3.53 mm x 30 mm cut AS568-214 piece</t>
        </is>
      </c>
      <c r="AH272" s="8" t="inlineStr">
        <is>
          <t>amounts in g per 100 g elastomer (= phr); hardness micro-tester; weight loss wt%</t>
        </is>
      </c>
      <c r="AI272" s="8" t="inlineStr">
        <is>
          <t>Hardness measured on O-ring with Bareiss HPE II micro rubber hardness meter (Shore AM/M), not a standard type-A durometer on sheet. Table 7.</t>
        </is>
      </c>
    </row>
    <row r="273">
      <c r="A273" s="8" t="inlineStr">
        <is>
          <t>US10723872B2</t>
        </is>
      </c>
      <c r="B273" s="8" t="inlineStr">
        <is>
          <t>patent</t>
        </is>
      </c>
      <c r="C273" s="8" t="inlineStr">
        <is>
          <t>Nichias Corporation</t>
        </is>
      </c>
      <c r="D273" s="8" t="inlineStr">
        <is>
          <t>Crosslinkable elastomer composition, molded article, seal member, plasma treatment apparatus and semiconductor manufacturing apparatus including said seal member, and agent for decreasing hardness of molded article, method for producing molded article</t>
        </is>
      </c>
      <c r="E273" s="8" t="inlineStr">
        <is>
          <t>https://patents.google.com/patent/US10723872B2/en</t>
        </is>
      </c>
      <c r="F273" s="8" t="inlineStr">
        <is>
          <t>Comparative Example 8</t>
        </is>
      </c>
      <c r="G273" s="8" t="inlineStr">
        <is>
          <t>FFKM</t>
        </is>
      </c>
      <c r="H273" s="8" t="inlineStr">
        <is>
          <t>DAI-EL Perfluor GA-15 (Daikin)</t>
        </is>
      </c>
      <c r="I273" s="8" t="inlineStr">
        <is>
          <t>peroxide</t>
        </is>
      </c>
      <c r="J273" s="8" t="n">
        <v>100</v>
      </c>
      <c r="K273" s="8" t="n">
        <v>15</v>
      </c>
      <c r="L273" s="8" t="n">
        <v>0</v>
      </c>
      <c r="M273" s="8" t="n">
        <v>0</v>
      </c>
      <c r="N273" s="8" t="n">
        <v>0</v>
      </c>
      <c r="O273" s="8" t="n">
        <v>0</v>
      </c>
      <c r="P273" s="8" t="n">
        <v>0</v>
      </c>
      <c r="Q273" s="8" t="n">
        <v>0</v>
      </c>
      <c r="R273" s="8" t="n">
        <v>0</v>
      </c>
      <c r="S273" s="8" t="n">
        <v>2</v>
      </c>
      <c r="T273" s="8" t="n">
        <v>1</v>
      </c>
      <c r="U273" s="8" t="n">
        <v>0</v>
      </c>
      <c r="V273" s="8" t="n">
        <v>0</v>
      </c>
      <c r="W273" s="8" t="n">
        <v>0</v>
      </c>
      <c r="X273" s="8" t="n">
        <v>0</v>
      </c>
      <c r="Y273" s="8" t="inlineStr">
        <is>
          <t>MT carbon N990 15; TAIC 2; Perhexa 25B 1</t>
        </is>
      </c>
      <c r="Z273" s="8" t="n">
        <v>75</v>
      </c>
      <c r="AA273" s="8" t="n"/>
      <c r="AB273" s="8" t="n"/>
      <c r="AC273" s="8" t="n"/>
      <c r="AD273" s="8" t="n"/>
      <c r="AE273" s="8" t="n"/>
      <c r="AF273" s="8" t="n">
        <v>0.01</v>
      </c>
      <c r="AG273" s="8" t="inlineStr">
        <is>
          <t>O2+CF4 surface-wave plasma (Shinko Seiki), 133 Pa, 3 kW, 2 h; 3.53 mm x 30 mm cut AS568-214 piece</t>
        </is>
      </c>
      <c r="AH273" s="8" t="inlineStr">
        <is>
          <t>amounts in g per 100 g elastomer (= phr); hardness micro-tester; weight loss wt%</t>
        </is>
      </c>
      <c r="AI273" s="8" t="inlineStr">
        <is>
          <t>Hardness measured on O-ring with Bareiss HPE II micro rubber hardness meter (Shore AM/M), not a standard type-A durometer on sheet. Table 7.</t>
        </is>
      </c>
    </row>
    <row r="274">
      <c r="A274" s="8" t="inlineStr">
        <is>
          <t>US12305107B2</t>
        </is>
      </c>
      <c r="B274" s="8" t="inlineStr">
        <is>
          <t>patent</t>
        </is>
      </c>
      <c r="C274" s="8" t="inlineStr">
        <is>
          <t>Nichias Corporation</t>
        </is>
      </c>
      <c r="D274" s="8" t="inlineStr">
        <is>
          <t>Perfluoroelastomer composition, cross-linked perfluoroelastomer and molded article</t>
        </is>
      </c>
      <c r="E274" s="8" t="inlineStr">
        <is>
          <t>https://patents.google.com/patent/US12305107B2/en</t>
        </is>
      </c>
      <c r="F274" s="8" t="inlineStr">
        <is>
          <t>Example 1</t>
        </is>
      </c>
      <c r="G274" s="8" t="inlineStr">
        <is>
          <t>FFKM</t>
        </is>
      </c>
      <c r="H274" s="8" t="inlineStr">
        <is>
          <t>3M PFE40Z</t>
        </is>
      </c>
      <c r="I274" s="8" t="inlineStr">
        <is>
          <t>peroxide</t>
        </is>
      </c>
      <c r="J274" s="8" t="n">
        <v>100</v>
      </c>
      <c r="K274" s="8" t="n">
        <v>65</v>
      </c>
      <c r="L274" s="8" t="n">
        <v>0</v>
      </c>
      <c r="M274" s="8" t="n">
        <v>0</v>
      </c>
      <c r="N274" s="8" t="n">
        <v>0</v>
      </c>
      <c r="O274" s="8" t="n">
        <v>0</v>
      </c>
      <c r="P274" s="8" t="n">
        <v>0</v>
      </c>
      <c r="Q274" s="8" t="n">
        <v>0</v>
      </c>
      <c r="R274" s="8" t="n">
        <v>0</v>
      </c>
      <c r="S274" s="8" t="n">
        <v>7</v>
      </c>
      <c r="T274" s="8" t="n">
        <v>2</v>
      </c>
      <c r="U274" s="8" t="n">
        <v>0</v>
      </c>
      <c r="V274" s="8" t="n">
        <v>0</v>
      </c>
      <c r="W274" s="8" t="n">
        <v>0</v>
      </c>
      <c r="X274" s="8" t="n">
        <v>3</v>
      </c>
      <c r="Y274" s="8" t="inlineStr">
        <is>
          <t>crosslinking agent compound (1) (R1-R3=F, A=-(CF2)6-) 7; MT carbon Thermax N990 65; fluorine plasticizer Krytox VPF16256 3; Perhexa 25B 2</t>
        </is>
      </c>
      <c r="Z274" s="8" t="n"/>
      <c r="AA274" s="8" t="n"/>
      <c r="AB274" s="8" t="n"/>
      <c r="AC274" s="8" t="n"/>
      <c r="AD274" s="8" t="n">
        <v>32</v>
      </c>
      <c r="AE274" s="8" t="inlineStr">
        <is>
          <t>200C x 72h, 25% compression, O-ring, air (gear oven)</t>
        </is>
      </c>
      <c r="AF274" s="8" t="n"/>
      <c r="AG274" s="8" t="n"/>
      <c r="AH274" s="8" t="inlineStr">
        <is>
          <t>parts by weight; CS %</t>
        </is>
      </c>
      <c r="AI274" s="8" t="inlineStr">
        <is>
          <t>Primary 170C x 40 min, secondary 310C x 4 h N2. CS 250C x 72h = 37%, 300C x 72h = 58%; steam CS 250C = 23%, 300C = 36%. RGD (NORSOK) score 100C = 0.0, 300C = 0.3. Not a semiconductor application (oil/geothermal).</t>
        </is>
      </c>
    </row>
    <row r="275">
      <c r="A275" s="8" t="inlineStr">
        <is>
          <t>US12305107B2</t>
        </is>
      </c>
      <c r="B275" s="8" t="inlineStr">
        <is>
          <t>patent</t>
        </is>
      </c>
      <c r="C275" s="8" t="inlineStr">
        <is>
          <t>Nichias Corporation</t>
        </is>
      </c>
      <c r="D275" s="8" t="inlineStr">
        <is>
          <t>Perfluoroelastomer composition, cross-linked perfluoroelastomer and molded article</t>
        </is>
      </c>
      <c r="E275" s="8" t="inlineStr">
        <is>
          <t>https://patents.google.com/patent/US12305107B2/en</t>
        </is>
      </c>
      <c r="F275" s="8" t="inlineStr">
        <is>
          <t>Comparative Example 1</t>
        </is>
      </c>
      <c r="G275" s="8" t="inlineStr">
        <is>
          <t>FFKM</t>
        </is>
      </c>
      <c r="H275" s="8" t="inlineStr">
        <is>
          <t>3M PFE40Z</t>
        </is>
      </c>
      <c r="I275" s="8" t="inlineStr">
        <is>
          <t>peroxide</t>
        </is>
      </c>
      <c r="J275" s="8" t="n">
        <v>100</v>
      </c>
      <c r="K275" s="8" t="n">
        <v>50</v>
      </c>
      <c r="L275" s="8" t="n">
        <v>0</v>
      </c>
      <c r="M275" s="8" t="n">
        <v>0</v>
      </c>
      <c r="N275" s="8" t="n">
        <v>0</v>
      </c>
      <c r="O275" s="8" t="n">
        <v>0</v>
      </c>
      <c r="P275" s="8" t="n">
        <v>0</v>
      </c>
      <c r="Q275" s="8" t="n">
        <v>0</v>
      </c>
      <c r="R275" s="8" t="n">
        <v>0</v>
      </c>
      <c r="S275" s="8" t="n">
        <v>7</v>
      </c>
      <c r="T275" s="8" t="n">
        <v>2</v>
      </c>
      <c r="U275" s="8" t="n">
        <v>0</v>
      </c>
      <c r="V275" s="8" t="n">
        <v>0</v>
      </c>
      <c r="W275" s="8" t="n">
        <v>0</v>
      </c>
      <c r="X275" s="8" t="n">
        <v>3</v>
      </c>
      <c r="Y275" s="8" t="inlineStr">
        <is>
          <t>crosslinking agent compound (1) (R1-R3=F, A=-(CF2)6-) 7; MT carbon Thermax N990 50; fluorine plasticizer Krytox VPF16256 3; Perhexa 25B 2</t>
        </is>
      </c>
      <c r="Z275" s="8" t="n"/>
      <c r="AA275" s="8" t="n"/>
      <c r="AB275" s="8" t="n"/>
      <c r="AC275" s="8" t="n"/>
      <c r="AD275" s="8" t="n">
        <v>28</v>
      </c>
      <c r="AE275" s="8" t="inlineStr">
        <is>
          <t>200C x 72h, 25% compression, O-ring, air (gear oven)</t>
        </is>
      </c>
      <c r="AF275" s="8" t="n"/>
      <c r="AG275" s="8" t="n"/>
      <c r="AH275" s="8" t="inlineStr">
        <is>
          <t>parts by weight; CS %</t>
        </is>
      </c>
      <c r="AI275" s="8" t="inlineStr">
        <is>
          <t>Primary 170C x 40 min, secondary 310C x 4 h N2. CS 250C x 72h = 36%, 300C x 72h = 58%; steam CS 250C = 27%, 300C = 33%. RGD (NORSOK) score 100C = 5.2, 300C = 3.3. Not a semiconductor application (oil/geothermal).</t>
        </is>
      </c>
    </row>
    <row r="276">
      <c r="A276" s="8" t="inlineStr">
        <is>
          <t>US12305107B2</t>
        </is>
      </c>
      <c r="B276" s="8" t="inlineStr">
        <is>
          <t>patent</t>
        </is>
      </c>
      <c r="C276" s="8" t="inlineStr">
        <is>
          <t>Nichias Corporation</t>
        </is>
      </c>
      <c r="D276" s="8" t="inlineStr">
        <is>
          <t>Perfluoroelastomer composition, cross-linked perfluoroelastomer and molded article</t>
        </is>
      </c>
      <c r="E276" s="8" t="inlineStr">
        <is>
          <t>https://patents.google.com/patent/US12305107B2/en</t>
        </is>
      </c>
      <c r="F276" s="8" t="inlineStr">
        <is>
          <t>Comparative Example 2</t>
        </is>
      </c>
      <c r="G276" s="8" t="inlineStr">
        <is>
          <t>FFKM</t>
        </is>
      </c>
      <c r="H276" s="8" t="inlineStr">
        <is>
          <t>3M PFE40Z</t>
        </is>
      </c>
      <c r="I276" s="8" t="inlineStr">
        <is>
          <t>peroxide</t>
        </is>
      </c>
      <c r="J276" s="8" t="n">
        <v>100</v>
      </c>
      <c r="K276" s="8" t="n">
        <v>65</v>
      </c>
      <c r="L276" s="8" t="n">
        <v>0</v>
      </c>
      <c r="M276" s="8" t="n">
        <v>0</v>
      </c>
      <c r="N276" s="8" t="n">
        <v>0</v>
      </c>
      <c r="O276" s="8" t="n">
        <v>0</v>
      </c>
      <c r="P276" s="8" t="n">
        <v>0</v>
      </c>
      <c r="Q276" s="8" t="n">
        <v>0</v>
      </c>
      <c r="R276" s="8" t="n">
        <v>0</v>
      </c>
      <c r="S276" s="8" t="n"/>
      <c r="T276" s="8" t="n">
        <v>2</v>
      </c>
      <c r="U276" s="8" t="n">
        <v>0</v>
      </c>
      <c r="V276" s="8" t="n">
        <v>0</v>
      </c>
      <c r="W276" s="8" t="n">
        <v>0</v>
      </c>
      <c r="X276" s="8" t="n">
        <v>3</v>
      </c>
      <c r="Y276" s="8" t="inlineStr">
        <is>
          <t>crosslinking agent TAIC (amount not stated; replaces compound (1)); MT carbon Thermax N990 65; fluorine plasticizer Krytox VPF16256 3; Perhexa 25B 2</t>
        </is>
      </c>
      <c r="Z276" s="8" t="n"/>
      <c r="AA276" s="8" t="n"/>
      <c r="AB276" s="8" t="n"/>
      <c r="AC276" s="8" t="n"/>
      <c r="AD276" s="8" t="n">
        <v>19</v>
      </c>
      <c r="AE276" s="8" t="inlineStr">
        <is>
          <t>200C x 72h, 25% compression, O-ring, air (gear oven)</t>
        </is>
      </c>
      <c r="AF276" s="8" t="n"/>
      <c r="AG276" s="8" t="n"/>
      <c r="AH276" s="8" t="inlineStr">
        <is>
          <t>parts by weight; CS %</t>
        </is>
      </c>
      <c r="AI276" s="8" t="inlineStr">
        <is>
          <t>Primary 170C x 40 min, secondary 310C x 4 h N2. CS 250C x 72h = 61%, 300C x 72h = 88%; steam CS 250C = 17%, 300C = 65%. RGD (NORSOK) score 100C = 3.3, 300C = 5.5. Not a semiconductor application (oil/geothermal). TAIC amount not given in table/text, left empty.</t>
        </is>
      </c>
    </row>
    <row r="277">
      <c r="A277" s="8" t="inlineStr">
        <is>
          <t>US12584054B2</t>
        </is>
      </c>
      <c r="B277" s="8" t="inlineStr">
        <is>
          <t>patent</t>
        </is>
      </c>
      <c r="C277" s="8" t="inlineStr">
        <is>
          <t>Mitsubishi Cable Industries, Ltd.</t>
        </is>
      </c>
      <c r="D277" s="8" t="inlineStr">
        <is>
          <t>Semiconductor production device sealing material</t>
        </is>
      </c>
      <c r="E277" s="8" t="inlineStr">
        <is>
          <t>https://patents.google.com/patent/US12584054B2/en</t>
        </is>
      </c>
      <c r="F277" s="8" t="inlineStr">
        <is>
          <t>Example 1</t>
        </is>
      </c>
      <c r="G277" s="8" t="inlineStr">
        <is>
          <t>FKM</t>
        </is>
      </c>
      <c r="H277" s="8" t="inlineStr">
        <is>
          <t>Tecnoflon P959 (Solvay)</t>
        </is>
      </c>
      <c r="I277" s="8" t="inlineStr">
        <is>
          <t>peroxide</t>
        </is>
      </c>
      <c r="J277" s="8" t="n">
        <v>100</v>
      </c>
      <c r="K277" s="8" t="n">
        <v>0</v>
      </c>
      <c r="L277" s="8" t="n">
        <v>0</v>
      </c>
      <c r="M277" s="8" t="n">
        <v>0</v>
      </c>
      <c r="N277" s="8" t="n">
        <v>0</v>
      </c>
      <c r="O277" s="8" t="n">
        <v>0</v>
      </c>
      <c r="P277" s="8" t="n">
        <v>0</v>
      </c>
      <c r="Q277" s="8" t="n">
        <v>0</v>
      </c>
      <c r="R277" s="8" t="n">
        <v>1</v>
      </c>
      <c r="S277" s="8" t="n">
        <v>2</v>
      </c>
      <c r="T277" s="8" t="n">
        <v>1.5</v>
      </c>
      <c r="U277" s="8" t="n">
        <v>0</v>
      </c>
      <c r="V277" s="8" t="n">
        <v>0</v>
      </c>
      <c r="W277" s="8" t="n">
        <v>0</v>
      </c>
      <c r="X277" s="8" t="n">
        <v>0</v>
      </c>
      <c r="Y277" s="8" t="inlineStr">
        <is>
          <t>phenol resin powder BellPearl R100 (1.5 um) 1; TAIC 2; Perhexa 25B 1.5</t>
        </is>
      </c>
      <c r="Z277" s="8" t="n">
        <v>51</v>
      </c>
      <c r="AA277" s="8" t="n">
        <v>12</v>
      </c>
      <c r="AB277" s="8" t="n">
        <v>270</v>
      </c>
      <c r="AC277" s="8" t="n">
        <v>1.4</v>
      </c>
      <c r="AD277" s="8" t="n">
        <v>20</v>
      </c>
      <c r="AE277" s="8" t="inlineStr">
        <is>
          <t>JIS K6262, AS-214 O-ring cut in half; temperature/time not stated</t>
        </is>
      </c>
      <c r="AF277" s="8" t="n">
        <v>2</v>
      </c>
      <c r="AG277" s="8" t="inlineStr">
        <is>
          <t>O2+CF4 (50:1), RF 1500 W, 100 Pa, 30 min, AS-214 O-ring (Shinko Seiki small etcher)</t>
        </is>
      </c>
      <c r="AH277" s="8" t="inlineStr">
        <is>
          <t>parts by mass; MPa; Shore A instantaneous (JIS K6253-3)</t>
        </is>
      </c>
      <c r="AI277" s="8" t="inlineStr">
        <is>
          <t>Table 1. Press 160C x 10 min, post-cure 200C x 4 h. Dust after plasma: A.</t>
        </is>
      </c>
    </row>
    <row r="278">
      <c r="A278" s="8" t="inlineStr">
        <is>
          <t>US12584054B2</t>
        </is>
      </c>
      <c r="B278" s="8" t="inlineStr">
        <is>
          <t>patent</t>
        </is>
      </c>
      <c r="C278" s="8" t="inlineStr">
        <is>
          <t>Mitsubishi Cable Industries, Ltd.</t>
        </is>
      </c>
      <c r="D278" s="8" t="inlineStr">
        <is>
          <t>Semiconductor production device sealing material</t>
        </is>
      </c>
      <c r="E278" s="8" t="inlineStr">
        <is>
          <t>https://patents.google.com/patent/US12584054B2/en</t>
        </is>
      </c>
      <c r="F278" s="8" t="inlineStr">
        <is>
          <t>Example 2</t>
        </is>
      </c>
      <c r="G278" s="8" t="inlineStr">
        <is>
          <t>FKM</t>
        </is>
      </c>
      <c r="H278" s="8" t="inlineStr">
        <is>
          <t>Tecnoflon P959 (Solvay)</t>
        </is>
      </c>
      <c r="I278" s="8" t="inlineStr">
        <is>
          <t>peroxide</t>
        </is>
      </c>
      <c r="J278" s="8" t="n">
        <v>100</v>
      </c>
      <c r="K278" s="8" t="n">
        <v>0</v>
      </c>
      <c r="L278" s="8" t="n">
        <v>0</v>
      </c>
      <c r="M278" s="8" t="n">
        <v>0</v>
      </c>
      <c r="N278" s="8" t="n">
        <v>0</v>
      </c>
      <c r="O278" s="8" t="n">
        <v>0</v>
      </c>
      <c r="P278" s="8" t="n">
        <v>0</v>
      </c>
      <c r="Q278" s="8" t="n">
        <v>0</v>
      </c>
      <c r="R278" s="8" t="n">
        <v>10</v>
      </c>
      <c r="S278" s="8" t="n">
        <v>2</v>
      </c>
      <c r="T278" s="8" t="n">
        <v>1.5</v>
      </c>
      <c r="U278" s="8" t="n">
        <v>0</v>
      </c>
      <c r="V278" s="8" t="n">
        <v>0</v>
      </c>
      <c r="W278" s="8" t="n">
        <v>0</v>
      </c>
      <c r="X278" s="8" t="n">
        <v>0</v>
      </c>
      <c r="Y278" s="8" t="inlineStr">
        <is>
          <t>phenol resin powder BellPearl R100 (1.5 um) 10; TAIC 2; Perhexa 25B 1.5</t>
        </is>
      </c>
      <c r="Z278" s="8" t="n">
        <v>58</v>
      </c>
      <c r="AA278" s="8" t="n">
        <v>15</v>
      </c>
      <c r="AB278" s="8" t="n">
        <v>210</v>
      </c>
      <c r="AC278" s="8" t="n">
        <v>2.8</v>
      </c>
      <c r="AD278" s="8" t="n">
        <v>13</v>
      </c>
      <c r="AE278" s="8" t="inlineStr">
        <is>
          <t>JIS K6262, AS-214 O-ring cut in half; temperature/time not stated</t>
        </is>
      </c>
      <c r="AF278" s="8" t="n">
        <v>2.1</v>
      </c>
      <c r="AG278" s="8" t="inlineStr">
        <is>
          <t>O2+CF4 (50:1), RF 1500 W, 100 Pa, 30 min, AS-214 O-ring (Shinko Seiki small etcher)</t>
        </is>
      </c>
      <c r="AH278" s="8" t="inlineStr">
        <is>
          <t>parts by mass; MPa; Shore A instantaneous (JIS K6253-3)</t>
        </is>
      </c>
      <c r="AI278" s="8" t="inlineStr">
        <is>
          <t>Table 1. Press 160C x 10 min, post-cure 200C x 4 h. Dust after plasma: A.</t>
        </is>
      </c>
    </row>
    <row r="279">
      <c r="A279" s="8" t="inlineStr">
        <is>
          <t>US12584054B2</t>
        </is>
      </c>
      <c r="B279" s="8" t="inlineStr">
        <is>
          <t>patent</t>
        </is>
      </c>
      <c r="C279" s="8" t="inlineStr">
        <is>
          <t>Mitsubishi Cable Industries, Ltd.</t>
        </is>
      </c>
      <c r="D279" s="8" t="inlineStr">
        <is>
          <t>Semiconductor production device sealing material</t>
        </is>
      </c>
      <c r="E279" s="8" t="inlineStr">
        <is>
          <t>https://patents.google.com/patent/US12584054B2/en</t>
        </is>
      </c>
      <c r="F279" s="8" t="inlineStr">
        <is>
          <t>Example 3</t>
        </is>
      </c>
      <c r="G279" s="8" t="inlineStr">
        <is>
          <t>FKM</t>
        </is>
      </c>
      <c r="H279" s="8" t="inlineStr">
        <is>
          <t>Tecnoflon P959 (Solvay)</t>
        </is>
      </c>
      <c r="I279" s="8" t="inlineStr">
        <is>
          <t>peroxide</t>
        </is>
      </c>
      <c r="J279" s="8" t="n">
        <v>100</v>
      </c>
      <c r="K279" s="8" t="n">
        <v>0</v>
      </c>
      <c r="L279" s="8" t="n">
        <v>0</v>
      </c>
      <c r="M279" s="8" t="n">
        <v>0</v>
      </c>
      <c r="N279" s="8" t="n">
        <v>0</v>
      </c>
      <c r="O279" s="8" t="n">
        <v>0</v>
      </c>
      <c r="P279" s="8" t="n">
        <v>0</v>
      </c>
      <c r="Q279" s="8" t="n">
        <v>0</v>
      </c>
      <c r="R279" s="8" t="n">
        <v>25</v>
      </c>
      <c r="S279" s="8" t="n">
        <v>2</v>
      </c>
      <c r="T279" s="8" t="n">
        <v>1.5</v>
      </c>
      <c r="U279" s="8" t="n">
        <v>0</v>
      </c>
      <c r="V279" s="8" t="n">
        <v>0</v>
      </c>
      <c r="W279" s="8" t="n">
        <v>0</v>
      </c>
      <c r="X279" s="8" t="n">
        <v>0</v>
      </c>
      <c r="Y279" s="8" t="inlineStr">
        <is>
          <t>phenol resin powder BellPearl R100 (1.5 um) 25; TAIC 2; Perhexa 25B 1.5</t>
        </is>
      </c>
      <c r="Z279" s="8" t="n">
        <v>69</v>
      </c>
      <c r="AA279" s="8" t="n">
        <v>20</v>
      </c>
      <c r="AB279" s="8" t="n">
        <v>190</v>
      </c>
      <c r="AC279" s="8" t="n">
        <v>7.5</v>
      </c>
      <c r="AD279" s="8" t="n">
        <v>17</v>
      </c>
      <c r="AE279" s="8" t="inlineStr">
        <is>
          <t>JIS K6262, AS-214 O-ring cut in half; temperature/time not stated</t>
        </is>
      </c>
      <c r="AF279" s="8" t="n">
        <v>2.3</v>
      </c>
      <c r="AG279" s="8" t="inlineStr">
        <is>
          <t>O2+CF4 (50:1), RF 1500 W, 100 Pa, 30 min, AS-214 O-ring (Shinko Seiki small etcher)</t>
        </is>
      </c>
      <c r="AH279" s="8" t="inlineStr">
        <is>
          <t>parts by mass; MPa; Shore A instantaneous (JIS K6253-3)</t>
        </is>
      </c>
      <c r="AI279" s="8" t="inlineStr">
        <is>
          <t>Table 1. Press 160C x 10 min, post-cure 200C x 4 h. Dust after plasma: A.</t>
        </is>
      </c>
    </row>
    <row r="280">
      <c r="A280" s="8" t="inlineStr">
        <is>
          <t>US12584054B2</t>
        </is>
      </c>
      <c r="B280" s="8" t="inlineStr">
        <is>
          <t>patent</t>
        </is>
      </c>
      <c r="C280" s="8" t="inlineStr">
        <is>
          <t>Mitsubishi Cable Industries, Ltd.</t>
        </is>
      </c>
      <c r="D280" s="8" t="inlineStr">
        <is>
          <t>Semiconductor production device sealing material</t>
        </is>
      </c>
      <c r="E280" s="8" t="inlineStr">
        <is>
          <t>https://patents.google.com/patent/US12584054B2/en</t>
        </is>
      </c>
      <c r="F280" s="8" t="inlineStr">
        <is>
          <t>Example 4</t>
        </is>
      </c>
      <c r="G280" s="8" t="inlineStr">
        <is>
          <t>FKM</t>
        </is>
      </c>
      <c r="H280" s="8" t="inlineStr">
        <is>
          <t>Tecnoflon P959 (Solvay)</t>
        </is>
      </c>
      <c r="I280" s="8" t="inlineStr">
        <is>
          <t>peroxide</t>
        </is>
      </c>
      <c r="J280" s="8" t="n">
        <v>100</v>
      </c>
      <c r="K280" s="8" t="n">
        <v>0</v>
      </c>
      <c r="L280" s="8" t="n">
        <v>0</v>
      </c>
      <c r="M280" s="8" t="n">
        <v>0</v>
      </c>
      <c r="N280" s="8" t="n">
        <v>0</v>
      </c>
      <c r="O280" s="8" t="n">
        <v>0</v>
      </c>
      <c r="P280" s="8" t="n">
        <v>0</v>
      </c>
      <c r="Q280" s="8" t="n">
        <v>0</v>
      </c>
      <c r="R280" s="8" t="n">
        <v>50</v>
      </c>
      <c r="S280" s="8" t="n">
        <v>2</v>
      </c>
      <c r="T280" s="8" t="n">
        <v>1.5</v>
      </c>
      <c r="U280" s="8" t="n">
        <v>0</v>
      </c>
      <c r="V280" s="8" t="n">
        <v>0</v>
      </c>
      <c r="W280" s="8" t="n">
        <v>0</v>
      </c>
      <c r="X280" s="8" t="n">
        <v>0</v>
      </c>
      <c r="Y280" s="8" t="inlineStr">
        <is>
          <t>phenol resin powder BellPearl R100 (1.5 um) 50; TAIC 2; Perhexa 25B 1.5</t>
        </is>
      </c>
      <c r="Z280" s="8" t="n">
        <v>85</v>
      </c>
      <c r="AA280" s="8" t="n">
        <v>21</v>
      </c>
      <c r="AB280" s="8" t="n">
        <v>120</v>
      </c>
      <c r="AC280" s="8" t="n">
        <v>17</v>
      </c>
      <c r="AD280" s="8" t="n">
        <v>24</v>
      </c>
      <c r="AE280" s="8" t="inlineStr">
        <is>
          <t>JIS K6262, AS-214 O-ring cut in half; temperature/time not stated</t>
        </is>
      </c>
      <c r="AF280" s="8" t="n">
        <v>2.6</v>
      </c>
      <c r="AG280" s="8" t="inlineStr">
        <is>
          <t>O2+CF4 (50:1), RF 1500 W, 100 Pa, 30 min, AS-214 O-ring (Shinko Seiki small etcher)</t>
        </is>
      </c>
      <c r="AH280" s="8" t="inlineStr">
        <is>
          <t>parts by mass; MPa; Shore A instantaneous (JIS K6253-3)</t>
        </is>
      </c>
      <c r="AI280" s="8" t="inlineStr">
        <is>
          <t>Table 1. Press 160C x 10 min, post-cure 200C x 4 h. Dust after plasma: A.</t>
        </is>
      </c>
    </row>
    <row r="281">
      <c r="A281" s="8" t="inlineStr">
        <is>
          <t>US12584054B2</t>
        </is>
      </c>
      <c r="B281" s="8" t="inlineStr">
        <is>
          <t>patent</t>
        </is>
      </c>
      <c r="C281" s="8" t="inlineStr">
        <is>
          <t>Mitsubishi Cable Industries, Ltd.</t>
        </is>
      </c>
      <c r="D281" s="8" t="inlineStr">
        <is>
          <t>Semiconductor production device sealing material</t>
        </is>
      </c>
      <c r="E281" s="8" t="inlineStr">
        <is>
          <t>https://patents.google.com/patent/US12584054B2/en</t>
        </is>
      </c>
      <c r="F281" s="8" t="inlineStr">
        <is>
          <t>Example 5</t>
        </is>
      </c>
      <c r="G281" s="8" t="inlineStr">
        <is>
          <t>FKM</t>
        </is>
      </c>
      <c r="H281" s="8" t="inlineStr">
        <is>
          <t>Tecnoflon P959 (Solvay)</t>
        </is>
      </c>
      <c r="I281" s="8" t="inlineStr">
        <is>
          <t>peroxide</t>
        </is>
      </c>
      <c r="J281" s="8" t="n">
        <v>100</v>
      </c>
      <c r="K281" s="8" t="n">
        <v>0</v>
      </c>
      <c r="L281" s="8" t="n">
        <v>0</v>
      </c>
      <c r="M281" s="8" t="n">
        <v>0</v>
      </c>
      <c r="N281" s="8" t="n">
        <v>0</v>
      </c>
      <c r="O281" s="8" t="n">
        <v>0</v>
      </c>
      <c r="P281" s="8" t="n">
        <v>0</v>
      </c>
      <c r="Q281" s="8" t="n">
        <v>0</v>
      </c>
      <c r="R281" s="8" t="n">
        <v>10</v>
      </c>
      <c r="S281" s="8" t="n">
        <v>2</v>
      </c>
      <c r="T281" s="8" t="n">
        <v>1.5</v>
      </c>
      <c r="U281" s="8" t="n">
        <v>0</v>
      </c>
      <c r="V281" s="8" t="n">
        <v>0</v>
      </c>
      <c r="W281" s="8" t="n">
        <v>0</v>
      </c>
      <c r="X281" s="8" t="n">
        <v>0</v>
      </c>
      <c r="Y281" s="8" t="inlineStr">
        <is>
          <t>phenol resin powder BellPearl R200 (5.8 um) 10; TAIC 2; Perhexa 25B 1.5</t>
        </is>
      </c>
      <c r="Z281" s="8" t="n">
        <v>58</v>
      </c>
      <c r="AA281" s="8" t="n">
        <v>12</v>
      </c>
      <c r="AB281" s="8" t="n">
        <v>230</v>
      </c>
      <c r="AC281" s="8" t="n">
        <v>2.2</v>
      </c>
      <c r="AD281" s="8" t="n">
        <v>13</v>
      </c>
      <c r="AE281" s="8" t="inlineStr">
        <is>
          <t>JIS K6262, AS-214 O-ring cut in half; temperature/time not stated</t>
        </is>
      </c>
      <c r="AF281" s="8" t="n">
        <v>2.2</v>
      </c>
      <c r="AG281" s="8" t="inlineStr">
        <is>
          <t>O2+CF4 (50:1), RF 1500 W, 100 Pa, 30 min, AS-214 O-ring (Shinko Seiki small etcher)</t>
        </is>
      </c>
      <c r="AH281" s="8" t="inlineStr">
        <is>
          <t>parts by mass; MPa; Shore A instantaneous (JIS K6253-3)</t>
        </is>
      </c>
      <c r="AI281" s="8" t="inlineStr">
        <is>
          <t>Table 1. Press 160C x 10 min, post-cure 200C x 4 h. Dust after plasma: A.</t>
        </is>
      </c>
    </row>
    <row r="282">
      <c r="A282" s="8" t="inlineStr">
        <is>
          <t>US12584054B2</t>
        </is>
      </c>
      <c r="B282" s="8" t="inlineStr">
        <is>
          <t>patent</t>
        </is>
      </c>
      <c r="C282" s="8" t="inlineStr">
        <is>
          <t>Mitsubishi Cable Industries, Ltd.</t>
        </is>
      </c>
      <c r="D282" s="8" t="inlineStr">
        <is>
          <t>Semiconductor production device sealing material</t>
        </is>
      </c>
      <c r="E282" s="8" t="inlineStr">
        <is>
          <t>https://patents.google.com/patent/US12584054B2/en</t>
        </is>
      </c>
      <c r="F282" s="8" t="inlineStr">
        <is>
          <t>Comparative Example 1</t>
        </is>
      </c>
      <c r="G282" s="8" t="inlineStr">
        <is>
          <t>FKM</t>
        </is>
      </c>
      <c r="H282" s="8" t="inlineStr">
        <is>
          <t>Tecnoflon P959 (Solvay)</t>
        </is>
      </c>
      <c r="I282" s="8" t="inlineStr">
        <is>
          <t>peroxide</t>
        </is>
      </c>
      <c r="J282" s="8" t="n">
        <v>100</v>
      </c>
      <c r="K282" s="8" t="n">
        <v>0</v>
      </c>
      <c r="L282" s="8" t="n">
        <v>0</v>
      </c>
      <c r="M282" s="8" t="n">
        <v>0</v>
      </c>
      <c r="N282" s="8" t="n">
        <v>0</v>
      </c>
      <c r="O282" s="8" t="n">
        <v>0</v>
      </c>
      <c r="P282" s="8" t="n">
        <v>0</v>
      </c>
      <c r="Q282" s="8" t="n">
        <v>0</v>
      </c>
      <c r="R282" s="8" t="n">
        <v>0</v>
      </c>
      <c r="S282" s="8" t="n">
        <v>2</v>
      </c>
      <c r="T282" s="8" t="n">
        <v>1.5</v>
      </c>
      <c r="U282" s="8" t="n">
        <v>0</v>
      </c>
      <c r="V282" s="8" t="n">
        <v>0</v>
      </c>
      <c r="W282" s="8" t="n">
        <v>0</v>
      </c>
      <c r="X282" s="8" t="n">
        <v>0</v>
      </c>
      <c r="Y282" s="8" t="inlineStr">
        <is>
          <t>no filler; TAIC 2; Perhexa 25B 1.5</t>
        </is>
      </c>
      <c r="Z282" s="8" t="n">
        <v>51</v>
      </c>
      <c r="AA282" s="8" t="n">
        <v>8.9</v>
      </c>
      <c r="AB282" s="8" t="n">
        <v>290</v>
      </c>
      <c r="AC282" s="8" t="n">
        <v>1.3</v>
      </c>
      <c r="AD282" s="8" t="n">
        <v>27</v>
      </c>
      <c r="AE282" s="8" t="inlineStr">
        <is>
          <t>JIS K6262, AS-214 O-ring cut in half; temperature/time not stated</t>
        </is>
      </c>
      <c r="AF282" s="8" t="n">
        <v>2</v>
      </c>
      <c r="AG282" s="8" t="inlineStr">
        <is>
          <t>O2+CF4 (50:1), RF 1500 W, 100 Pa, 30 min, AS-214 O-ring (Shinko Seiki small etcher)</t>
        </is>
      </c>
      <c r="AH282" s="8" t="inlineStr">
        <is>
          <t>parts by mass; MPa; Shore A instantaneous (JIS K6253-3)</t>
        </is>
      </c>
      <c r="AI282" s="8" t="inlineStr">
        <is>
          <t>Table 1. Press 160C x 10 min, post-cure 200C x 4 h. Dust after plasma: A. Also listed in Table 3 with identical values (t90 3.6 min).</t>
        </is>
      </c>
    </row>
    <row r="283">
      <c r="A283" s="8" t="inlineStr">
        <is>
          <t>US12584054B2</t>
        </is>
      </c>
      <c r="B283" s="8" t="inlineStr">
        <is>
          <t>patent</t>
        </is>
      </c>
      <c r="C283" s="8" t="inlineStr">
        <is>
          <t>Mitsubishi Cable Industries, Ltd.</t>
        </is>
      </c>
      <c r="D283" s="8" t="inlineStr">
        <is>
          <t>Semiconductor production device sealing material</t>
        </is>
      </c>
      <c r="E283" s="8" t="inlineStr">
        <is>
          <t>https://patents.google.com/patent/US12584054B2/en</t>
        </is>
      </c>
      <c r="F283" s="8" t="inlineStr">
        <is>
          <t>Comparative Example 2</t>
        </is>
      </c>
      <c r="G283" s="8" t="inlineStr">
        <is>
          <t>FKM</t>
        </is>
      </c>
      <c r="H283" s="8" t="inlineStr">
        <is>
          <t>Tecnoflon P959 (Solvay)</t>
        </is>
      </c>
      <c r="I283" s="8" t="inlineStr">
        <is>
          <t>peroxide</t>
        </is>
      </c>
      <c r="J283" s="8" t="n">
        <v>100</v>
      </c>
      <c r="K283" s="8" t="n">
        <v>10</v>
      </c>
      <c r="L283" s="8" t="n">
        <v>0</v>
      </c>
      <c r="M283" s="8" t="n">
        <v>0</v>
      </c>
      <c r="N283" s="8" t="n">
        <v>0</v>
      </c>
      <c r="O283" s="8" t="n">
        <v>0</v>
      </c>
      <c r="P283" s="8" t="n">
        <v>0</v>
      </c>
      <c r="Q283" s="8" t="n">
        <v>0</v>
      </c>
      <c r="R283" s="8" t="n">
        <v>0</v>
      </c>
      <c r="S283" s="8" t="n">
        <v>2</v>
      </c>
      <c r="T283" s="8" t="n">
        <v>1.5</v>
      </c>
      <c r="U283" s="8" t="n">
        <v>0</v>
      </c>
      <c r="V283" s="8" t="n">
        <v>0</v>
      </c>
      <c r="W283" s="8" t="n">
        <v>0</v>
      </c>
      <c r="X283" s="8" t="n">
        <v>0</v>
      </c>
      <c r="Y283" s="8" t="inlineStr">
        <is>
          <t>MT carbon black Thermax N990 10; TAIC 2; Perhexa 25B 1.5</t>
        </is>
      </c>
      <c r="Z283" s="8" t="n">
        <v>55</v>
      </c>
      <c r="AA283" s="8" t="n">
        <v>15</v>
      </c>
      <c r="AB283" s="8" t="n">
        <v>210</v>
      </c>
      <c r="AC283" s="8" t="n">
        <v>2.8</v>
      </c>
      <c r="AD283" s="8" t="n">
        <v>25</v>
      </c>
      <c r="AE283" s="8" t="inlineStr">
        <is>
          <t>JIS K6262, AS-214 O-ring cut in half; temperature/time not stated</t>
        </is>
      </c>
      <c r="AF283" s="8" t="n">
        <v>3.1</v>
      </c>
      <c r="AG283" s="8" t="inlineStr">
        <is>
          <t>O2+CF4 (50:1), RF 1500 W, 100 Pa, 30 min, AS-214 O-ring (Shinko Seiki small etcher)</t>
        </is>
      </c>
      <c r="AH283" s="8" t="inlineStr">
        <is>
          <t>parts by mass; MPa; Shore A instantaneous (JIS K6253-3)</t>
        </is>
      </c>
      <c r="AI283" s="8" t="inlineStr">
        <is>
          <t>Table 1. Press 160C x 10 min, post-cure 200C x 4 h. Dust after plasma: B. Table 2 repeats a column labelled 'Comparative Example 3' (N990 10, no TAIC shown) with 55/14.5/210/2.8/25 - matches this row; not added separately.</t>
        </is>
      </c>
    </row>
    <row r="284">
      <c r="A284" s="8" t="inlineStr">
        <is>
          <t>US12584054B2</t>
        </is>
      </c>
      <c r="B284" s="8" t="inlineStr">
        <is>
          <t>patent</t>
        </is>
      </c>
      <c r="C284" s="8" t="inlineStr">
        <is>
          <t>Mitsubishi Cable Industries, Ltd.</t>
        </is>
      </c>
      <c r="D284" s="8" t="inlineStr">
        <is>
          <t>Semiconductor production device sealing material</t>
        </is>
      </c>
      <c r="E284" s="8" t="inlineStr">
        <is>
          <t>https://patents.google.com/patent/US12584054B2/en</t>
        </is>
      </c>
      <c r="F284" s="8" t="inlineStr">
        <is>
          <t>Comparative Example 3</t>
        </is>
      </c>
      <c r="G284" s="8" t="inlineStr">
        <is>
          <t>FKM</t>
        </is>
      </c>
      <c r="H284" s="8" t="inlineStr">
        <is>
          <t>Tecnoflon P959 (Solvay)</t>
        </is>
      </c>
      <c r="I284" s="8" t="inlineStr">
        <is>
          <t>peroxide</t>
        </is>
      </c>
      <c r="J284" s="8" t="n">
        <v>100</v>
      </c>
      <c r="K284" s="8" t="n">
        <v>25</v>
      </c>
      <c r="L284" s="8" t="n">
        <v>0</v>
      </c>
      <c r="M284" s="8" t="n">
        <v>0</v>
      </c>
      <c r="N284" s="8" t="n">
        <v>0</v>
      </c>
      <c r="O284" s="8" t="n">
        <v>0</v>
      </c>
      <c r="P284" s="8" t="n">
        <v>0</v>
      </c>
      <c r="Q284" s="8" t="n">
        <v>0</v>
      </c>
      <c r="R284" s="8" t="n">
        <v>0</v>
      </c>
      <c r="S284" s="8" t="n">
        <v>2</v>
      </c>
      <c r="T284" s="8" t="n">
        <v>1.5</v>
      </c>
      <c r="U284" s="8" t="n">
        <v>0</v>
      </c>
      <c r="V284" s="8" t="n">
        <v>0</v>
      </c>
      <c r="W284" s="8" t="n">
        <v>0</v>
      </c>
      <c r="X284" s="8" t="n">
        <v>0</v>
      </c>
      <c r="Y284" s="8" t="inlineStr">
        <is>
          <t>MT carbon black Thermax N990 25; TAIC 2; Perhexa 25B 1.5</t>
        </is>
      </c>
      <c r="Z284" s="8" t="n">
        <v>68</v>
      </c>
      <c r="AA284" s="8" t="n">
        <v>24</v>
      </c>
      <c r="AB284" s="8" t="n">
        <v>260</v>
      </c>
      <c r="AC284" s="8" t="n">
        <v>5.6</v>
      </c>
      <c r="AD284" s="8" t="n">
        <v>25</v>
      </c>
      <c r="AE284" s="8" t="inlineStr">
        <is>
          <t>JIS K6262, AS-214 O-ring cut in half; temperature/time not stated</t>
        </is>
      </c>
      <c r="AF284" s="8" t="n">
        <v>4.3</v>
      </c>
      <c r="AG284" s="8" t="inlineStr">
        <is>
          <t>O2+CF4 (50:1), RF 1500 W, 100 Pa, 30 min, AS-214 O-ring (Shinko Seiki small etcher)</t>
        </is>
      </c>
      <c r="AH284" s="8" t="inlineStr">
        <is>
          <t>parts by mass; MPa; Shore A instantaneous (JIS K6253-3)</t>
        </is>
      </c>
      <c r="AI284" s="8" t="inlineStr">
        <is>
          <t>Table 1. Press 160C x 10 min, post-cure 200C x 4 h. Dust after plasma: B.</t>
        </is>
      </c>
    </row>
    <row r="285">
      <c r="A285" s="8" t="inlineStr">
        <is>
          <t>US12584054B2</t>
        </is>
      </c>
      <c r="B285" s="8" t="inlineStr">
        <is>
          <t>patent</t>
        </is>
      </c>
      <c r="C285" s="8" t="inlineStr">
        <is>
          <t>Mitsubishi Cable Industries, Ltd.</t>
        </is>
      </c>
      <c r="D285" s="8" t="inlineStr">
        <is>
          <t>Semiconductor production device sealing material</t>
        </is>
      </c>
      <c r="E285" s="8" t="inlineStr">
        <is>
          <t>https://patents.google.com/patent/US12584054B2/en</t>
        </is>
      </c>
      <c r="F285" s="8" t="inlineStr">
        <is>
          <t>Comparative Example 4</t>
        </is>
      </c>
      <c r="G285" s="8" t="inlineStr">
        <is>
          <t>FKM</t>
        </is>
      </c>
      <c r="H285" s="8" t="inlineStr">
        <is>
          <t>Tecnoflon P959 (Solvay)</t>
        </is>
      </c>
      <c r="I285" s="8" t="inlineStr">
        <is>
          <t>peroxide</t>
        </is>
      </c>
      <c r="J285" s="8" t="n">
        <v>100</v>
      </c>
      <c r="K285" s="8" t="n">
        <v>10</v>
      </c>
      <c r="L285" s="8" t="n">
        <v>0</v>
      </c>
      <c r="M285" s="8" t="n">
        <v>0</v>
      </c>
      <c r="N285" s="8" t="n">
        <v>0</v>
      </c>
      <c r="O285" s="8" t="n">
        <v>0</v>
      </c>
      <c r="P285" s="8" t="n">
        <v>0</v>
      </c>
      <c r="Q285" s="8" t="n">
        <v>0</v>
      </c>
      <c r="R285" s="8" t="n">
        <v>0</v>
      </c>
      <c r="S285" s="8" t="n">
        <v>2</v>
      </c>
      <c r="T285" s="8" t="n">
        <v>1.5</v>
      </c>
      <c r="U285" s="8" t="n">
        <v>0</v>
      </c>
      <c r="V285" s="8" t="n">
        <v>0</v>
      </c>
      <c r="W285" s="8" t="n">
        <v>0</v>
      </c>
      <c r="X285" s="8" t="n">
        <v>0</v>
      </c>
      <c r="Y285" s="8" t="inlineStr">
        <is>
          <t>carbon black DIABLACK H (Mitsubishi Chemical) 10; TAIC 2; Perhexa 25B 1.5</t>
        </is>
      </c>
      <c r="Z285" s="8" t="n">
        <v>63</v>
      </c>
      <c r="AA285" s="8" t="n">
        <v>23</v>
      </c>
      <c r="AB285" s="8" t="n">
        <v>220</v>
      </c>
      <c r="AC285" s="8" t="n">
        <v>3.7</v>
      </c>
      <c r="AD285" s="8" t="n">
        <v>24</v>
      </c>
      <c r="AE285" s="8" t="inlineStr">
        <is>
          <t>JIS K6262, AS-214 O-ring cut in half; temperature/time not stated</t>
        </is>
      </c>
      <c r="AF285" s="8" t="n">
        <v>3.2</v>
      </c>
      <c r="AG285" s="8" t="inlineStr">
        <is>
          <t>O2+CF4 (50:1), RF 1500 W, 100 Pa, 30 min, AS-214 O-ring (Shinko Seiki small etcher)</t>
        </is>
      </c>
      <c r="AH285" s="8" t="inlineStr">
        <is>
          <t>parts by mass; MPa; Shore A instantaneous (JIS K6253-3)</t>
        </is>
      </c>
      <c r="AI285" s="8" t="inlineStr">
        <is>
          <t>Table 1. Press 160C x 10 min, post-cure 200C x 4 h. Dust after plasma: B.</t>
        </is>
      </c>
    </row>
    <row r="286">
      <c r="A286" s="8" t="inlineStr">
        <is>
          <t>US12584054B2</t>
        </is>
      </c>
      <c r="B286" s="8" t="inlineStr">
        <is>
          <t>patent</t>
        </is>
      </c>
      <c r="C286" s="8" t="inlineStr">
        <is>
          <t>Mitsubishi Cable Industries, Ltd.</t>
        </is>
      </c>
      <c r="D286" s="8" t="inlineStr">
        <is>
          <t>Semiconductor production device sealing material</t>
        </is>
      </c>
      <c r="E286" s="8" t="inlineStr">
        <is>
          <t>https://patents.google.com/patent/US12584054B2/en</t>
        </is>
      </c>
      <c r="F286" s="8" t="inlineStr">
        <is>
          <t>Comparative Example 5</t>
        </is>
      </c>
      <c r="G286" s="8" t="inlineStr">
        <is>
          <t>FKM</t>
        </is>
      </c>
      <c r="H286" s="8" t="inlineStr">
        <is>
          <t>Tecnoflon P959 (Solvay)</t>
        </is>
      </c>
      <c r="I286" s="8" t="inlineStr">
        <is>
          <t>peroxide</t>
        </is>
      </c>
      <c r="J286" s="8" t="n">
        <v>100</v>
      </c>
      <c r="K286" s="8" t="n">
        <v>0</v>
      </c>
      <c r="L286" s="8" t="n">
        <v>10</v>
      </c>
      <c r="M286" s="8" t="n">
        <v>0</v>
      </c>
      <c r="N286" s="8" t="n">
        <v>0</v>
      </c>
      <c r="O286" s="8" t="n">
        <v>0</v>
      </c>
      <c r="P286" s="8" t="n">
        <v>0</v>
      </c>
      <c r="Q286" s="8" t="n">
        <v>0</v>
      </c>
      <c r="R286" s="8" t="n">
        <v>0</v>
      </c>
      <c r="S286" s="8" t="n">
        <v>2</v>
      </c>
      <c r="T286" s="8" t="n">
        <v>1.5</v>
      </c>
      <c r="U286" s="8" t="n">
        <v>0</v>
      </c>
      <c r="V286" s="8" t="n">
        <v>0</v>
      </c>
      <c r="W286" s="8" t="n">
        <v>0</v>
      </c>
      <c r="X286" s="8" t="n">
        <v>0</v>
      </c>
      <c r="Y286" s="8" t="inlineStr">
        <is>
          <t>silica AEROSIL R972 10; TAIC 2; Perhexa 25B 1.5</t>
        </is>
      </c>
      <c r="Z286" s="8" t="n">
        <v>65</v>
      </c>
      <c r="AA286" s="8" t="n">
        <v>20</v>
      </c>
      <c r="AB286" s="8" t="n">
        <v>270</v>
      </c>
      <c r="AC286" s="8" t="n">
        <v>3.7</v>
      </c>
      <c r="AD286" s="8" t="n">
        <v>36</v>
      </c>
      <c r="AE286" s="8" t="inlineStr">
        <is>
          <t>JIS K6262, AS-214 O-ring cut in half; temperature/time not stated</t>
        </is>
      </c>
      <c r="AF286" s="8" t="n">
        <v>2.4</v>
      </c>
      <c r="AG286" s="8" t="inlineStr">
        <is>
          <t>O2+CF4 (50:1), RF 1500 W, 100 Pa, 30 min, AS-214 O-ring (Shinko Seiki small etcher)</t>
        </is>
      </c>
      <c r="AH286" s="8" t="inlineStr">
        <is>
          <t>parts by mass; MPa; Shore A instantaneous (JIS K6253-3)</t>
        </is>
      </c>
      <c r="AI286" s="8" t="inlineStr">
        <is>
          <t>Table 1. Press 160C x 10 min, post-cure 200C x 4 h. Dust after plasma: A.</t>
        </is>
      </c>
    </row>
    <row r="287">
      <c r="A287" s="8" t="inlineStr">
        <is>
          <t>US12584054B2</t>
        </is>
      </c>
      <c r="B287" s="8" t="inlineStr">
        <is>
          <t>patent</t>
        </is>
      </c>
      <c r="C287" s="8" t="inlineStr">
        <is>
          <t>Mitsubishi Cable Industries, Ltd.</t>
        </is>
      </c>
      <c r="D287" s="8" t="inlineStr">
        <is>
          <t>Semiconductor production device sealing material</t>
        </is>
      </c>
      <c r="E287" s="8" t="inlineStr">
        <is>
          <t>https://patents.google.com/patent/US12584054B2/en</t>
        </is>
      </c>
      <c r="F287" s="8" t="inlineStr">
        <is>
          <t>Comparative Example 6</t>
        </is>
      </c>
      <c r="G287" s="8" t="inlineStr">
        <is>
          <t>FKM</t>
        </is>
      </c>
      <c r="H287" s="8" t="inlineStr">
        <is>
          <t>Tecnoflon P959 (Solvay)</t>
        </is>
      </c>
      <c r="I287" s="8" t="inlineStr">
        <is>
          <t>peroxide</t>
        </is>
      </c>
      <c r="J287" s="8" t="n">
        <v>100</v>
      </c>
      <c r="K287" s="8" t="n">
        <v>0</v>
      </c>
      <c r="L287" s="8" t="n">
        <v>0</v>
      </c>
      <c r="M287" s="8" t="n">
        <v>0</v>
      </c>
      <c r="N287" s="8" t="n">
        <v>0</v>
      </c>
      <c r="O287" s="8" t="n">
        <v>0</v>
      </c>
      <c r="P287" s="8" t="n">
        <v>0</v>
      </c>
      <c r="Q287" s="8" t="n">
        <v>0</v>
      </c>
      <c r="R287" s="8" t="n">
        <v>10</v>
      </c>
      <c r="S287" s="8" t="n">
        <v>2</v>
      </c>
      <c r="T287" s="8" t="n">
        <v>1.5</v>
      </c>
      <c r="U287" s="8" t="n">
        <v>0</v>
      </c>
      <c r="V287" s="8" t="n">
        <v>0</v>
      </c>
      <c r="W287" s="8" t="n">
        <v>0</v>
      </c>
      <c r="X287" s="8" t="n">
        <v>0</v>
      </c>
      <c r="Y287" s="8" t="inlineStr">
        <is>
          <t>silica-composite cured melamine resin particles OPTOBEADS 2000M 10 (counted as organic additive); TAIC 2; Perhexa 25B 1.5</t>
        </is>
      </c>
      <c r="Z287" s="8" t="n">
        <v>59</v>
      </c>
      <c r="AA287" s="8" t="n">
        <v>18</v>
      </c>
      <c r="AB287" s="8" t="n">
        <v>210</v>
      </c>
      <c r="AC287" s="8" t="n">
        <v>2.5</v>
      </c>
      <c r="AD287" s="8" t="n">
        <v>30</v>
      </c>
      <c r="AE287" s="8" t="inlineStr">
        <is>
          <t>JIS K6262, AS-214 O-ring cut in half; temperature/time not stated</t>
        </is>
      </c>
      <c r="AF287" s="8" t="n">
        <v>2.2</v>
      </c>
      <c r="AG287" s="8" t="inlineStr">
        <is>
          <t>O2+CF4 (50:1), RF 1500 W, 100 Pa, 30 min, AS-214 O-ring (Shinko Seiki small etcher)</t>
        </is>
      </c>
      <c r="AH287" s="8" t="inlineStr">
        <is>
          <t>parts by mass; MPa; Shore A instantaneous (JIS K6253-3)</t>
        </is>
      </c>
      <c r="AI287" s="8" t="inlineStr">
        <is>
          <t>Table 1. Press 160C x 10 min, post-cure 200C x 4 h. Dust after plasma: A.</t>
        </is>
      </c>
    </row>
    <row r="288">
      <c r="A288" s="8" t="inlineStr">
        <is>
          <t>US12584054B2</t>
        </is>
      </c>
      <c r="B288" s="8" t="inlineStr">
        <is>
          <t>patent</t>
        </is>
      </c>
      <c r="C288" s="8" t="inlineStr">
        <is>
          <t>Mitsubishi Cable Industries, Ltd.</t>
        </is>
      </c>
      <c r="D288" s="8" t="inlineStr">
        <is>
          <t>Semiconductor production device sealing material</t>
        </is>
      </c>
      <c r="E288" s="8" t="inlineStr">
        <is>
          <t>https://patents.google.com/patent/US12584054B2/en</t>
        </is>
      </c>
      <c r="F288" s="8" t="inlineStr">
        <is>
          <t>Comparative Example 7</t>
        </is>
      </c>
      <c r="G288" s="8" t="inlineStr">
        <is>
          <t>FKM</t>
        </is>
      </c>
      <c r="H288" s="8" t="inlineStr">
        <is>
          <t>Tecnoflon P959 (Solvay)</t>
        </is>
      </c>
      <c r="I288" s="8" t="inlineStr">
        <is>
          <t>peroxide</t>
        </is>
      </c>
      <c r="J288" s="8" t="n">
        <v>100</v>
      </c>
      <c r="K288" s="8" t="n">
        <v>0</v>
      </c>
      <c r="L288" s="8" t="n">
        <v>0</v>
      </c>
      <c r="M288" s="8" t="n">
        <v>0</v>
      </c>
      <c r="N288" s="8" t="n">
        <v>0</v>
      </c>
      <c r="O288" s="8" t="n">
        <v>0</v>
      </c>
      <c r="P288" s="8" t="n">
        <v>10</v>
      </c>
      <c r="Q288" s="8" t="n">
        <v>0</v>
      </c>
      <c r="R288" s="8" t="n">
        <v>0</v>
      </c>
      <c r="S288" s="8" t="n">
        <v>2</v>
      </c>
      <c r="T288" s="8" t="n">
        <v>1.5</v>
      </c>
      <c r="U288" s="8" t="n">
        <v>0</v>
      </c>
      <c r="V288" s="8" t="n">
        <v>0</v>
      </c>
      <c r="W288" s="8" t="n">
        <v>0</v>
      </c>
      <c r="X288" s="8" t="n">
        <v>0</v>
      </c>
      <c r="Y288" s="8" t="inlineStr">
        <is>
          <t>PVDF powder KYNAR MG15 10; TAIC 2; Perhexa 25B 1.5</t>
        </is>
      </c>
      <c r="Z288" s="8" t="n">
        <v>55</v>
      </c>
      <c r="AA288" s="8" t="n">
        <v>13</v>
      </c>
      <c r="AB288" s="8" t="n">
        <v>280</v>
      </c>
      <c r="AC288" s="8" t="n">
        <v>2.3</v>
      </c>
      <c r="AD288" s="8" t="n">
        <v>26</v>
      </c>
      <c r="AE288" s="8" t="inlineStr">
        <is>
          <t>JIS K6262, AS-214 O-ring cut in half; temperature/time not stated</t>
        </is>
      </c>
      <c r="AF288" s="8" t="n">
        <v>2.1</v>
      </c>
      <c r="AG288" s="8" t="inlineStr">
        <is>
          <t>O2+CF4 (50:1), RF 1500 W, 100 Pa, 30 min, AS-214 O-ring (Shinko Seiki small etcher)</t>
        </is>
      </c>
      <c r="AH288" s="8" t="inlineStr">
        <is>
          <t>parts by mass; MPa; Shore A instantaneous (JIS K6253-3)</t>
        </is>
      </c>
      <c r="AI288" s="8" t="inlineStr">
        <is>
          <t>Table 1. Press 160C x 10 min, post-cure 200C x 4 h. Dust after plasma: A.</t>
        </is>
      </c>
    </row>
    <row r="289">
      <c r="A289" s="8" t="inlineStr">
        <is>
          <t>US12584054B2</t>
        </is>
      </c>
      <c r="B289" s="8" t="inlineStr">
        <is>
          <t>patent</t>
        </is>
      </c>
      <c r="C289" s="8" t="inlineStr">
        <is>
          <t>Mitsubishi Cable Industries, Ltd.</t>
        </is>
      </c>
      <c r="D289" s="8" t="inlineStr">
        <is>
          <t>Semiconductor production device sealing material</t>
        </is>
      </c>
      <c r="E289" s="8" t="inlineStr">
        <is>
          <t>https://patents.google.com/patent/US12584054B2/en</t>
        </is>
      </c>
      <c r="F289" s="8" t="inlineStr">
        <is>
          <t>Comparative Example 8</t>
        </is>
      </c>
      <c r="G289" s="8" t="inlineStr">
        <is>
          <t>FKM</t>
        </is>
      </c>
      <c r="H289" s="8" t="inlineStr">
        <is>
          <t>Tecnoflon P959 (Solvay)</t>
        </is>
      </c>
      <c r="I289" s="8" t="inlineStr">
        <is>
          <t>peroxide</t>
        </is>
      </c>
      <c r="J289" s="8" t="n">
        <v>100</v>
      </c>
      <c r="K289" s="8" t="n">
        <v>0</v>
      </c>
      <c r="L289" s="8" t="n">
        <v>0</v>
      </c>
      <c r="M289" s="8" t="n">
        <v>0</v>
      </c>
      <c r="N289" s="8" t="n">
        <v>0</v>
      </c>
      <c r="O289" s="8" t="n">
        <v>0</v>
      </c>
      <c r="P289" s="8" t="n">
        <v>25</v>
      </c>
      <c r="Q289" s="8" t="n">
        <v>0</v>
      </c>
      <c r="R289" s="8" t="n">
        <v>0</v>
      </c>
      <c r="S289" s="8" t="n">
        <v>2</v>
      </c>
      <c r="T289" s="8" t="n">
        <v>1.5</v>
      </c>
      <c r="U289" s="8" t="n">
        <v>0</v>
      </c>
      <c r="V289" s="8" t="n">
        <v>0</v>
      </c>
      <c r="W289" s="8" t="n">
        <v>0</v>
      </c>
      <c r="X289" s="8" t="n">
        <v>0</v>
      </c>
      <c r="Y289" s="8" t="inlineStr">
        <is>
          <t>PVDF powder KYNAR MG15 25; TAIC 2; Perhexa 25B 1.5</t>
        </is>
      </c>
      <c r="Z289" s="8" t="n">
        <v>68</v>
      </c>
      <c r="AA289" s="8" t="n">
        <v>17</v>
      </c>
      <c r="AB289" s="8" t="n">
        <v>270</v>
      </c>
      <c r="AC289" s="8" t="n">
        <v>5.4</v>
      </c>
      <c r="AD289" s="8" t="n">
        <v>30</v>
      </c>
      <c r="AE289" s="8" t="inlineStr">
        <is>
          <t>JIS K6262, AS-214 O-ring cut in half; temperature/time not stated</t>
        </is>
      </c>
      <c r="AF289" s="8" t="n">
        <v>2.3</v>
      </c>
      <c r="AG289" s="8" t="inlineStr">
        <is>
          <t>O2+CF4 (50:1), RF 1500 W, 100 Pa, 30 min, AS-214 O-ring (Shinko Seiki small etcher)</t>
        </is>
      </c>
      <c r="AH289" s="8" t="inlineStr">
        <is>
          <t>parts by mass; MPa; Shore A instantaneous (JIS K6253-3)</t>
        </is>
      </c>
      <c r="AI289" s="8" t="inlineStr">
        <is>
          <t>Table 1. Press 160C x 10 min, post-cure 200C x 4 h. Dust after plasma: A.</t>
        </is>
      </c>
    </row>
    <row r="290">
      <c r="A290" s="8" t="inlineStr">
        <is>
          <t>US12584054B2</t>
        </is>
      </c>
      <c r="B290" s="8" t="inlineStr">
        <is>
          <t>patent</t>
        </is>
      </c>
      <c r="C290" s="8" t="inlineStr">
        <is>
          <t>Mitsubishi Cable Industries, Ltd.</t>
        </is>
      </c>
      <c r="D290" s="8" t="inlineStr">
        <is>
          <t>Semiconductor production device sealing material</t>
        </is>
      </c>
      <c r="E290" s="8" t="inlineStr">
        <is>
          <t>https://patents.google.com/patent/US12584054B2/en</t>
        </is>
      </c>
      <c r="F290" s="8" t="inlineStr">
        <is>
          <t>Comparative Example 9</t>
        </is>
      </c>
      <c r="G290" s="8" t="inlineStr">
        <is>
          <t>FKM</t>
        </is>
      </c>
      <c r="H290" s="8" t="inlineStr">
        <is>
          <t>Tecnoflon P959 (Solvay)</t>
        </is>
      </c>
      <c r="I290" s="8" t="inlineStr">
        <is>
          <t>peroxide</t>
        </is>
      </c>
      <c r="J290" s="8" t="n">
        <v>100</v>
      </c>
      <c r="K290" s="8" t="n">
        <v>0</v>
      </c>
      <c r="L290" s="8" t="n">
        <v>0</v>
      </c>
      <c r="M290" s="8" t="n">
        <v>0</v>
      </c>
      <c r="N290" s="8" t="n">
        <v>0</v>
      </c>
      <c r="O290" s="8" t="n">
        <v>0</v>
      </c>
      <c r="P290" s="8" t="n">
        <v>10</v>
      </c>
      <c r="Q290" s="8" t="n">
        <v>0</v>
      </c>
      <c r="R290" s="8" t="n">
        <v>0</v>
      </c>
      <c r="S290" s="8" t="n">
        <v>2</v>
      </c>
      <c r="T290" s="8" t="n">
        <v>1.5</v>
      </c>
      <c r="U290" s="8" t="n">
        <v>0</v>
      </c>
      <c r="V290" s="8" t="n">
        <v>0</v>
      </c>
      <c r="W290" s="8" t="n">
        <v>0</v>
      </c>
      <c r="X290" s="8" t="n">
        <v>0</v>
      </c>
      <c r="Y290" s="8" t="inlineStr">
        <is>
          <t>PTFE powder Fluon L173JE 10; TAIC 2; Perhexa 25B 1.5</t>
        </is>
      </c>
      <c r="Z290" s="8" t="n">
        <v>55</v>
      </c>
      <c r="AA290" s="8" t="n">
        <v>16</v>
      </c>
      <c r="AB290" s="8" t="n">
        <v>350</v>
      </c>
      <c r="AC290" s="8" t="n">
        <v>1.4</v>
      </c>
      <c r="AD290" s="8" t="n">
        <v>28</v>
      </c>
      <c r="AE290" s="8" t="inlineStr">
        <is>
          <t>JIS K6262, AS-214 O-ring cut in half; temperature/time not stated</t>
        </is>
      </c>
      <c r="AF290" s="8" t="n">
        <v>3</v>
      </c>
      <c r="AG290" s="8" t="inlineStr">
        <is>
          <t>O2+CF4 (50:1), RF 1500 W, 100 Pa, 30 min, AS-214 O-ring (Shinko Seiki small etcher)</t>
        </is>
      </c>
      <c r="AH290" s="8" t="inlineStr">
        <is>
          <t>parts by mass; MPa; Shore A instantaneous (JIS K6253-3)</t>
        </is>
      </c>
      <c r="AI290" s="8" t="inlineStr">
        <is>
          <t>Table 1. Press 160C x 10 min, post-cure 200C x 4 h. Dust after plasma: B.</t>
        </is>
      </c>
    </row>
    <row r="291">
      <c r="A291" s="8" t="inlineStr">
        <is>
          <t>US12584054B2</t>
        </is>
      </c>
      <c r="B291" s="8" t="inlineStr">
        <is>
          <t>patent</t>
        </is>
      </c>
      <c r="C291" s="8" t="inlineStr">
        <is>
          <t>Mitsubishi Cable Industries, Ltd.</t>
        </is>
      </c>
      <c r="D291" s="8" t="inlineStr">
        <is>
          <t>Semiconductor production device sealing material</t>
        </is>
      </c>
      <c r="E291" s="8" t="inlineStr">
        <is>
          <t>https://patents.google.com/patent/US12584054B2/en</t>
        </is>
      </c>
      <c r="F291" s="8" t="inlineStr">
        <is>
          <t>Comparative Example 13</t>
        </is>
      </c>
      <c r="G291" s="8" t="inlineStr">
        <is>
          <t>FKM</t>
        </is>
      </c>
      <c r="H291" s="8" t="inlineStr">
        <is>
          <t>Tecnoflon P959 (Solvay)</t>
        </is>
      </c>
      <c r="I291" s="8" t="inlineStr">
        <is>
          <t>peroxide</t>
        </is>
      </c>
      <c r="J291" s="8" t="n">
        <v>100</v>
      </c>
      <c r="K291" s="8" t="n">
        <v>0</v>
      </c>
      <c r="L291" s="8" t="n">
        <v>0</v>
      </c>
      <c r="M291" s="8" t="n">
        <v>0</v>
      </c>
      <c r="N291" s="8" t="n">
        <v>0</v>
      </c>
      <c r="O291" s="8" t="n">
        <v>0</v>
      </c>
      <c r="P291" s="8" t="n">
        <v>0</v>
      </c>
      <c r="Q291" s="8" t="n">
        <v>0</v>
      </c>
      <c r="R291" s="8" t="n">
        <v>10</v>
      </c>
      <c r="S291" s="8" t="n">
        <v>2</v>
      </c>
      <c r="T291" s="8" t="n">
        <v>1.5</v>
      </c>
      <c r="U291" s="8" t="n">
        <v>0</v>
      </c>
      <c r="V291" s="8" t="n">
        <v>0</v>
      </c>
      <c r="W291" s="8" t="n">
        <v>0</v>
      </c>
      <c r="X291" s="8" t="n">
        <v>0</v>
      </c>
      <c r="Y291" s="8" t="inlineStr">
        <is>
          <t>phenol resin powder BellPearl R800 (22 um) 10; TAIC 2; Perhexa 25B 1.5</t>
        </is>
      </c>
      <c r="Z291" s="8" t="n">
        <v>58</v>
      </c>
      <c r="AA291" s="8" t="n">
        <v>9.5</v>
      </c>
      <c r="AB291" s="8" t="n">
        <v>240</v>
      </c>
      <c r="AC291" s="8" t="n">
        <v>2.4</v>
      </c>
      <c r="AD291" s="8" t="n"/>
      <c r="AE291" s="8" t="inlineStr">
        <is>
          <t>JIS K6262, AS-214 O-ring cut in half; temperature/time not stated</t>
        </is>
      </c>
      <c r="AF291" s="8" t="n">
        <v>2.2</v>
      </c>
      <c r="AG291" s="8" t="inlineStr">
        <is>
          <t>O2+CF4 (50:1), RF 1500 W, 100 Pa, 30 min, AS-214 O-ring (Shinko Seiki small etcher)</t>
        </is>
      </c>
      <c r="AH291" s="8" t="inlineStr">
        <is>
          <t>parts by mass; MPa; Shore A instantaneous (JIS K6253-3)</t>
        </is>
      </c>
      <c r="AI291" s="8" t="inlineStr">
        <is>
          <t>Table 1. Press 160C x 10 min, post-cure 200C x 4 h. Dust after plasma: A. Compression set: test piece 'Crushed' (not measurable).</t>
        </is>
      </c>
    </row>
    <row r="292">
      <c r="A292" s="8" t="inlineStr">
        <is>
          <t>US12584054B2</t>
        </is>
      </c>
      <c r="B292" s="8" t="inlineStr">
        <is>
          <t>patent</t>
        </is>
      </c>
      <c r="C292" s="8" t="inlineStr">
        <is>
          <t>Mitsubishi Cable Industries, Ltd.</t>
        </is>
      </c>
      <c r="D292" s="8" t="inlineStr">
        <is>
          <t>Semiconductor production device sealing material</t>
        </is>
      </c>
      <c r="E292" s="8" t="inlineStr">
        <is>
          <t>https://patents.google.com/patent/US12584054B2/en</t>
        </is>
      </c>
      <c r="F292" s="8" t="inlineStr">
        <is>
          <t>Example 6</t>
        </is>
      </c>
      <c r="G292" s="8" t="inlineStr">
        <is>
          <t>FKM</t>
        </is>
      </c>
      <c r="H292" s="8" t="inlineStr">
        <is>
          <t>Tecnoflon P959 (Solvay)</t>
        </is>
      </c>
      <c r="I292" s="8" t="inlineStr">
        <is>
          <t>peroxide</t>
        </is>
      </c>
      <c r="J292" s="8" t="n">
        <v>100</v>
      </c>
      <c r="K292" s="8" t="n">
        <v>10</v>
      </c>
      <c r="L292" s="8" t="n">
        <v>0</v>
      </c>
      <c r="M292" s="8" t="n">
        <v>0</v>
      </c>
      <c r="N292" s="8" t="n">
        <v>0</v>
      </c>
      <c r="O292" s="8" t="n">
        <v>0</v>
      </c>
      <c r="P292" s="8" t="n">
        <v>0</v>
      </c>
      <c r="Q292" s="8" t="n">
        <v>0</v>
      </c>
      <c r="R292" s="8" t="n">
        <v>10</v>
      </c>
      <c r="S292" s="8" t="n">
        <v>2</v>
      </c>
      <c r="T292" s="8" t="n">
        <v>1.5</v>
      </c>
      <c r="U292" s="8" t="n">
        <v>0</v>
      </c>
      <c r="V292" s="8" t="n">
        <v>0</v>
      </c>
      <c r="W292" s="8" t="n">
        <v>0</v>
      </c>
      <c r="X292" s="8" t="n">
        <v>0</v>
      </c>
      <c r="Y292" s="8" t="inlineStr">
        <is>
          <t>phenol resin powder BellPearl R100 10; MT carbon black Thermax N990 10; TAIC 2; Perhexa 25B 1.5</t>
        </is>
      </c>
      <c r="Z292" s="8" t="n">
        <v>64</v>
      </c>
      <c r="AA292" s="8" t="n">
        <v>21.5</v>
      </c>
      <c r="AB292" s="8" t="n">
        <v>200</v>
      </c>
      <c r="AC292" s="8" t="n">
        <v>5.1</v>
      </c>
      <c r="AD292" s="8" t="n">
        <v>13</v>
      </c>
      <c r="AE292" s="8" t="inlineStr">
        <is>
          <t>JIS K6262, AS-214 O-ring cut in half; temperature/time not stated</t>
        </is>
      </c>
      <c r="AF292" s="8" t="n"/>
      <c r="AG292" s="8" t="inlineStr">
        <is>
          <t>O2+CF4 (50:1), RF 1500 W, 100 Pa, 30 min, AS-214 O-ring (Shinko Seiki small etcher)</t>
        </is>
      </c>
      <c r="AH292" s="8" t="inlineStr">
        <is>
          <t>parts by mass; MPa; Shore A instantaneous (JIS K6253-3)</t>
        </is>
      </c>
      <c r="AI292" s="8" t="inlineStr">
        <is>
          <t>Table 2. Press 160C x 10 min, post-cure 200C x 4 h. Plasma not reported.</t>
        </is>
      </c>
    </row>
    <row r="293">
      <c r="A293" s="8" t="inlineStr">
        <is>
          <t>US12584054B2</t>
        </is>
      </c>
      <c r="B293" s="8" t="inlineStr">
        <is>
          <t>patent</t>
        </is>
      </c>
      <c r="C293" s="8" t="inlineStr">
        <is>
          <t>Mitsubishi Cable Industries, Ltd.</t>
        </is>
      </c>
      <c r="D293" s="8" t="inlineStr">
        <is>
          <t>Semiconductor production device sealing material</t>
        </is>
      </c>
      <c r="E293" s="8" t="inlineStr">
        <is>
          <t>https://patents.google.com/patent/US12584054B2/en</t>
        </is>
      </c>
      <c r="F293" s="8" t="inlineStr">
        <is>
          <t>Example 7</t>
        </is>
      </c>
      <c r="G293" s="8" t="inlineStr">
        <is>
          <t>FKM</t>
        </is>
      </c>
      <c r="H293" s="8" t="inlineStr">
        <is>
          <t>Viton E60C (Chemours; precompounded bisphenol-cure FKM)</t>
        </is>
      </c>
      <c r="I293" s="8" t="inlineStr">
        <is>
          <t>bisphenol</t>
        </is>
      </c>
      <c r="J293" s="8" t="n">
        <v>100</v>
      </c>
      <c r="K293" s="8" t="n">
        <v>25</v>
      </c>
      <c r="L293" s="8" t="n">
        <v>0</v>
      </c>
      <c r="M293" s="8" t="n">
        <v>0</v>
      </c>
      <c r="N293" s="8" t="n">
        <v>0</v>
      </c>
      <c r="O293" s="8" t="n">
        <v>0</v>
      </c>
      <c r="P293" s="8" t="n">
        <v>0</v>
      </c>
      <c r="Q293" s="8" t="n">
        <v>0</v>
      </c>
      <c r="R293" s="8" t="n">
        <v>10</v>
      </c>
      <c r="S293" s="8" t="n">
        <v>0</v>
      </c>
      <c r="T293" s="8" t="n">
        <v>0</v>
      </c>
      <c r="U293" s="8" t="n">
        <v>0</v>
      </c>
      <c r="V293" s="8" t="n"/>
      <c r="W293" s="8" t="n">
        <v>9</v>
      </c>
      <c r="X293" s="8" t="n">
        <v>0</v>
      </c>
      <c r="Y293" s="8" t="inlineStr">
        <is>
          <t>phenol resin powder BellPearl R100 10; MT carbon black N990 25; MgO Kyowamag 150 3 + Ca(OH)2 CALVIT 6; curative incorporated in E60C (amount not stated)</t>
        </is>
      </c>
      <c r="Z293" s="8" t="n">
        <v>71</v>
      </c>
      <c r="AA293" s="8" t="n">
        <v>18.9</v>
      </c>
      <c r="AB293" s="8" t="n">
        <v>180</v>
      </c>
      <c r="AC293" s="8" t="n">
        <v>8.9</v>
      </c>
      <c r="AD293" s="8" t="n">
        <v>9</v>
      </c>
      <c r="AE293" s="8" t="inlineStr">
        <is>
          <t>JIS K6262, AS-214 O-ring cut in half; temperature/time not stated</t>
        </is>
      </c>
      <c r="AF293" s="8" t="n"/>
      <c r="AG293" s="8" t="inlineStr">
        <is>
          <t>O2+CF4 (50:1), RF 1500 W, 100 Pa, 30 min, AS-214 O-ring (Shinko Seiki small etcher)</t>
        </is>
      </c>
      <c r="AH293" s="8" t="inlineStr">
        <is>
          <t>parts by mass; MPa; Shore A instantaneous (JIS K6253-3)</t>
        </is>
      </c>
      <c r="AI293" s="8" t="inlineStr">
        <is>
          <t>Table 2. Press 170C x 20 min, post-cure 200C x 24 h. Plasma not reported.</t>
        </is>
      </c>
    </row>
    <row r="294">
      <c r="A294" s="8" t="inlineStr">
        <is>
          <t>US12584054B2</t>
        </is>
      </c>
      <c r="B294" s="8" t="inlineStr">
        <is>
          <t>patent</t>
        </is>
      </c>
      <c r="C294" s="8" t="inlineStr">
        <is>
          <t>Mitsubishi Cable Industries, Ltd.</t>
        </is>
      </c>
      <c r="D294" s="8" t="inlineStr">
        <is>
          <t>Semiconductor production device sealing material</t>
        </is>
      </c>
      <c r="E294" s="8" t="inlineStr">
        <is>
          <t>https://patents.google.com/patent/US12584054B2/en</t>
        </is>
      </c>
      <c r="F294" s="8" t="inlineStr">
        <is>
          <t>Comparative Example 10</t>
        </is>
      </c>
      <c r="G294" s="8" t="inlineStr">
        <is>
          <t>FKM</t>
        </is>
      </c>
      <c r="H294" s="8" t="inlineStr">
        <is>
          <t>Viton E60C (Chemours; precompounded bisphenol-cure FKM)</t>
        </is>
      </c>
      <c r="I294" s="8" t="inlineStr">
        <is>
          <t>bisphenol</t>
        </is>
      </c>
      <c r="J294" s="8" t="n">
        <v>100</v>
      </c>
      <c r="K294" s="8" t="n">
        <v>25</v>
      </c>
      <c r="L294" s="8" t="n">
        <v>0</v>
      </c>
      <c r="M294" s="8" t="n">
        <v>0</v>
      </c>
      <c r="N294" s="8" t="n">
        <v>0</v>
      </c>
      <c r="O294" s="8" t="n">
        <v>0</v>
      </c>
      <c r="P294" s="8" t="n">
        <v>0</v>
      </c>
      <c r="Q294" s="8" t="n">
        <v>0</v>
      </c>
      <c r="R294" s="8" t="n">
        <v>0</v>
      </c>
      <c r="S294" s="8" t="n">
        <v>0</v>
      </c>
      <c r="T294" s="8" t="n">
        <v>0</v>
      </c>
      <c r="U294" s="8" t="n">
        <v>0</v>
      </c>
      <c r="V294" s="8" t="n"/>
      <c r="W294" s="8" t="n">
        <v>9</v>
      </c>
      <c r="X294" s="8" t="n">
        <v>0</v>
      </c>
      <c r="Y294" s="8" t="inlineStr">
        <is>
          <t>MT carbon black N990 25; MgO 3 + Ca(OH)2 6; curative incorporated in E60C (amount not stated)</t>
        </is>
      </c>
      <c r="Z294" s="8" t="n">
        <v>68</v>
      </c>
      <c r="AA294" s="8" t="n">
        <v>16.6</v>
      </c>
      <c r="AB294" s="8" t="n">
        <v>190</v>
      </c>
      <c r="AC294" s="8" t="n">
        <v>7</v>
      </c>
      <c r="AD294" s="8" t="n">
        <v>18</v>
      </c>
      <c r="AE294" s="8" t="inlineStr">
        <is>
          <t>JIS K6262, AS-214 O-ring cut in half; temperature/time not stated</t>
        </is>
      </c>
      <c r="AF294" s="8" t="n"/>
      <c r="AG294" s="8" t="inlineStr">
        <is>
          <t>O2+CF4 (50:1), RF 1500 W, 100 Pa, 30 min, AS-214 O-ring (Shinko Seiki small etcher)</t>
        </is>
      </c>
      <c r="AH294" s="8" t="inlineStr">
        <is>
          <t>parts by mass; MPa; Shore A instantaneous (JIS K6253-3)</t>
        </is>
      </c>
      <c r="AI294" s="8" t="inlineStr">
        <is>
          <t>Table 2. Same as Example 7 without phenol resin. Plasma not reported.</t>
        </is>
      </c>
    </row>
    <row r="295">
      <c r="A295" s="8" t="inlineStr">
        <is>
          <t>US12584054B2</t>
        </is>
      </c>
      <c r="B295" s="8" t="inlineStr">
        <is>
          <t>patent</t>
        </is>
      </c>
      <c r="C295" s="8" t="inlineStr">
        <is>
          <t>Mitsubishi Cable Industries, Ltd.</t>
        </is>
      </c>
      <c r="D295" s="8" t="inlineStr">
        <is>
          <t>Semiconductor production device sealing material</t>
        </is>
      </c>
      <c r="E295" s="8" t="inlineStr">
        <is>
          <t>https://patents.google.com/patent/US12584054B2/en</t>
        </is>
      </c>
      <c r="F295" s="8" t="inlineStr">
        <is>
          <t>Example 8</t>
        </is>
      </c>
      <c r="G295" s="8" t="inlineStr">
        <is>
          <t>FKM</t>
        </is>
      </c>
      <c r="H295" s="8" t="inlineStr">
        <is>
          <t>Tecnoflon P959 (Solvay)</t>
        </is>
      </c>
      <c r="I295" s="8" t="inlineStr">
        <is>
          <t>peroxide</t>
        </is>
      </c>
      <c r="J295" s="8" t="n">
        <v>100</v>
      </c>
      <c r="K295" s="8" t="n">
        <v>0</v>
      </c>
      <c r="L295" s="8" t="n">
        <v>0</v>
      </c>
      <c r="M295" s="8" t="n">
        <v>0</v>
      </c>
      <c r="N295" s="8" t="n">
        <v>0</v>
      </c>
      <c r="O295" s="8" t="n">
        <v>0</v>
      </c>
      <c r="P295" s="8" t="n">
        <v>0</v>
      </c>
      <c r="Q295" s="8" t="n">
        <v>0</v>
      </c>
      <c r="R295" s="8" t="n">
        <v>10</v>
      </c>
      <c r="S295" s="8" t="n">
        <v>2</v>
      </c>
      <c r="T295" s="8" t="n">
        <v>1.5</v>
      </c>
      <c r="U295" s="8" t="n">
        <v>0</v>
      </c>
      <c r="V295" s="8" t="n">
        <v>0</v>
      </c>
      <c r="W295" s="8" t="n">
        <v>0</v>
      </c>
      <c r="X295" s="8" t="n">
        <v>0</v>
      </c>
      <c r="Y295" s="8" t="inlineStr">
        <is>
          <t>phenol resin powder BellPearl R100 10; TAIC 2; Perhexa 25B 1.5</t>
        </is>
      </c>
      <c r="Z295" s="8" t="n">
        <v>58</v>
      </c>
      <c r="AA295" s="8" t="n">
        <v>14.1</v>
      </c>
      <c r="AB295" s="8" t="n">
        <v>220</v>
      </c>
      <c r="AC295" s="8" t="n">
        <v>2.7</v>
      </c>
      <c r="AD295" s="8" t="n">
        <v>14</v>
      </c>
      <c r="AE295" s="8" t="inlineStr">
        <is>
          <t>JIS K6262, AS-214 O-ring cut in half; temperature/time not stated</t>
        </is>
      </c>
      <c r="AF295" s="8" t="n"/>
      <c r="AG295" s="8" t="inlineStr">
        <is>
          <t>O2+CF4 (50:1), RF 1500 W, 100 Pa, 30 min, AS-214 O-ring (Shinko Seiki small etcher)</t>
        </is>
      </c>
      <c r="AH295" s="8" t="inlineStr">
        <is>
          <t>parts by mass; MPa; Shore A instantaneous (JIS K6253-3)</t>
        </is>
      </c>
      <c r="AI295" s="8" t="inlineStr">
        <is>
          <t>Table 3. Press 160C x 5 min, NO post-cure. t90 = 2.5 min. Plasma not reported.</t>
        </is>
      </c>
    </row>
    <row r="296">
      <c r="A296" s="8" t="inlineStr">
        <is>
          <t>US12584054B2</t>
        </is>
      </c>
      <c r="B296" s="8" t="inlineStr">
        <is>
          <t>patent</t>
        </is>
      </c>
      <c r="C296" s="8" t="inlineStr">
        <is>
          <t>Mitsubishi Cable Industries, Ltd.</t>
        </is>
      </c>
      <c r="D296" s="8" t="inlineStr">
        <is>
          <t>Semiconductor production device sealing material</t>
        </is>
      </c>
      <c r="E296" s="8" t="inlineStr">
        <is>
          <t>https://patents.google.com/patent/US12584054B2/en</t>
        </is>
      </c>
      <c r="F296" s="8" t="inlineStr">
        <is>
          <t>Example 9</t>
        </is>
      </c>
      <c r="G296" s="8" t="inlineStr">
        <is>
          <t>FKM</t>
        </is>
      </c>
      <c r="H296" s="8" t="inlineStr">
        <is>
          <t>Tecnoflon P959 (Solvay)</t>
        </is>
      </c>
      <c r="I296" s="8" t="inlineStr">
        <is>
          <t>peroxide</t>
        </is>
      </c>
      <c r="J296" s="8" t="n">
        <v>100</v>
      </c>
      <c r="K296" s="8" t="n">
        <v>0</v>
      </c>
      <c r="L296" s="8" t="n">
        <v>0</v>
      </c>
      <c r="M296" s="8" t="n">
        <v>0</v>
      </c>
      <c r="N296" s="8" t="n">
        <v>0</v>
      </c>
      <c r="O296" s="8" t="n">
        <v>0</v>
      </c>
      <c r="P296" s="8" t="n">
        <v>0</v>
      </c>
      <c r="Q296" s="8" t="n">
        <v>0</v>
      </c>
      <c r="R296" s="8" t="n">
        <v>10</v>
      </c>
      <c r="S296" s="8" t="n">
        <v>2</v>
      </c>
      <c r="T296" s="8" t="n">
        <v>0.3</v>
      </c>
      <c r="U296" s="8" t="n">
        <v>0</v>
      </c>
      <c r="V296" s="8" t="n">
        <v>0</v>
      </c>
      <c r="W296" s="8" t="n">
        <v>0</v>
      </c>
      <c r="X296" s="8" t="n">
        <v>0</v>
      </c>
      <c r="Y296" s="8" t="inlineStr">
        <is>
          <t>phenol resin powder BellPearl R100 10; TAIC 2; Perhexa 25B 0.3</t>
        </is>
      </c>
      <c r="Z296" s="8" t="n">
        <v>57</v>
      </c>
      <c r="AA296" s="8" t="n">
        <v>13.9</v>
      </c>
      <c r="AB296" s="8" t="n">
        <v>220</v>
      </c>
      <c r="AC296" s="8" t="n">
        <v>2.6</v>
      </c>
      <c r="AD296" s="8" t="n">
        <v>10</v>
      </c>
      <c r="AE296" s="8" t="inlineStr">
        <is>
          <t>JIS K6262, AS-214 O-ring cut in half; temperature/time not stated</t>
        </is>
      </c>
      <c r="AF296" s="8" t="n"/>
      <c r="AG296" s="8" t="inlineStr">
        <is>
          <t>O2+CF4 (50:1), RF 1500 W, 100 Pa, 30 min, AS-214 O-ring (Shinko Seiki small etcher)</t>
        </is>
      </c>
      <c r="AH296" s="8" t="inlineStr">
        <is>
          <t>parts by mass; MPa; Shore A instantaneous (JIS K6253-3)</t>
        </is>
      </c>
      <c r="AI296" s="8" t="inlineStr">
        <is>
          <t>Table 3. Press 160C x 5 min, NO post-cure. t90 = 4.1 min. Plasma not reported.</t>
        </is>
      </c>
    </row>
    <row r="297">
      <c r="A297" s="8" t="inlineStr">
        <is>
          <t>US12584054B2</t>
        </is>
      </c>
      <c r="B297" s="8" t="inlineStr">
        <is>
          <t>patent</t>
        </is>
      </c>
      <c r="C297" s="8" t="inlineStr">
        <is>
          <t>Mitsubishi Cable Industries, Ltd.</t>
        </is>
      </c>
      <c r="D297" s="8" t="inlineStr">
        <is>
          <t>Semiconductor production device sealing material</t>
        </is>
      </c>
      <c r="E297" s="8" t="inlineStr">
        <is>
          <t>https://patents.google.com/patent/US12584054B2/en</t>
        </is>
      </c>
      <c r="F297" s="8" t="inlineStr">
        <is>
          <t>Comparative Example 11</t>
        </is>
      </c>
      <c r="G297" s="8" t="inlineStr">
        <is>
          <t>FKM</t>
        </is>
      </c>
      <c r="H297" s="8" t="inlineStr">
        <is>
          <t>Tecnoflon P959 (Solvay)</t>
        </is>
      </c>
      <c r="I297" s="8" t="inlineStr">
        <is>
          <t>peroxide</t>
        </is>
      </c>
      <c r="J297" s="8" t="n">
        <v>100</v>
      </c>
      <c r="K297" s="8" t="n">
        <v>10</v>
      </c>
      <c r="L297" s="8" t="n">
        <v>0</v>
      </c>
      <c r="M297" s="8" t="n">
        <v>0</v>
      </c>
      <c r="N297" s="8" t="n">
        <v>0</v>
      </c>
      <c r="O297" s="8" t="n">
        <v>0</v>
      </c>
      <c r="P297" s="8" t="n">
        <v>0</v>
      </c>
      <c r="Q297" s="8" t="n">
        <v>0</v>
      </c>
      <c r="R297" s="8" t="n">
        <v>0</v>
      </c>
      <c r="S297" s="8" t="n">
        <v>2</v>
      </c>
      <c r="T297" s="8" t="n">
        <v>1.5</v>
      </c>
      <c r="U297" s="8" t="n">
        <v>0</v>
      </c>
      <c r="V297" s="8" t="n">
        <v>0</v>
      </c>
      <c r="W297" s="8" t="n">
        <v>0</v>
      </c>
      <c r="X297" s="8" t="n">
        <v>0</v>
      </c>
      <c r="Y297" s="8" t="inlineStr">
        <is>
          <t>MT carbon black Thermax N990 10; TAIC 2; Perhexa 25B 1.5</t>
        </is>
      </c>
      <c r="Z297" s="8" t="n">
        <v>55</v>
      </c>
      <c r="AA297" s="8" t="n">
        <v>14.4</v>
      </c>
      <c r="AB297" s="8" t="n">
        <v>220</v>
      </c>
      <c r="AC297" s="8" t="n">
        <v>2.8</v>
      </c>
      <c r="AD297" s="8" t="n">
        <v>27</v>
      </c>
      <c r="AE297" s="8" t="inlineStr">
        <is>
          <t>JIS K6262, AS-214 O-ring cut in half; temperature/time not stated</t>
        </is>
      </c>
      <c r="AF297" s="8" t="n"/>
      <c r="AG297" s="8" t="inlineStr">
        <is>
          <t>O2+CF4 (50:1), RF 1500 W, 100 Pa, 30 min, AS-214 O-ring (Shinko Seiki small etcher)</t>
        </is>
      </c>
      <c r="AH297" s="8" t="inlineStr">
        <is>
          <t>parts by mass; MPa; Shore A instantaneous (JIS K6253-3)</t>
        </is>
      </c>
      <c r="AI297" s="8" t="inlineStr">
        <is>
          <t>Table 3. Press 160C x 5 min, NO post-cure. t90 = 3.8 min. Plasma not reported.</t>
        </is>
      </c>
    </row>
    <row r="298">
      <c r="A298" s="8" t="inlineStr">
        <is>
          <t>US12584054B2</t>
        </is>
      </c>
      <c r="B298" s="8" t="inlineStr">
        <is>
          <t>patent</t>
        </is>
      </c>
      <c r="C298" s="8" t="inlineStr">
        <is>
          <t>Mitsubishi Cable Industries, Ltd.</t>
        </is>
      </c>
      <c r="D298" s="8" t="inlineStr">
        <is>
          <t>Semiconductor production device sealing material</t>
        </is>
      </c>
      <c r="E298" s="8" t="inlineStr">
        <is>
          <t>https://patents.google.com/patent/US12584054B2/en</t>
        </is>
      </c>
      <c r="F298" s="8" t="inlineStr">
        <is>
          <t>Comparative Example 12</t>
        </is>
      </c>
      <c r="G298" s="8" t="inlineStr">
        <is>
          <t>FKM</t>
        </is>
      </c>
      <c r="H298" s="8" t="inlineStr">
        <is>
          <t>Tecnoflon P959 (Solvay)</t>
        </is>
      </c>
      <c r="I298" s="8" t="inlineStr">
        <is>
          <t>peroxide</t>
        </is>
      </c>
      <c r="J298" s="8" t="n">
        <v>100</v>
      </c>
      <c r="K298" s="8" t="n">
        <v>10</v>
      </c>
      <c r="L298" s="8" t="n">
        <v>0</v>
      </c>
      <c r="M298" s="8" t="n">
        <v>0</v>
      </c>
      <c r="N298" s="8" t="n">
        <v>0</v>
      </c>
      <c r="O298" s="8" t="n">
        <v>0</v>
      </c>
      <c r="P298" s="8" t="n">
        <v>0</v>
      </c>
      <c r="Q298" s="8" t="n">
        <v>0</v>
      </c>
      <c r="R298" s="8" t="n">
        <v>0</v>
      </c>
      <c r="S298" s="8" t="n">
        <v>2</v>
      </c>
      <c r="T298" s="8" t="n">
        <v>0.3</v>
      </c>
      <c r="U298" s="8" t="n">
        <v>0</v>
      </c>
      <c r="V298" s="8" t="n">
        <v>0</v>
      </c>
      <c r="W298" s="8" t="n">
        <v>0</v>
      </c>
      <c r="X298" s="8" t="n">
        <v>0</v>
      </c>
      <c r="Y298" s="8" t="inlineStr">
        <is>
          <t>MT carbon black Thermax N990 10; TAIC 2; Perhexa 25B 0.3</t>
        </is>
      </c>
      <c r="Z298" s="8" t="n">
        <v>52</v>
      </c>
      <c r="AA298" s="8" t="n">
        <v>13.2</v>
      </c>
      <c r="AB298" s="8" t="n">
        <v>250</v>
      </c>
      <c r="AC298" s="8" t="n">
        <v>2.2</v>
      </c>
      <c r="AD298" s="8" t="n">
        <v>39</v>
      </c>
      <c r="AE298" s="8" t="inlineStr">
        <is>
          <t>JIS K6262, AS-214 O-ring cut in half; temperature/time not stated</t>
        </is>
      </c>
      <c r="AF298" s="8" t="n"/>
      <c r="AG298" s="8" t="inlineStr">
        <is>
          <t>O2+CF4 (50:1), RF 1500 W, 100 Pa, 30 min, AS-214 O-ring (Shinko Seiki small etcher)</t>
        </is>
      </c>
      <c r="AH298" s="8" t="inlineStr">
        <is>
          <t>parts by mass; MPa; Shore A instantaneous (JIS K6253-3)</t>
        </is>
      </c>
      <c r="AI298" s="8" t="inlineStr">
        <is>
          <t>Table 3. Press 160C x 5 min, NO post-cure. t90 = 7.0 min. Plasma not reported.</t>
        </is>
      </c>
    </row>
    <row r="299">
      <c r="A299" s="8" t="inlineStr">
        <is>
          <t>US20230174763A1</t>
        </is>
      </c>
      <c r="B299" s="8" t="inlineStr">
        <is>
          <t>patent</t>
        </is>
      </c>
      <c r="C299" s="8" t="inlineStr">
        <is>
          <t>Mitsubishi Cable Industries, Ltd.</t>
        </is>
      </c>
      <c r="D299" s="8" t="inlineStr">
        <is>
          <t>Elastomer composition and sealing material comprising same</t>
        </is>
      </c>
      <c r="E299" s="8" t="inlineStr">
        <is>
          <t>https://patents.google.com/patent/US20230174763A1/en</t>
        </is>
      </c>
      <c r="F299" s="8" t="inlineStr">
        <is>
          <t>Example 1</t>
        </is>
      </c>
      <c r="G299" s="8" t="inlineStr">
        <is>
          <t>FKM</t>
        </is>
      </c>
      <c r="H299" s="8" t="inlineStr">
        <is>
          <t>Tecnoflon P959 (Solvay)</t>
        </is>
      </c>
      <c r="I299" s="8" t="inlineStr">
        <is>
          <t>peroxide</t>
        </is>
      </c>
      <c r="J299" s="8" t="n">
        <v>100</v>
      </c>
      <c r="K299" s="8" t="n">
        <v>0</v>
      </c>
      <c r="L299" s="8" t="n">
        <v>5</v>
      </c>
      <c r="M299" s="8" t="n">
        <v>0</v>
      </c>
      <c r="N299" s="8" t="n">
        <v>0</v>
      </c>
      <c r="O299" s="8" t="n">
        <v>0</v>
      </c>
      <c r="P299" s="8" t="n">
        <v>0</v>
      </c>
      <c r="Q299" s="8" t="n">
        <v>0</v>
      </c>
      <c r="R299" s="8" t="n">
        <v>5</v>
      </c>
      <c r="S299" s="8" t="n">
        <v>2</v>
      </c>
      <c r="T299" s="8" t="n">
        <v>1.5</v>
      </c>
      <c r="U299" s="8" t="n">
        <v>0</v>
      </c>
      <c r="V299" s="8" t="n">
        <v>0</v>
      </c>
      <c r="W299" s="8" t="n">
        <v>0</v>
      </c>
      <c r="X299" s="8" t="n">
        <v>0</v>
      </c>
      <c r="Y299" s="8" t="inlineStr">
        <is>
          <t>phenol resin powder BellPearl R100 (1.5 um) 5; silica AEROSIL R972 5; TAIC 2; Perhexa 25B 1.5</t>
        </is>
      </c>
      <c r="Z299" s="8" t="n">
        <v>66</v>
      </c>
      <c r="AA299" s="8" t="n">
        <v>20.3</v>
      </c>
      <c r="AB299" s="8" t="n">
        <v>280</v>
      </c>
      <c r="AC299" s="8" t="n">
        <v>3.9</v>
      </c>
      <c r="AD299" s="8" t="n">
        <v>15</v>
      </c>
      <c r="AE299" s="8" t="inlineStr">
        <is>
          <t>200C x 72h, 25% compression, half-cut AS-214 O-ring (JIS K6262)</t>
        </is>
      </c>
      <c r="AF299" s="8" t="n"/>
      <c r="AG299" s="8" t="n"/>
      <c r="AH299" s="8" t="inlineStr">
        <is>
          <t>parts by mass; MPa; Shore A instantaneous (JIS K6253-3)</t>
        </is>
      </c>
      <c r="AI299" s="8" t="inlineStr">
        <is>
          <t>Table 1. Press 160C x 10 min, post-cure 200C x 4 h. Compression-fracture test (50%, 180C x 4 h): 3/3 pieces without crack. TAIC = 2 per table (Example 1 text says 2.5).</t>
        </is>
      </c>
    </row>
    <row r="300">
      <c r="A300" s="8" t="inlineStr">
        <is>
          <t>US20230174763A1</t>
        </is>
      </c>
      <c r="B300" s="8" t="inlineStr">
        <is>
          <t>patent</t>
        </is>
      </c>
      <c r="C300" s="8" t="inlineStr">
        <is>
          <t>Mitsubishi Cable Industries, Ltd.</t>
        </is>
      </c>
      <c r="D300" s="8" t="inlineStr">
        <is>
          <t>Elastomer composition and sealing material comprising same</t>
        </is>
      </c>
      <c r="E300" s="8" t="inlineStr">
        <is>
          <t>https://patents.google.com/patent/US20230174763A1/en</t>
        </is>
      </c>
      <c r="F300" s="8" t="inlineStr">
        <is>
          <t>Example 2</t>
        </is>
      </c>
      <c r="G300" s="8" t="inlineStr">
        <is>
          <t>FKM</t>
        </is>
      </c>
      <c r="H300" s="8" t="inlineStr">
        <is>
          <t>Tecnoflon P959 (Solvay)</t>
        </is>
      </c>
      <c r="I300" s="8" t="inlineStr">
        <is>
          <t>peroxide</t>
        </is>
      </c>
      <c r="J300" s="8" t="n">
        <v>100</v>
      </c>
      <c r="K300" s="8" t="n">
        <v>0</v>
      </c>
      <c r="L300" s="8" t="n">
        <v>10</v>
      </c>
      <c r="M300" s="8" t="n">
        <v>0</v>
      </c>
      <c r="N300" s="8" t="n">
        <v>0</v>
      </c>
      <c r="O300" s="8" t="n">
        <v>0</v>
      </c>
      <c r="P300" s="8" t="n">
        <v>0</v>
      </c>
      <c r="Q300" s="8" t="n">
        <v>0</v>
      </c>
      <c r="R300" s="8" t="n">
        <v>10</v>
      </c>
      <c r="S300" s="8" t="n">
        <v>2</v>
      </c>
      <c r="T300" s="8" t="n">
        <v>1.5</v>
      </c>
      <c r="U300" s="8" t="n">
        <v>0</v>
      </c>
      <c r="V300" s="8" t="n">
        <v>0</v>
      </c>
      <c r="W300" s="8" t="n">
        <v>0</v>
      </c>
      <c r="X300" s="8" t="n">
        <v>0</v>
      </c>
      <c r="Y300" s="8" t="inlineStr">
        <is>
          <t>phenol resin powder BellPearl R100 (1.5 um) 10; silica AEROSIL R972 10; TAIC 2; Perhexa 25B 1.5</t>
        </is>
      </c>
      <c r="Z300" s="8" t="n">
        <v>74</v>
      </c>
      <c r="AA300" s="8" t="n">
        <v>21.5</v>
      </c>
      <c r="AB300" s="8" t="n">
        <v>210</v>
      </c>
      <c r="AC300" s="8" t="n">
        <v>6</v>
      </c>
      <c r="AD300" s="8" t="n">
        <v>18</v>
      </c>
      <c r="AE300" s="8" t="inlineStr">
        <is>
          <t>200C x 72h, 25% compression, half-cut AS-214 O-ring (JIS K6262)</t>
        </is>
      </c>
      <c r="AF300" s="8" t="n"/>
      <c r="AG300" s="8" t="n"/>
      <c r="AH300" s="8" t="inlineStr">
        <is>
          <t>parts by mass; MPa; Shore A instantaneous (JIS K6253-3)</t>
        </is>
      </c>
      <c r="AI300" s="8" t="inlineStr">
        <is>
          <t>Table 1. Press 160C x 10 min, post-cure 200C x 4 h. Compression-fracture test (50%, 180C x 4 h): 3/3 pieces without crack. TAIC = 2 per table (Example 1 text says 2.5).</t>
        </is>
      </c>
    </row>
    <row r="301">
      <c r="A301" s="8" t="inlineStr">
        <is>
          <t>US20230174763A1</t>
        </is>
      </c>
      <c r="B301" s="8" t="inlineStr">
        <is>
          <t>patent</t>
        </is>
      </c>
      <c r="C301" s="8" t="inlineStr">
        <is>
          <t>Mitsubishi Cable Industries, Ltd.</t>
        </is>
      </c>
      <c r="D301" s="8" t="inlineStr">
        <is>
          <t>Elastomer composition and sealing material comprising same</t>
        </is>
      </c>
      <c r="E301" s="8" t="inlineStr">
        <is>
          <t>https://patents.google.com/patent/US20230174763A1/en</t>
        </is>
      </c>
      <c r="F301" s="8" t="inlineStr">
        <is>
          <t>Example 3</t>
        </is>
      </c>
      <c r="G301" s="8" t="inlineStr">
        <is>
          <t>FKM</t>
        </is>
      </c>
      <c r="H301" s="8" t="inlineStr">
        <is>
          <t>Tecnoflon P959 (Solvay)</t>
        </is>
      </c>
      <c r="I301" s="8" t="inlineStr">
        <is>
          <t>peroxide</t>
        </is>
      </c>
      <c r="J301" s="8" t="n">
        <v>100</v>
      </c>
      <c r="K301" s="8" t="n">
        <v>0</v>
      </c>
      <c r="L301" s="8" t="n">
        <v>5</v>
      </c>
      <c r="M301" s="8" t="n">
        <v>0</v>
      </c>
      <c r="N301" s="8" t="n">
        <v>0</v>
      </c>
      <c r="O301" s="8" t="n">
        <v>0</v>
      </c>
      <c r="P301" s="8" t="n">
        <v>0</v>
      </c>
      <c r="Q301" s="8" t="n">
        <v>0</v>
      </c>
      <c r="R301" s="8" t="n">
        <v>25</v>
      </c>
      <c r="S301" s="8" t="n">
        <v>2</v>
      </c>
      <c r="T301" s="8" t="n">
        <v>1.5</v>
      </c>
      <c r="U301" s="8" t="n">
        <v>0</v>
      </c>
      <c r="V301" s="8" t="n">
        <v>0</v>
      </c>
      <c r="W301" s="8" t="n">
        <v>0</v>
      </c>
      <c r="X301" s="8" t="n">
        <v>0</v>
      </c>
      <c r="Y301" s="8" t="inlineStr">
        <is>
          <t>phenol resin powder BellPearl R100 (1.5 um) 25; silica AEROSIL R972 5; TAIC 2; Perhexa 25B 1.5</t>
        </is>
      </c>
      <c r="Z301" s="8" t="n">
        <v>73</v>
      </c>
      <c r="AA301" s="8" t="n">
        <v>24.3</v>
      </c>
      <c r="AB301" s="8" t="n">
        <v>190</v>
      </c>
      <c r="AC301" s="8" t="n">
        <v>8.300000000000001</v>
      </c>
      <c r="AD301" s="8" t="n">
        <v>23</v>
      </c>
      <c r="AE301" s="8" t="inlineStr">
        <is>
          <t>200C x 72h, 25% compression, half-cut AS-214 O-ring (JIS K6262)</t>
        </is>
      </c>
      <c r="AF301" s="8" t="n"/>
      <c r="AG301" s="8" t="n"/>
      <c r="AH301" s="8" t="inlineStr">
        <is>
          <t>parts by mass; MPa; Shore A instantaneous (JIS K6253-3)</t>
        </is>
      </c>
      <c r="AI301" s="8" t="inlineStr">
        <is>
          <t>Table 1. Press 160C x 10 min, post-cure 200C x 4 h. Compression-fracture test (50%, 180C x 4 h): 3/3 pieces without crack. TAIC = 2 per table (Example 1 text says 2.5).</t>
        </is>
      </c>
    </row>
    <row r="302">
      <c r="A302" s="8" t="inlineStr">
        <is>
          <t>US20230174763A1</t>
        </is>
      </c>
      <c r="B302" s="8" t="inlineStr">
        <is>
          <t>patent</t>
        </is>
      </c>
      <c r="C302" s="8" t="inlineStr">
        <is>
          <t>Mitsubishi Cable Industries, Ltd.</t>
        </is>
      </c>
      <c r="D302" s="8" t="inlineStr">
        <is>
          <t>Elastomer composition and sealing material comprising same</t>
        </is>
      </c>
      <c r="E302" s="8" t="inlineStr">
        <is>
          <t>https://patents.google.com/patent/US20230174763A1/en</t>
        </is>
      </c>
      <c r="F302" s="8" t="inlineStr">
        <is>
          <t>Example 4</t>
        </is>
      </c>
      <c r="G302" s="8" t="inlineStr">
        <is>
          <t>FKM</t>
        </is>
      </c>
      <c r="H302" s="8" t="inlineStr">
        <is>
          <t>Tecnoflon P959 (Solvay)</t>
        </is>
      </c>
      <c r="I302" s="8" t="inlineStr">
        <is>
          <t>peroxide</t>
        </is>
      </c>
      <c r="J302" s="8" t="n">
        <v>100</v>
      </c>
      <c r="K302" s="8" t="n">
        <v>0</v>
      </c>
      <c r="L302" s="8" t="n">
        <v>25</v>
      </c>
      <c r="M302" s="8" t="n">
        <v>0</v>
      </c>
      <c r="N302" s="8" t="n">
        <v>0</v>
      </c>
      <c r="O302" s="8" t="n">
        <v>0</v>
      </c>
      <c r="P302" s="8" t="n">
        <v>0</v>
      </c>
      <c r="Q302" s="8" t="n">
        <v>0</v>
      </c>
      <c r="R302" s="8" t="n">
        <v>5</v>
      </c>
      <c r="S302" s="8" t="n">
        <v>2</v>
      </c>
      <c r="T302" s="8" t="n">
        <v>1.5</v>
      </c>
      <c r="U302" s="8" t="n">
        <v>0</v>
      </c>
      <c r="V302" s="8" t="n">
        <v>0</v>
      </c>
      <c r="W302" s="8" t="n">
        <v>0</v>
      </c>
      <c r="X302" s="8" t="n">
        <v>0</v>
      </c>
      <c r="Y302" s="8" t="inlineStr">
        <is>
          <t>phenol resin powder BellPearl R100 (1.5 um) 5; silica AEROSIL R972 25; TAIC 2; Perhexa 25B 1.5</t>
        </is>
      </c>
      <c r="Z302" s="8" t="n">
        <v>84</v>
      </c>
      <c r="AA302" s="8" t="n">
        <v>23.5</v>
      </c>
      <c r="AB302" s="8" t="n">
        <v>250</v>
      </c>
      <c r="AC302" s="8" t="n">
        <v>8.6</v>
      </c>
      <c r="AD302" s="8" t="n">
        <v>30</v>
      </c>
      <c r="AE302" s="8" t="inlineStr">
        <is>
          <t>200C x 72h, 25% compression, half-cut AS-214 O-ring (JIS K6262)</t>
        </is>
      </c>
      <c r="AF302" s="8" t="n"/>
      <c r="AG302" s="8" t="n"/>
      <c r="AH302" s="8" t="inlineStr">
        <is>
          <t>parts by mass; MPa; Shore A instantaneous (JIS K6253-3)</t>
        </is>
      </c>
      <c r="AI302" s="8" t="inlineStr">
        <is>
          <t>Table 1. Press 160C x 10 min, post-cure 200C x 4 h. Compression-fracture test (50%, 180C x 4 h): 3/3 pieces without crack. TAIC = 2 per table (Example 1 text says 2.5).</t>
        </is>
      </c>
    </row>
    <row r="303">
      <c r="A303" s="8" t="inlineStr">
        <is>
          <t>US20230174763A1</t>
        </is>
      </c>
      <c r="B303" s="8" t="inlineStr">
        <is>
          <t>patent</t>
        </is>
      </c>
      <c r="C303" s="8" t="inlineStr">
        <is>
          <t>Mitsubishi Cable Industries, Ltd.</t>
        </is>
      </c>
      <c r="D303" s="8" t="inlineStr">
        <is>
          <t>Elastomer composition and sealing material comprising same</t>
        </is>
      </c>
      <c r="E303" s="8" t="inlineStr">
        <is>
          <t>https://patents.google.com/patent/US20230174763A1/en</t>
        </is>
      </c>
      <c r="F303" s="8" t="inlineStr">
        <is>
          <t>Example 5</t>
        </is>
      </c>
      <c r="G303" s="8" t="inlineStr">
        <is>
          <t>FKM</t>
        </is>
      </c>
      <c r="H303" s="8" t="inlineStr">
        <is>
          <t>Tecnoflon P959 (Solvay)</t>
        </is>
      </c>
      <c r="I303" s="8" t="inlineStr">
        <is>
          <t>peroxide</t>
        </is>
      </c>
      <c r="J303" s="8" t="n">
        <v>100</v>
      </c>
      <c r="K303" s="8" t="n">
        <v>0</v>
      </c>
      <c r="L303" s="8" t="n">
        <v>25</v>
      </c>
      <c r="M303" s="8" t="n">
        <v>0</v>
      </c>
      <c r="N303" s="8" t="n">
        <v>0</v>
      </c>
      <c r="O303" s="8" t="n">
        <v>0</v>
      </c>
      <c r="P303" s="8" t="n">
        <v>0</v>
      </c>
      <c r="Q303" s="8" t="n">
        <v>0</v>
      </c>
      <c r="R303" s="8" t="n">
        <v>25</v>
      </c>
      <c r="S303" s="8" t="n">
        <v>2</v>
      </c>
      <c r="T303" s="8" t="n">
        <v>1.5</v>
      </c>
      <c r="U303" s="8" t="n">
        <v>0</v>
      </c>
      <c r="V303" s="8" t="n">
        <v>0</v>
      </c>
      <c r="W303" s="8" t="n">
        <v>0</v>
      </c>
      <c r="X303" s="8" t="n">
        <v>0</v>
      </c>
      <c r="Y303" s="8" t="inlineStr">
        <is>
          <t>phenol resin powder BellPearl R100 (1.5 um) 25; silica AEROSIL R972 25; TAIC 2; Perhexa 25B 1.5</t>
        </is>
      </c>
      <c r="Z303" s="8" t="n">
        <v>92</v>
      </c>
      <c r="AA303" s="8" t="n">
        <v>22.4</v>
      </c>
      <c r="AB303" s="8" t="n">
        <v>110</v>
      </c>
      <c r="AC303" s="8" t="n">
        <v>20.9</v>
      </c>
      <c r="AD303" s="8" t="n">
        <v>35</v>
      </c>
      <c r="AE303" s="8" t="inlineStr">
        <is>
          <t>150C x 72h, 25% compression, half-cut AS-214 O-ring (JIS K6262)</t>
        </is>
      </c>
      <c r="AF303" s="8" t="n"/>
      <c r="AG303" s="8" t="n"/>
      <c r="AH303" s="8" t="inlineStr">
        <is>
          <t>parts by mass; MPa; Shore A instantaneous (JIS K6253-3)</t>
        </is>
      </c>
      <c r="AI303" s="8" t="inlineStr">
        <is>
          <t>Table 1. Press 160C x 10 min, post-cure 200C x 4 h. Compression-fracture test (50%, 180C x 4 h): 3/3 pieces without crack. TAIC = 2 per table (Example 1 text says 2.5). CS measured at 150C x 72h for this example.</t>
        </is>
      </c>
    </row>
    <row r="304">
      <c r="A304" s="8" t="inlineStr">
        <is>
          <t>US20230174763A1</t>
        </is>
      </c>
      <c r="B304" s="8" t="inlineStr">
        <is>
          <t>patent</t>
        </is>
      </c>
      <c r="C304" s="8" t="inlineStr">
        <is>
          <t>Mitsubishi Cable Industries, Ltd.</t>
        </is>
      </c>
      <c r="D304" s="8" t="inlineStr">
        <is>
          <t>Elastomer composition and sealing material comprising same</t>
        </is>
      </c>
      <c r="E304" s="8" t="inlineStr">
        <is>
          <t>https://patents.google.com/patent/US20230174763A1/en</t>
        </is>
      </c>
      <c r="F304" s="8" t="inlineStr">
        <is>
          <t>Comparative Example 5</t>
        </is>
      </c>
      <c r="G304" s="8" t="inlineStr">
        <is>
          <t>FKM</t>
        </is>
      </c>
      <c r="H304" s="8" t="inlineStr">
        <is>
          <t>Tecnoflon P959 (Solvay)</t>
        </is>
      </c>
      <c r="I304" s="8" t="inlineStr">
        <is>
          <t>peroxide</t>
        </is>
      </c>
      <c r="J304" s="8" t="n">
        <v>100</v>
      </c>
      <c r="K304" s="8" t="n">
        <v>0</v>
      </c>
      <c r="L304" s="8" t="n">
        <v>10</v>
      </c>
      <c r="M304" s="8" t="n">
        <v>0</v>
      </c>
      <c r="N304" s="8" t="n">
        <v>0</v>
      </c>
      <c r="O304" s="8" t="n">
        <v>0</v>
      </c>
      <c r="P304" s="8" t="n">
        <v>0</v>
      </c>
      <c r="Q304" s="8" t="n">
        <v>0</v>
      </c>
      <c r="R304" s="8" t="n">
        <v>10</v>
      </c>
      <c r="S304" s="8" t="n">
        <v>2</v>
      </c>
      <c r="T304" s="8" t="n">
        <v>1.5</v>
      </c>
      <c r="U304" s="8" t="n">
        <v>0</v>
      </c>
      <c r="V304" s="8" t="n">
        <v>0</v>
      </c>
      <c r="W304" s="8" t="n">
        <v>0</v>
      </c>
      <c r="X304" s="8" t="n">
        <v>0</v>
      </c>
      <c r="Y304" s="8" t="inlineStr">
        <is>
          <t>phenol resin powder BellPearl R800 (22 um) 10; silica AEROSIL R972 10; TAIC 2; Perhexa 25B 1.5</t>
        </is>
      </c>
      <c r="Z304" s="8" t="n">
        <v>67</v>
      </c>
      <c r="AA304" s="8" t="n">
        <v>15.1</v>
      </c>
      <c r="AB304" s="8" t="n">
        <v>230</v>
      </c>
      <c r="AC304" s="8" t="n">
        <v>3.9</v>
      </c>
      <c r="AD304" s="8" t="n"/>
      <c r="AE304" s="8" t="inlineStr">
        <is>
          <t>200C x 72h, 25% compression, half-cut AS-214 O-ring (JIS K6262)</t>
        </is>
      </c>
      <c r="AF304" s="8" t="n"/>
      <c r="AG304" s="8" t="n"/>
      <c r="AH304" s="8" t="inlineStr">
        <is>
          <t>parts by mass; MPa; Shore A instantaneous (JIS K6253-3)</t>
        </is>
      </c>
      <c r="AI304" s="8" t="inlineStr">
        <is>
          <t>Table 1. Press 160C x 10 min, post-cure 200C x 4 h. Compression-fracture test (50%, 180C x 4 h): 0/3 pieces without crack. TAIC = 2 per table (Example 1 text says 2.5). CS test piece broken. Text describes CE5 as CE2 with R800 (no silica) but table and discussion ('only differs from Example 2 in particle size') give silica 10; table used.</t>
        </is>
      </c>
    </row>
    <row r="305">
      <c r="A305" s="8" t="inlineStr">
        <is>
          <t>US20230174763A1</t>
        </is>
      </c>
      <c r="B305" s="8" t="inlineStr">
        <is>
          <t>patent</t>
        </is>
      </c>
      <c r="C305" s="8" t="inlineStr">
        <is>
          <t>Mitsubishi Cable Industries, Ltd.</t>
        </is>
      </c>
      <c r="D305" s="8" t="inlineStr">
        <is>
          <t>Elastomer composition and sealing material comprising same</t>
        </is>
      </c>
      <c r="E305" s="8" t="inlineStr">
        <is>
          <t>https://patents.google.com/patent/US20230174763A1/en</t>
        </is>
      </c>
      <c r="F305" s="8" t="inlineStr">
        <is>
          <t>Comparative Example 6</t>
        </is>
      </c>
      <c r="G305" s="8" t="inlineStr">
        <is>
          <t>FKM</t>
        </is>
      </c>
      <c r="H305" s="8" t="inlineStr">
        <is>
          <t>Tecnoflon P959 (Solvay)</t>
        </is>
      </c>
      <c r="I305" s="8" t="inlineStr">
        <is>
          <t>peroxide</t>
        </is>
      </c>
      <c r="J305" s="8" t="n">
        <v>100</v>
      </c>
      <c r="K305" s="8" t="n">
        <v>0</v>
      </c>
      <c r="L305" s="8" t="n">
        <v>10</v>
      </c>
      <c r="M305" s="8" t="n">
        <v>0</v>
      </c>
      <c r="N305" s="8" t="n">
        <v>0</v>
      </c>
      <c r="O305" s="8" t="n">
        <v>0</v>
      </c>
      <c r="P305" s="8" t="n">
        <v>0</v>
      </c>
      <c r="Q305" s="8" t="n">
        <v>0</v>
      </c>
      <c r="R305" s="8" t="n">
        <v>0</v>
      </c>
      <c r="S305" s="8" t="n">
        <v>2</v>
      </c>
      <c r="T305" s="8" t="n">
        <v>1.5</v>
      </c>
      <c r="U305" s="8" t="n">
        <v>0</v>
      </c>
      <c r="V305" s="8" t="n">
        <v>0</v>
      </c>
      <c r="W305" s="8" t="n">
        <v>0</v>
      </c>
      <c r="X305" s="8" t="n">
        <v>0</v>
      </c>
      <c r="Y305" s="8" t="inlineStr">
        <is>
          <t>silica AEROSIL R972 10; TAIC 2; Perhexa 25B 1.5</t>
        </is>
      </c>
      <c r="Z305" s="8" t="n">
        <v>65</v>
      </c>
      <c r="AA305" s="8" t="n">
        <v>20.3</v>
      </c>
      <c r="AB305" s="8" t="n">
        <v>270</v>
      </c>
      <c r="AC305" s="8" t="n">
        <v>3.7</v>
      </c>
      <c r="AD305" s="8" t="n">
        <v>36</v>
      </c>
      <c r="AE305" s="8" t="inlineStr">
        <is>
          <t>200C x 72h, 25% compression, half-cut AS-214 O-ring (JIS K6262)</t>
        </is>
      </c>
      <c r="AF305" s="8" t="n"/>
      <c r="AG305" s="8" t="n"/>
      <c r="AH305" s="8" t="inlineStr">
        <is>
          <t>parts by mass; MPa; Shore A instantaneous (JIS K6253-3)</t>
        </is>
      </c>
      <c r="AI305" s="8" t="inlineStr">
        <is>
          <t>Table 1. Press 160C x 10 min, post-cure 200C x 4 h. Compression-fracture test (50%, 180C x 4 h): 1/3 pieces without crack. TAIC = 2 per table (Example 1 text says 2.5).</t>
        </is>
      </c>
    </row>
    <row r="306">
      <c r="A306" s="8" t="inlineStr">
        <is>
          <t>US20230174763A1</t>
        </is>
      </c>
      <c r="B306" s="8" t="inlineStr">
        <is>
          <t>patent</t>
        </is>
      </c>
      <c r="C306" s="8" t="inlineStr">
        <is>
          <t>Mitsubishi Cable Industries, Ltd.</t>
        </is>
      </c>
      <c r="D306" s="8" t="inlineStr">
        <is>
          <t>Elastomer composition and sealing material comprising same</t>
        </is>
      </c>
      <c r="E306" s="8" t="inlineStr">
        <is>
          <t>https://patents.google.com/patent/US20230174763A1/en</t>
        </is>
      </c>
      <c r="F306" s="8" t="inlineStr">
        <is>
          <t>Comparative Example 7</t>
        </is>
      </c>
      <c r="G306" s="8" t="inlineStr">
        <is>
          <t>FKM</t>
        </is>
      </c>
      <c r="H306" s="8" t="inlineStr">
        <is>
          <t>Tecnoflon P959 (Solvay)</t>
        </is>
      </c>
      <c r="I306" s="8" t="inlineStr">
        <is>
          <t>peroxide</t>
        </is>
      </c>
      <c r="J306" s="8" t="n">
        <v>100</v>
      </c>
      <c r="K306" s="8" t="n">
        <v>0</v>
      </c>
      <c r="L306" s="8" t="n">
        <v>25</v>
      </c>
      <c r="M306" s="8" t="n">
        <v>0</v>
      </c>
      <c r="N306" s="8" t="n">
        <v>0</v>
      </c>
      <c r="O306" s="8" t="n">
        <v>0</v>
      </c>
      <c r="P306" s="8" t="n">
        <v>0</v>
      </c>
      <c r="Q306" s="8" t="n">
        <v>0</v>
      </c>
      <c r="R306" s="8" t="n">
        <v>0</v>
      </c>
      <c r="S306" s="8" t="n">
        <v>2</v>
      </c>
      <c r="T306" s="8" t="n">
        <v>1.5</v>
      </c>
      <c r="U306" s="8" t="n">
        <v>0</v>
      </c>
      <c r="V306" s="8" t="n">
        <v>0</v>
      </c>
      <c r="W306" s="8" t="n">
        <v>0</v>
      </c>
      <c r="X306" s="8" t="n">
        <v>0</v>
      </c>
      <c r="Y306" s="8" t="inlineStr">
        <is>
          <t>silica AEROSIL R972 25; TAIC 2; Perhexa 25B 1.5</t>
        </is>
      </c>
      <c r="Z306" s="8" t="n">
        <v>83</v>
      </c>
      <c r="AA306" s="8" t="n">
        <v>23.2</v>
      </c>
      <c r="AB306" s="8" t="n">
        <v>230</v>
      </c>
      <c r="AC306" s="8" t="n">
        <v>8.4</v>
      </c>
      <c r="AD306" s="8" t="n">
        <v>40</v>
      </c>
      <c r="AE306" s="8" t="inlineStr">
        <is>
          <t>200C x 72h, 25% compression, half-cut AS-214 O-ring (JIS K6262)</t>
        </is>
      </c>
      <c r="AF306" s="8" t="n"/>
      <c r="AG306" s="8" t="n"/>
      <c r="AH306" s="8" t="inlineStr">
        <is>
          <t>parts by mass; MPa; Shore A instantaneous (JIS K6253-3)</t>
        </is>
      </c>
      <c r="AI306" s="8" t="inlineStr">
        <is>
          <t>Table 1. Press 160C x 10 min, post-cure 200C x 4 h. Compression-fracture test (50%, 180C x 4 h): 1/3 pieces without crack. TAIC = 2 per table (Example 1 text says 2.5).</t>
        </is>
      </c>
    </row>
    <row r="307">
      <c r="A307" s="8" t="inlineStr">
        <is>
          <t>US20230174763A1</t>
        </is>
      </c>
      <c r="B307" s="8" t="inlineStr">
        <is>
          <t>patent</t>
        </is>
      </c>
      <c r="C307" s="8" t="inlineStr">
        <is>
          <t>Mitsubishi Cable Industries, Ltd.</t>
        </is>
      </c>
      <c r="D307" s="8" t="inlineStr">
        <is>
          <t>Elastomer composition and sealing material comprising same</t>
        </is>
      </c>
      <c r="E307" s="8" t="inlineStr">
        <is>
          <t>https://patents.google.com/patent/US20230174763A1/en</t>
        </is>
      </c>
      <c r="F307" s="8" t="inlineStr">
        <is>
          <t>Comparative Example 11</t>
        </is>
      </c>
      <c r="G307" s="8" t="inlineStr">
        <is>
          <t>FKM</t>
        </is>
      </c>
      <c r="H307" s="8" t="inlineStr">
        <is>
          <t>Tecnoflon P959 (Solvay)</t>
        </is>
      </c>
      <c r="I307" s="8" t="inlineStr">
        <is>
          <t>peroxide</t>
        </is>
      </c>
      <c r="J307" s="8" t="n">
        <v>100</v>
      </c>
      <c r="K307" s="8" t="n">
        <v>10</v>
      </c>
      <c r="L307" s="8" t="n">
        <v>10</v>
      </c>
      <c r="M307" s="8" t="n">
        <v>0</v>
      </c>
      <c r="N307" s="8" t="n">
        <v>0</v>
      </c>
      <c r="O307" s="8" t="n">
        <v>0</v>
      </c>
      <c r="P307" s="8" t="n">
        <v>0</v>
      </c>
      <c r="Q307" s="8" t="n">
        <v>0</v>
      </c>
      <c r="R307" s="8" t="n">
        <v>0</v>
      </c>
      <c r="S307" s="8" t="n">
        <v>2</v>
      </c>
      <c r="T307" s="8" t="n">
        <v>1.5</v>
      </c>
      <c r="U307" s="8" t="n">
        <v>0</v>
      </c>
      <c r="V307" s="8" t="n">
        <v>0</v>
      </c>
      <c r="W307" s="8" t="n">
        <v>0</v>
      </c>
      <c r="X307" s="8" t="n">
        <v>0</v>
      </c>
      <c r="Y307" s="8" t="inlineStr">
        <is>
          <t>silica AEROSIL R972 10; MT carbon black Thermax N990 10; TAIC 2; Perhexa 25B 1.5</t>
        </is>
      </c>
      <c r="Z307" s="8" t="n">
        <v>70</v>
      </c>
      <c r="AA307" s="8" t="n">
        <v>19.8</v>
      </c>
      <c r="AB307" s="8" t="n">
        <v>250</v>
      </c>
      <c r="AC307" s="8" t="n">
        <v>4.5</v>
      </c>
      <c r="AD307" s="8" t="n">
        <v>37</v>
      </c>
      <c r="AE307" s="8" t="inlineStr">
        <is>
          <t>200C x 72h, 25% compression, half-cut AS-214 O-ring (JIS K6262)</t>
        </is>
      </c>
      <c r="AF307" s="8" t="n"/>
      <c r="AG307" s="8" t="n"/>
      <c r="AH307" s="8" t="inlineStr">
        <is>
          <t>parts by mass; MPa; Shore A instantaneous (JIS K6253-3)</t>
        </is>
      </c>
      <c r="AI307" s="8" t="inlineStr">
        <is>
          <t>Table 1. Press 160C x 10 min, post-cure 200C x 4 h. Compression-fracture test (50%, 180C x 4 h): 1/3 pieces without crack. TAIC = 2 per table (Example 1 text says 2.5).</t>
        </is>
      </c>
    </row>
    <row r="308">
      <c r="A308" s="8" t="inlineStr">
        <is>
          <t>US20230174763A1</t>
        </is>
      </c>
      <c r="B308" s="8" t="inlineStr">
        <is>
          <t>patent</t>
        </is>
      </c>
      <c r="C308" s="8" t="inlineStr">
        <is>
          <t>Mitsubishi Cable Industries, Ltd.</t>
        </is>
      </c>
      <c r="D308" s="8" t="inlineStr">
        <is>
          <t>Elastomer composition and sealing material comprising same</t>
        </is>
      </c>
      <c r="E308" s="8" t="inlineStr">
        <is>
          <t>https://patents.google.com/patent/US20230174763A1/en</t>
        </is>
      </c>
      <c r="F308" s="8" t="inlineStr">
        <is>
          <t>Example 6</t>
        </is>
      </c>
      <c r="G308" s="8" t="inlineStr">
        <is>
          <t>FKM</t>
        </is>
      </c>
      <c r="H308" s="8" t="inlineStr">
        <is>
          <t>Viton A-50 (Chemours)</t>
        </is>
      </c>
      <c r="I308" s="8" t="inlineStr">
        <is>
          <t>bisphenol</t>
        </is>
      </c>
      <c r="J308" s="8" t="n">
        <v>100</v>
      </c>
      <c r="K308" s="8" t="n">
        <v>0</v>
      </c>
      <c r="L308" s="8" t="n">
        <v>10</v>
      </c>
      <c r="M308" s="8" t="n">
        <v>0</v>
      </c>
      <c r="N308" s="8" t="n">
        <v>0</v>
      </c>
      <c r="O308" s="8" t="n">
        <v>0</v>
      </c>
      <c r="P308" s="8" t="n">
        <v>0</v>
      </c>
      <c r="Q308" s="8" t="n">
        <v>0</v>
      </c>
      <c r="R308" s="8" t="n">
        <v>10</v>
      </c>
      <c r="S308" s="8" t="n">
        <v>0</v>
      </c>
      <c r="T308" s="8" t="n">
        <v>0</v>
      </c>
      <c r="U308" s="8" t="n">
        <v>0</v>
      </c>
      <c r="V308" s="8" t="n">
        <v>2.5</v>
      </c>
      <c r="W308" s="8" t="n">
        <v>9</v>
      </c>
      <c r="X308" s="8" t="n">
        <v>0</v>
      </c>
      <c r="Y308" s="8" t="inlineStr">
        <is>
          <t>phenol resin powder BellPearl R100 10; silica AEROSIL R972 10; Curative V-50 2.5; MgO Kyowamag 150 3 + Ca(OH)2 CALVIT 6</t>
        </is>
      </c>
      <c r="Z308" s="8" t="n">
        <v>77</v>
      </c>
      <c r="AA308" s="8" t="n">
        <v>13.2</v>
      </c>
      <c r="AB308" s="8" t="n">
        <v>240</v>
      </c>
      <c r="AC308" s="8" t="n">
        <v>5.6</v>
      </c>
      <c r="AD308" s="8" t="n">
        <v>21</v>
      </c>
      <c r="AE308" s="8" t="inlineStr">
        <is>
          <t>200C x 72h, 25% compression, half-cut AS-214 O-ring (JIS K6262)</t>
        </is>
      </c>
      <c r="AF308" s="8" t="n"/>
      <c r="AG308" s="8" t="n"/>
      <c r="AH308" s="8" t="inlineStr">
        <is>
          <t>parts by mass; MPa; Shore A instantaneous (JIS K6253-3)</t>
        </is>
      </c>
      <c r="AI308" s="8" t="inlineStr">
        <is>
          <t>Table 2. Press 160C x 20 min, post-cure 250C x 24 h. Compression-fracture test: 3/3 pieces without crack.</t>
        </is>
      </c>
    </row>
    <row r="309">
      <c r="A309" s="8" t="inlineStr">
        <is>
          <t>US20230174763A1</t>
        </is>
      </c>
      <c r="B309" s="8" t="inlineStr">
        <is>
          <t>patent</t>
        </is>
      </c>
      <c r="C309" s="8" t="inlineStr">
        <is>
          <t>Mitsubishi Cable Industries, Ltd.</t>
        </is>
      </c>
      <c r="D309" s="8" t="inlineStr">
        <is>
          <t>Elastomer composition and sealing material comprising same</t>
        </is>
      </c>
      <c r="E309" s="8" t="inlineStr">
        <is>
          <t>https://patents.google.com/patent/US20230174763A1/en</t>
        </is>
      </c>
      <c r="F309" s="8" t="inlineStr">
        <is>
          <t>Comparative Example 12</t>
        </is>
      </c>
      <c r="G309" s="8" t="inlineStr">
        <is>
          <t>FKM</t>
        </is>
      </c>
      <c r="H309" s="8" t="inlineStr">
        <is>
          <t>Viton A-50 (Chemours)</t>
        </is>
      </c>
      <c r="I309" s="8" t="inlineStr">
        <is>
          <t>bisphenol</t>
        </is>
      </c>
      <c r="J309" s="8" t="n">
        <v>100</v>
      </c>
      <c r="K309" s="8" t="n">
        <v>0</v>
      </c>
      <c r="L309" s="8" t="n">
        <v>0</v>
      </c>
      <c r="M309" s="8" t="n">
        <v>0</v>
      </c>
      <c r="N309" s="8" t="n">
        <v>0</v>
      </c>
      <c r="O309" s="8" t="n">
        <v>0</v>
      </c>
      <c r="P309" s="8" t="n">
        <v>0</v>
      </c>
      <c r="Q309" s="8" t="n">
        <v>0</v>
      </c>
      <c r="R309" s="8" t="n">
        <v>0</v>
      </c>
      <c r="S309" s="8" t="n">
        <v>0</v>
      </c>
      <c r="T309" s="8" t="n">
        <v>0</v>
      </c>
      <c r="U309" s="8" t="n">
        <v>0</v>
      </c>
      <c r="V309" s="8" t="n">
        <v>2.5</v>
      </c>
      <c r="W309" s="8" t="n">
        <v>9</v>
      </c>
      <c r="X309" s="8" t="n">
        <v>0</v>
      </c>
      <c r="Y309" s="8" t="inlineStr">
        <is>
          <t>Curative V-50 2.5; MgO Kyowamag 150 3 + Ca(OH)2 CALVIT 6</t>
        </is>
      </c>
      <c r="Z309" s="8" t="n">
        <v>56</v>
      </c>
      <c r="AA309" s="8" t="n">
        <v>8.199999999999999</v>
      </c>
      <c r="AB309" s="8" t="n">
        <v>290</v>
      </c>
      <c r="AC309" s="8" t="n">
        <v>1.8</v>
      </c>
      <c r="AD309" s="8" t="n">
        <v>19</v>
      </c>
      <c r="AE309" s="8" t="inlineStr">
        <is>
          <t>200C x 72h, 25% compression, half-cut AS-214 O-ring (JIS K6262)</t>
        </is>
      </c>
      <c r="AF309" s="8" t="n"/>
      <c r="AG309" s="8" t="n"/>
      <c r="AH309" s="8" t="inlineStr">
        <is>
          <t>parts by mass; MPa; Shore A instantaneous (JIS K6253-3)</t>
        </is>
      </c>
      <c r="AI309" s="8" t="inlineStr">
        <is>
          <t>Table 2. Press 160C x 20 min, post-cure 250C x 24 h. Compression-fracture test: 0/3 pieces without crack.</t>
        </is>
      </c>
    </row>
    <row r="310">
      <c r="A310" s="8" t="inlineStr">
        <is>
          <t>US20230174763A1</t>
        </is>
      </c>
      <c r="B310" s="8" t="inlineStr">
        <is>
          <t>patent</t>
        </is>
      </c>
      <c r="C310" s="8" t="inlineStr">
        <is>
          <t>Mitsubishi Cable Industries, Ltd.</t>
        </is>
      </c>
      <c r="D310" s="8" t="inlineStr">
        <is>
          <t>Elastomer composition and sealing material comprising same</t>
        </is>
      </c>
      <c r="E310" s="8" t="inlineStr">
        <is>
          <t>https://patents.google.com/patent/US20230174763A1/en</t>
        </is>
      </c>
      <c r="F310" s="8" t="inlineStr">
        <is>
          <t>Comparative Example 13</t>
        </is>
      </c>
      <c r="G310" s="8" t="inlineStr">
        <is>
          <t>FKM</t>
        </is>
      </c>
      <c r="H310" s="8" t="inlineStr">
        <is>
          <t>Viton A-50 (Chemours)</t>
        </is>
      </c>
      <c r="I310" s="8" t="inlineStr">
        <is>
          <t>bisphenol</t>
        </is>
      </c>
      <c r="J310" s="8" t="n">
        <v>100</v>
      </c>
      <c r="K310" s="8" t="n">
        <v>0</v>
      </c>
      <c r="L310" s="8" t="n">
        <v>0</v>
      </c>
      <c r="M310" s="8" t="n">
        <v>0</v>
      </c>
      <c r="N310" s="8" t="n">
        <v>0</v>
      </c>
      <c r="O310" s="8" t="n">
        <v>0</v>
      </c>
      <c r="P310" s="8" t="n">
        <v>0</v>
      </c>
      <c r="Q310" s="8" t="n">
        <v>0</v>
      </c>
      <c r="R310" s="8" t="n">
        <v>10</v>
      </c>
      <c r="S310" s="8" t="n">
        <v>0</v>
      </c>
      <c r="T310" s="8" t="n">
        <v>0</v>
      </c>
      <c r="U310" s="8" t="n">
        <v>0</v>
      </c>
      <c r="V310" s="8" t="n">
        <v>2.5</v>
      </c>
      <c r="W310" s="8" t="n">
        <v>9</v>
      </c>
      <c r="X310" s="8" t="n">
        <v>0</v>
      </c>
      <c r="Y310" s="8" t="inlineStr">
        <is>
          <t>phenol resin powder BellPearl R100 10; Curative V-50 2.5; MgO Kyowamag 150 3 + Ca(OH)2 CALVIT 6</t>
        </is>
      </c>
      <c r="Z310" s="8" t="n">
        <v>64</v>
      </c>
      <c r="AA310" s="8" t="n">
        <v>10.5</v>
      </c>
      <c r="AB310" s="8" t="n">
        <v>250</v>
      </c>
      <c r="AC310" s="8" t="n">
        <v>2.8</v>
      </c>
      <c r="AD310" s="8" t="n">
        <v>20</v>
      </c>
      <c r="AE310" s="8" t="inlineStr">
        <is>
          <t>200C x 72h, 25% compression, half-cut AS-214 O-ring (JIS K6262)</t>
        </is>
      </c>
      <c r="AF310" s="8" t="n"/>
      <c r="AG310" s="8" t="n"/>
      <c r="AH310" s="8" t="inlineStr">
        <is>
          <t>parts by mass; MPa; Shore A instantaneous (JIS K6253-3)</t>
        </is>
      </c>
      <c r="AI310" s="8" t="inlineStr">
        <is>
          <t>Table 2. Press 160C x 20 min, post-cure 250C x 24 h. Compression-fracture test: 1/3 pieces without crack.</t>
        </is>
      </c>
    </row>
    <row r="311">
      <c r="A311" s="8" t="inlineStr">
        <is>
          <t>US20230174763A1</t>
        </is>
      </c>
      <c r="B311" s="8" t="inlineStr">
        <is>
          <t>patent</t>
        </is>
      </c>
      <c r="C311" s="8" t="inlineStr">
        <is>
          <t>Mitsubishi Cable Industries, Ltd.</t>
        </is>
      </c>
      <c r="D311" s="8" t="inlineStr">
        <is>
          <t>Elastomer composition and sealing material comprising same</t>
        </is>
      </c>
      <c r="E311" s="8" t="inlineStr">
        <is>
          <t>https://patents.google.com/patent/US20230174763A1/en</t>
        </is>
      </c>
      <c r="F311" s="8" t="inlineStr">
        <is>
          <t>Comparative Example 14</t>
        </is>
      </c>
      <c r="G311" s="8" t="inlineStr">
        <is>
          <t>FKM</t>
        </is>
      </c>
      <c r="H311" s="8" t="inlineStr">
        <is>
          <t>Viton A-50 (Chemours)</t>
        </is>
      </c>
      <c r="I311" s="8" t="inlineStr">
        <is>
          <t>bisphenol</t>
        </is>
      </c>
      <c r="J311" s="8" t="n">
        <v>100</v>
      </c>
      <c r="K311" s="8" t="n">
        <v>0</v>
      </c>
      <c r="L311" s="8" t="n">
        <v>10</v>
      </c>
      <c r="M311" s="8" t="n">
        <v>0</v>
      </c>
      <c r="N311" s="8" t="n">
        <v>0</v>
      </c>
      <c r="O311" s="8" t="n">
        <v>0</v>
      </c>
      <c r="P311" s="8" t="n">
        <v>0</v>
      </c>
      <c r="Q311" s="8" t="n">
        <v>0</v>
      </c>
      <c r="R311" s="8" t="n">
        <v>0</v>
      </c>
      <c r="S311" s="8" t="n">
        <v>0</v>
      </c>
      <c r="T311" s="8" t="n">
        <v>0</v>
      </c>
      <c r="U311" s="8" t="n">
        <v>0</v>
      </c>
      <c r="V311" s="8" t="n">
        <v>2.5</v>
      </c>
      <c r="W311" s="8" t="n">
        <v>9</v>
      </c>
      <c r="X311" s="8" t="n">
        <v>0</v>
      </c>
      <c r="Y311" s="8" t="inlineStr">
        <is>
          <t>silica AEROSIL R972 10; Curative V-50 2.5; MgO Kyowamag 150 3 + Ca(OH)2 CALVIT 6</t>
        </is>
      </c>
      <c r="Z311" s="8" t="n">
        <v>73</v>
      </c>
      <c r="AA311" s="8" t="n">
        <v>15.1</v>
      </c>
      <c r="AB311" s="8" t="n">
        <v>240</v>
      </c>
      <c r="AC311" s="8" t="n">
        <v>4.7</v>
      </c>
      <c r="AD311" s="8" t="n">
        <v>28</v>
      </c>
      <c r="AE311" s="8" t="inlineStr">
        <is>
          <t>200C x 72h, 25% compression, half-cut AS-214 O-ring (JIS K6262)</t>
        </is>
      </c>
      <c r="AF311" s="8" t="n"/>
      <c r="AG311" s="8" t="n"/>
      <c r="AH311" s="8" t="inlineStr">
        <is>
          <t>parts by mass; MPa; Shore A instantaneous (JIS K6253-3)</t>
        </is>
      </c>
      <c r="AI311" s="8" t="inlineStr">
        <is>
          <t>Table 2. Press 160C x 20 min, post-cure 250C x 24 h. Compression-fracture test: 1/3 pieces without crack.</t>
        </is>
      </c>
    </row>
    <row r="312">
      <c r="A312" s="8" t="inlineStr">
        <is>
          <t>US20230365800A1</t>
        </is>
      </c>
      <c r="B312" s="8" t="inlineStr">
        <is>
          <t>patent</t>
        </is>
      </c>
      <c r="C312" s="8" t="inlineStr">
        <is>
          <t>Valqua, Ltd.</t>
        </is>
      </c>
      <c r="D312" s="8" t="inlineStr">
        <is>
          <t>Elastomer Composition, Sealing Material, and Method for Producing Sealing Material</t>
        </is>
      </c>
      <c r="E312" s="8" t="inlineStr">
        <is>
          <t>https://patents.google.com/patent/US20230365800A1/en</t>
        </is>
      </c>
      <c r="F312" s="8" t="inlineStr">
        <is>
          <t>Example 1</t>
        </is>
      </c>
      <c r="G312" s="8" t="inlineStr">
        <is>
          <t>FKM</t>
        </is>
      </c>
      <c r="H312" s="8" t="inlineStr">
        <is>
          <t>Tecnoflon P959 80 + Tecnoflon P757 20</t>
        </is>
      </c>
      <c r="I312" s="8" t="inlineStr">
        <is>
          <t>peroxide</t>
        </is>
      </c>
      <c r="J312" s="8" t="n">
        <v>100</v>
      </c>
      <c r="K312" s="8" t="n">
        <v>0</v>
      </c>
      <c r="L312" s="8" t="n">
        <v>0</v>
      </c>
      <c r="M312" s="8" t="n">
        <v>0</v>
      </c>
      <c r="N312" s="8" t="n">
        <v>0</v>
      </c>
      <c r="O312" s="8" t="n">
        <v>0</v>
      </c>
      <c r="P312" s="8" t="n">
        <v>0</v>
      </c>
      <c r="Q312" s="8" t="n">
        <v>0</v>
      </c>
      <c r="R312" s="8" t="n">
        <v>0</v>
      </c>
      <c r="S312" s="8" t="n">
        <v>6</v>
      </c>
      <c r="T312" s="8" t="n">
        <v>0.5</v>
      </c>
      <c r="U312" s="8" t="n">
        <v>0</v>
      </c>
      <c r="V312" s="8" t="n">
        <v>0</v>
      </c>
      <c r="W312" s="8" t="n">
        <v>0</v>
      </c>
      <c r="X312" s="8" t="n">
        <v>2</v>
      </c>
      <c r="Y312" s="8" t="inlineStr">
        <is>
          <t>SIFEL 8070A 1.0 + SIFEL 8070B 1.0 (Shin-Etsu; perfluoro-skeleton compound with C=C, counted as processing aid); TRIC (triallyl isocyanurate) 6.0; Perhexa 25B 0.5</t>
        </is>
      </c>
      <c r="Z312" s="8" t="n">
        <v>66</v>
      </c>
      <c r="AA312" s="8" t="n">
        <v>14.4</v>
      </c>
      <c r="AB312" s="8" t="n">
        <v>180</v>
      </c>
      <c r="AC312" s="8" t="n">
        <v>4.4</v>
      </c>
      <c r="AD312" s="8" t="n"/>
      <c r="AE312" s="8" t="n"/>
      <c r="AF312" s="8" t="n"/>
      <c r="AG312" s="8" t="inlineStr">
        <is>
          <t>O2:CF4=190:10, RF 1000 W, 200 sccm, 1 torr, 3 h, sample 6 cm from electrode (phi300 parallel plate)</t>
        </is>
      </c>
      <c r="AH312" s="8" t="inlineStr">
        <is>
          <t>parts by mass; MPa; Shore A (JIS K6253)</t>
        </is>
      </c>
      <c r="AI312" s="8" t="inlineStr">
        <is>
          <t>Table 1. Kneader mixing; press 170C x 10 min, post-cure 200C x 16 h vacuum, then radiation 80 kGy. Fluorine contents: P959/P459 70%, G912/G902 71%, P757/P457 67%, PL855 64%.</t>
        </is>
      </c>
    </row>
    <row r="313">
      <c r="A313" s="8" t="inlineStr">
        <is>
          <t>US20230365800A1</t>
        </is>
      </c>
      <c r="B313" s="8" t="inlineStr">
        <is>
          <t>patent</t>
        </is>
      </c>
      <c r="C313" s="8" t="inlineStr">
        <is>
          <t>Valqua, Ltd.</t>
        </is>
      </c>
      <c r="D313" s="8" t="inlineStr">
        <is>
          <t>Elastomer Composition, Sealing Material, and Method for Producing Sealing Material</t>
        </is>
      </c>
      <c r="E313" s="8" t="inlineStr">
        <is>
          <t>https://patents.google.com/patent/US20230365800A1/en</t>
        </is>
      </c>
      <c r="F313" s="8" t="inlineStr">
        <is>
          <t>Example 2</t>
        </is>
      </c>
      <c r="G313" s="8" t="inlineStr">
        <is>
          <t>FKM</t>
        </is>
      </c>
      <c r="H313" s="8" t="inlineStr">
        <is>
          <t>Tecnoflon P959 70 + Tecnoflon P757 30</t>
        </is>
      </c>
      <c r="I313" s="8" t="inlineStr">
        <is>
          <t>peroxide</t>
        </is>
      </c>
      <c r="J313" s="8" t="n">
        <v>100</v>
      </c>
      <c r="K313" s="8" t="n">
        <v>0</v>
      </c>
      <c r="L313" s="8" t="n">
        <v>0</v>
      </c>
      <c r="M313" s="8" t="n">
        <v>0</v>
      </c>
      <c r="N313" s="8" t="n">
        <v>0</v>
      </c>
      <c r="O313" s="8" t="n">
        <v>0</v>
      </c>
      <c r="P313" s="8" t="n">
        <v>0</v>
      </c>
      <c r="Q313" s="8" t="n">
        <v>0</v>
      </c>
      <c r="R313" s="8" t="n">
        <v>0</v>
      </c>
      <c r="S313" s="8" t="n">
        <v>6</v>
      </c>
      <c r="T313" s="8" t="n">
        <v>0.5</v>
      </c>
      <c r="U313" s="8" t="n">
        <v>0</v>
      </c>
      <c r="V313" s="8" t="n">
        <v>0</v>
      </c>
      <c r="W313" s="8" t="n">
        <v>0</v>
      </c>
      <c r="X313" s="8" t="n">
        <v>2</v>
      </c>
      <c r="Y313" s="8" t="inlineStr">
        <is>
          <t>SIFEL 8070A 1.0 + SIFEL 8070B 1.0 (Shin-Etsu; perfluoro-skeleton compound with C=C, counted as processing aid); TRIC (triallyl isocyanurate) 6.0; Perhexa 25B 0.5</t>
        </is>
      </c>
      <c r="Z313" s="8" t="n">
        <v>66</v>
      </c>
      <c r="AA313" s="8" t="n">
        <v>15.6</v>
      </c>
      <c r="AB313" s="8" t="n">
        <v>180</v>
      </c>
      <c r="AC313" s="8" t="n">
        <v>4.5</v>
      </c>
      <c r="AD313" s="8" t="n"/>
      <c r="AE313" s="8" t="n"/>
      <c r="AF313" s="8" t="n"/>
      <c r="AG313" s="8" t="inlineStr">
        <is>
          <t>O2:CF4=190:10, RF 1000 W, 200 sccm, 1 torr, 3 h, sample 6 cm from electrode (phi300 parallel plate)</t>
        </is>
      </c>
      <c r="AH313" s="8" t="inlineStr">
        <is>
          <t>parts by mass; MPa; Shore A (JIS K6253)</t>
        </is>
      </c>
      <c r="AI313" s="8" t="inlineStr">
        <is>
          <t>Table 1. Kneader mixing; press 170C x 10 min, post-cure 200C x 16 h vacuum, then radiation 80 kGy. Fluorine contents: P959/P459 70%, G912/G902 71%, P757/P457 67%, PL855 64%.</t>
        </is>
      </c>
    </row>
    <row r="314">
      <c r="A314" s="8" t="inlineStr">
        <is>
          <t>US20230365800A1</t>
        </is>
      </c>
      <c r="B314" s="8" t="inlineStr">
        <is>
          <t>patent</t>
        </is>
      </c>
      <c r="C314" s="8" t="inlineStr">
        <is>
          <t>Valqua, Ltd.</t>
        </is>
      </c>
      <c r="D314" s="8" t="inlineStr">
        <is>
          <t>Elastomer Composition, Sealing Material, and Method for Producing Sealing Material</t>
        </is>
      </c>
      <c r="E314" s="8" t="inlineStr">
        <is>
          <t>https://patents.google.com/patent/US20230365800A1/en</t>
        </is>
      </c>
      <c r="F314" s="8" t="inlineStr">
        <is>
          <t>Example 3</t>
        </is>
      </c>
      <c r="G314" s="8" t="inlineStr">
        <is>
          <t>FKM</t>
        </is>
      </c>
      <c r="H314" s="8" t="inlineStr">
        <is>
          <t>Tecnoflon P959 45 + Tecnoflon P459 45 + Tecnoflon P757 10</t>
        </is>
      </c>
      <c r="I314" s="8" t="inlineStr">
        <is>
          <t>peroxide</t>
        </is>
      </c>
      <c r="J314" s="8" t="n">
        <v>100</v>
      </c>
      <c r="K314" s="8" t="n">
        <v>0</v>
      </c>
      <c r="L314" s="8" t="n">
        <v>0</v>
      </c>
      <c r="M314" s="8" t="n">
        <v>0</v>
      </c>
      <c r="N314" s="8" t="n">
        <v>0</v>
      </c>
      <c r="O314" s="8" t="n">
        <v>0</v>
      </c>
      <c r="P314" s="8" t="n">
        <v>0</v>
      </c>
      <c r="Q314" s="8" t="n">
        <v>0</v>
      </c>
      <c r="R314" s="8" t="n">
        <v>0</v>
      </c>
      <c r="S314" s="8" t="n">
        <v>6</v>
      </c>
      <c r="T314" s="8" t="n">
        <v>0.5</v>
      </c>
      <c r="U314" s="8" t="n">
        <v>0</v>
      </c>
      <c r="V314" s="8" t="n">
        <v>0</v>
      </c>
      <c r="W314" s="8" t="n">
        <v>0</v>
      </c>
      <c r="X314" s="8" t="n">
        <v>2</v>
      </c>
      <c r="Y314" s="8" t="inlineStr">
        <is>
          <t>SIFEL 8070A 1.0 + SIFEL 8070B 1.0 (Shin-Etsu; perfluoro-skeleton compound with C=C, counted as processing aid); TRIC (triallyl isocyanurate) 6.0; Perhexa 25B 0.5</t>
        </is>
      </c>
      <c r="Z314" s="8" t="n">
        <v>67</v>
      </c>
      <c r="AA314" s="8" t="n">
        <v>14.4</v>
      </c>
      <c r="AB314" s="8" t="n">
        <v>170</v>
      </c>
      <c r="AC314" s="8" t="n">
        <v>5</v>
      </c>
      <c r="AD314" s="8" t="n"/>
      <c r="AE314" s="8" t="n"/>
      <c r="AF314" s="8" t="n"/>
      <c r="AG314" s="8" t="inlineStr">
        <is>
          <t>O2:CF4=190:10, RF 1000 W, 200 sccm, 1 torr, 3 h, sample 6 cm from electrode (phi300 parallel plate)</t>
        </is>
      </c>
      <c r="AH314" s="8" t="inlineStr">
        <is>
          <t>parts by mass; MPa; Shore A (JIS K6253)</t>
        </is>
      </c>
      <c r="AI314" s="8" t="inlineStr">
        <is>
          <t>Table 1. Kneader mixing; press 170C x 10 min, post-cure 200C x 16 h vacuum, then radiation 80 kGy. Fluorine contents: P959/P459 70%, G912/G902 71%, P757/P457 67%, PL855 64%.</t>
        </is>
      </c>
    </row>
    <row r="315">
      <c r="A315" s="8" t="inlineStr">
        <is>
          <t>US20230365800A1</t>
        </is>
      </c>
      <c r="B315" s="8" t="inlineStr">
        <is>
          <t>patent</t>
        </is>
      </c>
      <c r="C315" s="8" t="inlineStr">
        <is>
          <t>Valqua, Ltd.</t>
        </is>
      </c>
      <c r="D315" s="8" t="inlineStr">
        <is>
          <t>Elastomer Composition, Sealing Material, and Method for Producing Sealing Material</t>
        </is>
      </c>
      <c r="E315" s="8" t="inlineStr">
        <is>
          <t>https://patents.google.com/patent/US20230365800A1/en</t>
        </is>
      </c>
      <c r="F315" s="8" t="inlineStr">
        <is>
          <t>Example 4</t>
        </is>
      </c>
      <c r="G315" s="8" t="inlineStr">
        <is>
          <t>FKM</t>
        </is>
      </c>
      <c r="H315" s="8" t="inlineStr">
        <is>
          <t>Tecnoflon P959 65 + Tecnoflon P459 25 + Tecnoflon P757 10</t>
        </is>
      </c>
      <c r="I315" s="8" t="inlineStr">
        <is>
          <t>peroxide</t>
        </is>
      </c>
      <c r="J315" s="8" t="n">
        <v>100</v>
      </c>
      <c r="K315" s="8" t="n">
        <v>0</v>
      </c>
      <c r="L315" s="8" t="n">
        <v>0</v>
      </c>
      <c r="M315" s="8" t="n">
        <v>0</v>
      </c>
      <c r="N315" s="8" t="n">
        <v>0</v>
      </c>
      <c r="O315" s="8" t="n">
        <v>0</v>
      </c>
      <c r="P315" s="8" t="n">
        <v>0</v>
      </c>
      <c r="Q315" s="8" t="n">
        <v>0</v>
      </c>
      <c r="R315" s="8" t="n">
        <v>0</v>
      </c>
      <c r="S315" s="8" t="n">
        <v>6</v>
      </c>
      <c r="T315" s="8" t="n">
        <v>0.5</v>
      </c>
      <c r="U315" s="8" t="n">
        <v>0</v>
      </c>
      <c r="V315" s="8" t="n">
        <v>0</v>
      </c>
      <c r="W315" s="8" t="n">
        <v>0</v>
      </c>
      <c r="X315" s="8" t="n">
        <v>2</v>
      </c>
      <c r="Y315" s="8" t="inlineStr">
        <is>
          <t>SIFEL 8070A 1.0 + SIFEL 8070B 1.0 (Shin-Etsu; perfluoro-skeleton compound with C=C, counted as processing aid); TRIC (triallyl isocyanurate) 6.0; Perhexa 25B 0.5</t>
        </is>
      </c>
      <c r="Z315" s="8" t="n">
        <v>67</v>
      </c>
      <c r="AA315" s="8" t="n">
        <v>13.6</v>
      </c>
      <c r="AB315" s="8" t="n">
        <v>160</v>
      </c>
      <c r="AC315" s="8" t="n">
        <v>5.7</v>
      </c>
      <c r="AD315" s="8" t="n"/>
      <c r="AE315" s="8" t="n"/>
      <c r="AF315" s="8" t="n"/>
      <c r="AG315" s="8" t="inlineStr">
        <is>
          <t>O2:CF4=190:10, RF 1000 W, 200 sccm, 1 torr, 3 h, sample 6 cm from electrode (phi300 parallel plate)</t>
        </is>
      </c>
      <c r="AH315" s="8" t="inlineStr">
        <is>
          <t>parts by mass; MPa; Shore A (JIS K6253)</t>
        </is>
      </c>
      <c r="AI315" s="8" t="inlineStr">
        <is>
          <t>Table 1. Kneader mixing; press 170C x 10 min, post-cure 200C x 16 h vacuum, then radiation 80 kGy. Fluorine contents: P959/P459 70%, G912/G902 71%, P757/P457 67%, PL855 64%.</t>
        </is>
      </c>
    </row>
    <row r="316">
      <c r="A316" s="8" t="inlineStr">
        <is>
          <t>US20230365800A1</t>
        </is>
      </c>
      <c r="B316" s="8" t="inlineStr">
        <is>
          <t>patent</t>
        </is>
      </c>
      <c r="C316" s="8" t="inlineStr">
        <is>
          <t>Valqua, Ltd.</t>
        </is>
      </c>
      <c r="D316" s="8" t="inlineStr">
        <is>
          <t>Elastomer Composition, Sealing Material, and Method for Producing Sealing Material</t>
        </is>
      </c>
      <c r="E316" s="8" t="inlineStr">
        <is>
          <t>https://patents.google.com/patent/US20230365800A1/en</t>
        </is>
      </c>
      <c r="F316" s="8" t="inlineStr">
        <is>
          <t>Example 5</t>
        </is>
      </c>
      <c r="G316" s="8" t="inlineStr">
        <is>
          <t>FKM</t>
        </is>
      </c>
      <c r="H316" s="8" t="inlineStr">
        <is>
          <t>Tecnoflon P959 20 + Tecnoflon P459 60 + Tecnoflon P757 20</t>
        </is>
      </c>
      <c r="I316" s="8" t="inlineStr">
        <is>
          <t>peroxide</t>
        </is>
      </c>
      <c r="J316" s="8" t="n">
        <v>100</v>
      </c>
      <c r="K316" s="8" t="n">
        <v>0</v>
      </c>
      <c r="L316" s="8" t="n">
        <v>0</v>
      </c>
      <c r="M316" s="8" t="n">
        <v>0</v>
      </c>
      <c r="N316" s="8" t="n">
        <v>0</v>
      </c>
      <c r="O316" s="8" t="n">
        <v>0</v>
      </c>
      <c r="P316" s="8" t="n">
        <v>0</v>
      </c>
      <c r="Q316" s="8" t="n">
        <v>0</v>
      </c>
      <c r="R316" s="8" t="n">
        <v>0</v>
      </c>
      <c r="S316" s="8" t="n">
        <v>6</v>
      </c>
      <c r="T316" s="8" t="n">
        <v>0.5</v>
      </c>
      <c r="U316" s="8" t="n">
        <v>0</v>
      </c>
      <c r="V316" s="8" t="n">
        <v>0</v>
      </c>
      <c r="W316" s="8" t="n">
        <v>0</v>
      </c>
      <c r="X316" s="8" t="n">
        <v>2</v>
      </c>
      <c r="Y316" s="8" t="inlineStr">
        <is>
          <t>SIFEL 8070A 1.0 + SIFEL 8070B 1.0 (Shin-Etsu; perfluoro-skeleton compound with C=C, counted as processing aid); TRIC (triallyl isocyanurate) 6.0; Perhexa 25B 0.5</t>
        </is>
      </c>
      <c r="Z316" s="8" t="n">
        <v>66</v>
      </c>
      <c r="AA316" s="8" t="n">
        <v>11.1</v>
      </c>
      <c r="AB316" s="8" t="n">
        <v>150</v>
      </c>
      <c r="AC316" s="8" t="n">
        <v>5.4</v>
      </c>
      <c r="AD316" s="8" t="n"/>
      <c r="AE316" s="8" t="n"/>
      <c r="AF316" s="8" t="n"/>
      <c r="AG316" s="8" t="inlineStr">
        <is>
          <t>O2:CF4=190:10, RF 1000 W, 200 sccm, 1 torr, 3 h, sample 6 cm from electrode (phi300 parallel plate)</t>
        </is>
      </c>
      <c r="AH316" s="8" t="inlineStr">
        <is>
          <t>parts by mass; MPa; Shore A (JIS K6253)</t>
        </is>
      </c>
      <c r="AI316" s="8" t="inlineStr">
        <is>
          <t>Table 1. Kneader mixing; press 170C x 10 min, post-cure 200C x 16 h vacuum, then radiation 80 kGy. Fluorine contents: P959/P459 70%, G912/G902 71%, P757/P457 67%, PL855 64%.</t>
        </is>
      </c>
    </row>
    <row r="317">
      <c r="A317" s="8" t="inlineStr">
        <is>
          <t>US20230365800A1</t>
        </is>
      </c>
      <c r="B317" s="8" t="inlineStr">
        <is>
          <t>patent</t>
        </is>
      </c>
      <c r="C317" s="8" t="inlineStr">
        <is>
          <t>Valqua, Ltd.</t>
        </is>
      </c>
      <c r="D317" s="8" t="inlineStr">
        <is>
          <t>Elastomer Composition, Sealing Material, and Method for Producing Sealing Material</t>
        </is>
      </c>
      <c r="E317" s="8" t="inlineStr">
        <is>
          <t>https://patents.google.com/patent/US20230365800A1/en</t>
        </is>
      </c>
      <c r="F317" s="8" t="inlineStr">
        <is>
          <t>Example 6</t>
        </is>
      </c>
      <c r="G317" s="8" t="inlineStr">
        <is>
          <t>FKM</t>
        </is>
      </c>
      <c r="H317" s="8" t="inlineStr">
        <is>
          <t>Tecnoflon P959 40 + Tecnoflon P459 40 + Tecnoflon P757 20</t>
        </is>
      </c>
      <c r="I317" s="8" t="inlineStr">
        <is>
          <t>peroxide</t>
        </is>
      </c>
      <c r="J317" s="8" t="n">
        <v>100</v>
      </c>
      <c r="K317" s="8" t="n">
        <v>0</v>
      </c>
      <c r="L317" s="8" t="n">
        <v>0</v>
      </c>
      <c r="M317" s="8" t="n">
        <v>0</v>
      </c>
      <c r="N317" s="8" t="n">
        <v>0</v>
      </c>
      <c r="O317" s="8" t="n">
        <v>0</v>
      </c>
      <c r="P317" s="8" t="n">
        <v>0</v>
      </c>
      <c r="Q317" s="8" t="n">
        <v>0</v>
      </c>
      <c r="R317" s="8" t="n">
        <v>0</v>
      </c>
      <c r="S317" s="8" t="n">
        <v>6</v>
      </c>
      <c r="T317" s="8" t="n">
        <v>0.5</v>
      </c>
      <c r="U317" s="8" t="n">
        <v>0</v>
      </c>
      <c r="V317" s="8" t="n">
        <v>0</v>
      </c>
      <c r="W317" s="8" t="n">
        <v>0</v>
      </c>
      <c r="X317" s="8" t="n">
        <v>2</v>
      </c>
      <c r="Y317" s="8" t="inlineStr">
        <is>
          <t>SIFEL 8070A 1.0 + SIFEL 8070B 1.0 (Shin-Etsu; perfluoro-skeleton compound with C=C, counted as processing aid); TRIC (triallyl isocyanurate) 6.0; Perhexa 25B 0.5</t>
        </is>
      </c>
      <c r="Z317" s="8" t="n">
        <v>66</v>
      </c>
      <c r="AA317" s="8" t="n">
        <v>11.8</v>
      </c>
      <c r="AB317" s="8" t="n">
        <v>150</v>
      </c>
      <c r="AC317" s="8" t="n">
        <v>5.7</v>
      </c>
      <c r="AD317" s="8" t="n"/>
      <c r="AE317" s="8" t="n"/>
      <c r="AF317" s="8" t="n"/>
      <c r="AG317" s="8" t="inlineStr">
        <is>
          <t>O2:CF4=190:10, RF 1000 W, 200 sccm, 1 torr, 3 h, sample 6 cm from electrode (phi300 parallel plate)</t>
        </is>
      </c>
      <c r="AH317" s="8" t="inlineStr">
        <is>
          <t>parts by mass; MPa; Shore A (JIS K6253)</t>
        </is>
      </c>
      <c r="AI317" s="8" t="inlineStr">
        <is>
          <t>Table 1. Kneader mixing; press 170C x 10 min, post-cure 200C x 16 h vacuum, then radiation 80 kGy. Fluorine contents: P959/P459 70%, G912/G902 71%, P757/P457 67%, PL855 64%.</t>
        </is>
      </c>
    </row>
    <row r="318">
      <c r="A318" s="8" t="inlineStr">
        <is>
          <t>US20230365800A1</t>
        </is>
      </c>
      <c r="B318" s="8" t="inlineStr">
        <is>
          <t>patent</t>
        </is>
      </c>
      <c r="C318" s="8" t="inlineStr">
        <is>
          <t>Valqua, Ltd.</t>
        </is>
      </c>
      <c r="D318" s="8" t="inlineStr">
        <is>
          <t>Elastomer Composition, Sealing Material, and Method for Producing Sealing Material</t>
        </is>
      </c>
      <c r="E318" s="8" t="inlineStr">
        <is>
          <t>https://patents.google.com/patent/US20230365800A1/en</t>
        </is>
      </c>
      <c r="F318" s="8" t="inlineStr">
        <is>
          <t>Example 7</t>
        </is>
      </c>
      <c r="G318" s="8" t="inlineStr">
        <is>
          <t>FKM</t>
        </is>
      </c>
      <c r="H318" s="8" t="inlineStr">
        <is>
          <t>Tecnoflon P959 70 + Tecnoflon P757 30</t>
        </is>
      </c>
      <c r="I318" s="8" t="inlineStr">
        <is>
          <t>peroxide</t>
        </is>
      </c>
      <c r="J318" s="8" t="n">
        <v>100</v>
      </c>
      <c r="K318" s="8" t="n">
        <v>0</v>
      </c>
      <c r="L318" s="8" t="n">
        <v>0</v>
      </c>
      <c r="M318" s="8" t="n">
        <v>0</v>
      </c>
      <c r="N318" s="8" t="n">
        <v>0</v>
      </c>
      <c r="O318" s="8" t="n">
        <v>0</v>
      </c>
      <c r="P318" s="8" t="n">
        <v>0</v>
      </c>
      <c r="Q318" s="8" t="n">
        <v>0</v>
      </c>
      <c r="R318" s="8" t="n">
        <v>0</v>
      </c>
      <c r="S318" s="8" t="n">
        <v>6</v>
      </c>
      <c r="T318" s="8" t="n">
        <v>0.5</v>
      </c>
      <c r="U318" s="8" t="n">
        <v>0</v>
      </c>
      <c r="V318" s="8" t="n">
        <v>0</v>
      </c>
      <c r="W318" s="8" t="n">
        <v>0</v>
      </c>
      <c r="X318" s="8" t="n">
        <v>2</v>
      </c>
      <c r="Y318" s="8" t="inlineStr">
        <is>
          <t>SIFEL 8070A 1.0 + SIFEL 8070B 1.0 (Shin-Etsu; perfluoro-skeleton compound with C=C, counted as processing aid); TRIC (triallyl isocyanurate) 6.0; Perhexa 25B 0.5</t>
        </is>
      </c>
      <c r="Z318" s="8" t="n">
        <v>66</v>
      </c>
      <c r="AA318" s="8" t="n">
        <v>15.6</v>
      </c>
      <c r="AB318" s="8" t="n">
        <v>180</v>
      </c>
      <c r="AC318" s="8" t="n">
        <v>4.5</v>
      </c>
      <c r="AD318" s="8" t="n"/>
      <c r="AE318" s="8" t="n"/>
      <c r="AF318" s="8" t="n">
        <v>0.99</v>
      </c>
      <c r="AG318" s="8" t="inlineStr">
        <is>
          <t>O2:CF4=190:10, RF 1000 W, 200 sccm, 1 torr, 3 h, sample 6 cm from electrode (phi300 parallel plate)</t>
        </is>
      </c>
      <c r="AH318" s="8" t="inlineStr">
        <is>
          <t>parts by mass; MPa; Shore A (JIS K6253)</t>
        </is>
      </c>
      <c r="AI318" s="8" t="inlineStr">
        <is>
          <t>Table 2. Kneader mixing; press 170C x 10 min, post-cure 200C x 16 h vacuum, then radiation 80 kGy. Fluorine contents: P959/P459 70%, G912/G902 71%, P757/P457 67%, PL855 64%. Same blend as Example 2.</t>
        </is>
      </c>
    </row>
    <row r="319">
      <c r="A319" s="8" t="inlineStr">
        <is>
          <t>US20230365800A1</t>
        </is>
      </c>
      <c r="B319" s="8" t="inlineStr">
        <is>
          <t>patent</t>
        </is>
      </c>
      <c r="C319" s="8" t="inlineStr">
        <is>
          <t>Valqua, Ltd.</t>
        </is>
      </c>
      <c r="D319" s="8" t="inlineStr">
        <is>
          <t>Elastomer Composition, Sealing Material, and Method for Producing Sealing Material</t>
        </is>
      </c>
      <c r="E319" s="8" t="inlineStr">
        <is>
          <t>https://patents.google.com/patent/US20230365800A1/en</t>
        </is>
      </c>
      <c r="F319" s="8" t="inlineStr">
        <is>
          <t>Example 8</t>
        </is>
      </c>
      <c r="G319" s="8" t="inlineStr">
        <is>
          <t>FKM</t>
        </is>
      </c>
      <c r="H319" s="8" t="inlineStr">
        <is>
          <t>Tecnoflon P459 70 + Tecnoflon P757 30</t>
        </is>
      </c>
      <c r="I319" s="8" t="inlineStr">
        <is>
          <t>peroxide</t>
        </is>
      </c>
      <c r="J319" s="8" t="n">
        <v>100</v>
      </c>
      <c r="K319" s="8" t="n">
        <v>0</v>
      </c>
      <c r="L319" s="8" t="n">
        <v>0</v>
      </c>
      <c r="M319" s="8" t="n">
        <v>0</v>
      </c>
      <c r="N319" s="8" t="n">
        <v>0</v>
      </c>
      <c r="O319" s="8" t="n">
        <v>0</v>
      </c>
      <c r="P319" s="8" t="n">
        <v>0</v>
      </c>
      <c r="Q319" s="8" t="n">
        <v>0</v>
      </c>
      <c r="R319" s="8" t="n">
        <v>0</v>
      </c>
      <c r="S319" s="8" t="n">
        <v>6</v>
      </c>
      <c r="T319" s="8" t="n">
        <v>0.5</v>
      </c>
      <c r="U319" s="8" t="n">
        <v>0</v>
      </c>
      <c r="V319" s="8" t="n">
        <v>0</v>
      </c>
      <c r="W319" s="8" t="n">
        <v>0</v>
      </c>
      <c r="X319" s="8" t="n">
        <v>2</v>
      </c>
      <c r="Y319" s="8" t="inlineStr">
        <is>
          <t>SIFEL 8070A 1.0 + SIFEL 8070B 1.0 (Shin-Etsu; perfluoro-skeleton compound with C=C, counted as processing aid); TRIC (triallyl isocyanurate) 6.0; Perhexa 25B 0.5</t>
        </is>
      </c>
      <c r="Z319" s="8" t="n">
        <v>66</v>
      </c>
      <c r="AA319" s="8" t="n">
        <v>11.5</v>
      </c>
      <c r="AB319" s="8" t="n">
        <v>140</v>
      </c>
      <c r="AC319" s="8" t="n">
        <v>4.92</v>
      </c>
      <c r="AD319" s="8" t="n"/>
      <c r="AE319" s="8" t="n"/>
      <c r="AF319" s="8" t="n">
        <v>1</v>
      </c>
      <c r="AG319" s="8" t="inlineStr">
        <is>
          <t>O2:CF4=190:10, RF 1000 W, 200 sccm, 1 torr, 3 h, sample 6 cm from electrode (phi300 parallel plate)</t>
        </is>
      </c>
      <c r="AH319" s="8" t="inlineStr">
        <is>
          <t>parts by mass; MPa; Shore A (JIS K6253)</t>
        </is>
      </c>
      <c r="AI319" s="8" t="inlineStr">
        <is>
          <t>Table 2. Kneader mixing; press 170C x 10 min, post-cure 200C x 16 h vacuum, then radiation 80 kGy. Fluorine contents: P959/P459 70%, G912/G902 71%, P757/P457 67%, PL855 64%.</t>
        </is>
      </c>
    </row>
    <row r="320">
      <c r="A320" s="8" t="inlineStr">
        <is>
          <t>US20230365800A1</t>
        </is>
      </c>
      <c r="B320" s="8" t="inlineStr">
        <is>
          <t>patent</t>
        </is>
      </c>
      <c r="C320" s="8" t="inlineStr">
        <is>
          <t>Valqua, Ltd.</t>
        </is>
      </c>
      <c r="D320" s="8" t="inlineStr">
        <is>
          <t>Elastomer Composition, Sealing Material, and Method for Producing Sealing Material</t>
        </is>
      </c>
      <c r="E320" s="8" t="inlineStr">
        <is>
          <t>https://patents.google.com/patent/US20230365800A1/en</t>
        </is>
      </c>
      <c r="F320" s="8" t="inlineStr">
        <is>
          <t>Example 9</t>
        </is>
      </c>
      <c r="G320" s="8" t="inlineStr">
        <is>
          <t>FKM</t>
        </is>
      </c>
      <c r="H320" s="8" t="inlineStr">
        <is>
          <t>DAI-EL G902 70 + Tecnoflon P757 30</t>
        </is>
      </c>
      <c r="I320" s="8" t="inlineStr">
        <is>
          <t>peroxide</t>
        </is>
      </c>
      <c r="J320" s="8" t="n">
        <v>100</v>
      </c>
      <c r="K320" s="8" t="n">
        <v>0</v>
      </c>
      <c r="L320" s="8" t="n">
        <v>0</v>
      </c>
      <c r="M320" s="8" t="n">
        <v>0</v>
      </c>
      <c r="N320" s="8" t="n">
        <v>0</v>
      </c>
      <c r="O320" s="8" t="n">
        <v>0</v>
      </c>
      <c r="P320" s="8" t="n">
        <v>0</v>
      </c>
      <c r="Q320" s="8" t="n">
        <v>0</v>
      </c>
      <c r="R320" s="8" t="n">
        <v>0</v>
      </c>
      <c r="S320" s="8" t="n">
        <v>6</v>
      </c>
      <c r="T320" s="8" t="n">
        <v>0.5</v>
      </c>
      <c r="U320" s="8" t="n">
        <v>0</v>
      </c>
      <c r="V320" s="8" t="n">
        <v>0</v>
      </c>
      <c r="W320" s="8" t="n">
        <v>0</v>
      </c>
      <c r="X320" s="8" t="n">
        <v>2</v>
      </c>
      <c r="Y320" s="8" t="inlineStr">
        <is>
          <t>SIFEL 8070A 1.0 + SIFEL 8070B 1.0 (Shin-Etsu; perfluoro-skeleton compound with C=C, counted as processing aid); TRIC (triallyl isocyanurate) 6.0; Perhexa 25B 0.5</t>
        </is>
      </c>
      <c r="Z320" s="8" t="n">
        <v>63</v>
      </c>
      <c r="AA320" s="8" t="n">
        <v>11.9</v>
      </c>
      <c r="AB320" s="8" t="n">
        <v>155</v>
      </c>
      <c r="AC320" s="8" t="n">
        <v>4</v>
      </c>
      <c r="AD320" s="8" t="n"/>
      <c r="AE320" s="8" t="n"/>
      <c r="AF320" s="8" t="n">
        <v>1.02</v>
      </c>
      <c r="AG320" s="8" t="inlineStr">
        <is>
          <t>O2:CF4=190:10, RF 1000 W, 200 sccm, 1 torr, 3 h, sample 6 cm from electrode (phi300 parallel plate)</t>
        </is>
      </c>
      <c r="AH320" s="8" t="inlineStr">
        <is>
          <t>parts by mass; MPa; Shore A (JIS K6253)</t>
        </is>
      </c>
      <c r="AI320" s="8" t="inlineStr">
        <is>
          <t>Table 2. Kneader mixing; press 170C x 10 min, post-cure 200C x 16 h vacuum, then radiation 80 kGy. Fluorine contents: P959/P459 70%, G912/G902 71%, P757/P457 67%, PL855 64%.</t>
        </is>
      </c>
    </row>
    <row r="321">
      <c r="A321" s="8" t="inlineStr">
        <is>
          <t>US20230365800A1</t>
        </is>
      </c>
      <c r="B321" s="8" t="inlineStr">
        <is>
          <t>patent</t>
        </is>
      </c>
      <c r="C321" s="8" t="inlineStr">
        <is>
          <t>Valqua, Ltd.</t>
        </is>
      </c>
      <c r="D321" s="8" t="inlineStr">
        <is>
          <t>Elastomer Composition, Sealing Material, and Method for Producing Sealing Material</t>
        </is>
      </c>
      <c r="E321" s="8" t="inlineStr">
        <is>
          <t>https://patents.google.com/patent/US20230365800A1/en</t>
        </is>
      </c>
      <c r="F321" s="8" t="inlineStr">
        <is>
          <t>Comparative Example 3</t>
        </is>
      </c>
      <c r="G321" s="8" t="inlineStr">
        <is>
          <t>FKM</t>
        </is>
      </c>
      <c r="H321" s="8" t="inlineStr">
        <is>
          <t>Tecnoflon P457 70 + Tecnoflon P757 30</t>
        </is>
      </c>
      <c r="I321" s="8" t="inlineStr">
        <is>
          <t>peroxide</t>
        </is>
      </c>
      <c r="J321" s="8" t="n">
        <v>100</v>
      </c>
      <c r="K321" s="8" t="n">
        <v>0</v>
      </c>
      <c r="L321" s="8" t="n">
        <v>0</v>
      </c>
      <c r="M321" s="8" t="n">
        <v>0</v>
      </c>
      <c r="N321" s="8" t="n">
        <v>0</v>
      </c>
      <c r="O321" s="8" t="n">
        <v>0</v>
      </c>
      <c r="P321" s="8" t="n">
        <v>0</v>
      </c>
      <c r="Q321" s="8" t="n">
        <v>0</v>
      </c>
      <c r="R321" s="8" t="n">
        <v>0</v>
      </c>
      <c r="S321" s="8" t="n">
        <v>6</v>
      </c>
      <c r="T321" s="8" t="n">
        <v>0.5</v>
      </c>
      <c r="U321" s="8" t="n">
        <v>0</v>
      </c>
      <c r="V321" s="8" t="n">
        <v>0</v>
      </c>
      <c r="W321" s="8" t="n">
        <v>0</v>
      </c>
      <c r="X321" s="8" t="n">
        <v>2</v>
      </c>
      <c r="Y321" s="8" t="inlineStr">
        <is>
          <t>SIFEL 8070A 1.0 + SIFEL 8070B 1.0 (Shin-Etsu; perfluoro-skeleton compound with C=C, counted as processing aid); TRIC (triallyl isocyanurate) 6.0; Perhexa 25B 0.5</t>
        </is>
      </c>
      <c r="Z321" s="8" t="n">
        <v>60</v>
      </c>
      <c r="AA321" s="8" t="n">
        <v>7.2</v>
      </c>
      <c r="AB321" s="8" t="n">
        <v>150</v>
      </c>
      <c r="AC321" s="8" t="n">
        <v>2.2</v>
      </c>
      <c r="AD321" s="8" t="n"/>
      <c r="AE321" s="8" t="n"/>
      <c r="AF321" s="8" t="n">
        <v>1.33</v>
      </c>
      <c r="AG321" s="8" t="inlineStr">
        <is>
          <t>O2:CF4=190:10, RF 1000 W, 200 sccm, 1 torr, 3 h, sample 6 cm from electrode (phi300 parallel plate)</t>
        </is>
      </c>
      <c r="AH321" s="8" t="inlineStr">
        <is>
          <t>parts by mass; MPa; Shore A (JIS K6253)</t>
        </is>
      </c>
      <c r="AI321" s="8" t="inlineStr">
        <is>
          <t>Table 2. Kneader mixing; press 170C x 10 min, post-cure 200C x 16 h vacuum, then radiation 80 kGy. Fluorine contents: P959/P459 70%, G912/G902 71%, P757/P457 67%, PL855 64%.</t>
        </is>
      </c>
    </row>
    <row r="322">
      <c r="A322" s="8" t="inlineStr">
        <is>
          <t>US20230365800A1</t>
        </is>
      </c>
      <c r="B322" s="8" t="inlineStr">
        <is>
          <t>patent</t>
        </is>
      </c>
      <c r="C322" s="8" t="inlineStr">
        <is>
          <t>Valqua, Ltd.</t>
        </is>
      </c>
      <c r="D322" s="8" t="inlineStr">
        <is>
          <t>Elastomer Composition, Sealing Material, and Method for Producing Sealing Material</t>
        </is>
      </c>
      <c r="E322" s="8" t="inlineStr">
        <is>
          <t>https://patents.google.com/patent/US20230365800A1/en</t>
        </is>
      </c>
      <c r="F322" s="8" t="inlineStr">
        <is>
          <t>Comparative Example 4</t>
        </is>
      </c>
      <c r="G322" s="8" t="inlineStr">
        <is>
          <t>FKM</t>
        </is>
      </c>
      <c r="H322" s="8" t="inlineStr">
        <is>
          <t>Tecnoflon P757</t>
        </is>
      </c>
      <c r="I322" s="8" t="inlineStr">
        <is>
          <t>peroxide</t>
        </is>
      </c>
      <c r="J322" s="8" t="n">
        <v>100</v>
      </c>
      <c r="K322" s="8" t="n">
        <v>0</v>
      </c>
      <c r="L322" s="8" t="n">
        <v>0</v>
      </c>
      <c r="M322" s="8" t="n">
        <v>0</v>
      </c>
      <c r="N322" s="8" t="n">
        <v>0</v>
      </c>
      <c r="O322" s="8" t="n">
        <v>0</v>
      </c>
      <c r="P322" s="8" t="n">
        <v>0</v>
      </c>
      <c r="Q322" s="8" t="n">
        <v>0</v>
      </c>
      <c r="R322" s="8" t="n">
        <v>0</v>
      </c>
      <c r="S322" s="8" t="n">
        <v>6</v>
      </c>
      <c r="T322" s="8" t="n">
        <v>0.5</v>
      </c>
      <c r="U322" s="8" t="n">
        <v>0</v>
      </c>
      <c r="V322" s="8" t="n">
        <v>0</v>
      </c>
      <c r="W322" s="8" t="n">
        <v>0</v>
      </c>
      <c r="X322" s="8" t="n">
        <v>2</v>
      </c>
      <c r="Y322" s="8" t="inlineStr">
        <is>
          <t>SIFEL 8070A 1.0 + SIFEL 8070B 1.0 (Shin-Etsu; perfluoro-skeleton compound with C=C, counted as processing aid); TRIC (triallyl isocyanurate) 6.0; Perhexa 25B 0.5</t>
        </is>
      </c>
      <c r="Z322" s="8" t="n">
        <v>61</v>
      </c>
      <c r="AA322" s="8" t="n">
        <v>9.9</v>
      </c>
      <c r="AB322" s="8" t="n">
        <v>195</v>
      </c>
      <c r="AC322" s="8" t="n">
        <v>3.09</v>
      </c>
      <c r="AD322" s="8" t="n"/>
      <c r="AE322" s="8" t="n"/>
      <c r="AF322" s="8" t="n">
        <v>1.4</v>
      </c>
      <c r="AG322" s="8" t="inlineStr">
        <is>
          <t>O2:CF4=190:10, RF 1000 W, 200 sccm, 1 torr, 3 h, sample 6 cm from electrode (phi300 parallel plate)</t>
        </is>
      </c>
      <c r="AH322" s="8" t="inlineStr">
        <is>
          <t>parts by mass; MPa; Shore A (JIS K6253)</t>
        </is>
      </c>
      <c r="AI322" s="8" t="inlineStr">
        <is>
          <t>Table 2. Kneader mixing; press 170C x 10 min, post-cure 200C x 16 h vacuum, then radiation 80 kGy. Fluorine contents: P959/P459 70%, G912/G902 71%, P757/P457 67%, PL855 64%.</t>
        </is>
      </c>
    </row>
    <row r="323">
      <c r="A323" s="8" t="inlineStr">
        <is>
          <t>US20230365800A1</t>
        </is>
      </c>
      <c r="B323" s="8" t="inlineStr">
        <is>
          <t>patent</t>
        </is>
      </c>
      <c r="C323" s="8" t="inlineStr">
        <is>
          <t>Valqua, Ltd.</t>
        </is>
      </c>
      <c r="D323" s="8" t="inlineStr">
        <is>
          <t>Elastomer Composition, Sealing Material, and Method for Producing Sealing Material</t>
        </is>
      </c>
      <c r="E323" s="8" t="inlineStr">
        <is>
          <t>https://patents.google.com/patent/US20230365800A1/en</t>
        </is>
      </c>
      <c r="F323" s="8" t="inlineStr">
        <is>
          <t>Comparative Example 5</t>
        </is>
      </c>
      <c r="G323" s="8" t="inlineStr">
        <is>
          <t>FKM</t>
        </is>
      </c>
      <c r="H323" s="8" t="inlineStr">
        <is>
          <t>DAI-EL G912 70 + Tecnoflon PL855 30</t>
        </is>
      </c>
      <c r="I323" s="8" t="inlineStr">
        <is>
          <t>peroxide</t>
        </is>
      </c>
      <c r="J323" s="8" t="n">
        <v>100</v>
      </c>
      <c r="K323" s="8" t="n">
        <v>0</v>
      </c>
      <c r="L323" s="8" t="n">
        <v>0</v>
      </c>
      <c r="M323" s="8" t="n">
        <v>0</v>
      </c>
      <c r="N323" s="8" t="n">
        <v>0</v>
      </c>
      <c r="O323" s="8" t="n">
        <v>0</v>
      </c>
      <c r="P323" s="8" t="n">
        <v>0</v>
      </c>
      <c r="Q323" s="8" t="n">
        <v>0</v>
      </c>
      <c r="R323" s="8" t="n">
        <v>0</v>
      </c>
      <c r="S323" s="8" t="n">
        <v>6</v>
      </c>
      <c r="T323" s="8" t="n">
        <v>0.5</v>
      </c>
      <c r="U323" s="8" t="n">
        <v>0</v>
      </c>
      <c r="V323" s="8" t="n">
        <v>0</v>
      </c>
      <c r="W323" s="8" t="n">
        <v>0</v>
      </c>
      <c r="X323" s="8" t="n">
        <v>2</v>
      </c>
      <c r="Y323" s="8" t="inlineStr">
        <is>
          <t>SIFEL 8070A 1.0 + SIFEL 8070B 1.0 (Shin-Etsu; perfluoro-skeleton compound with C=C, counted as processing aid); TRIC (triallyl isocyanurate) 6.0; Perhexa 25B 0.5</t>
        </is>
      </c>
      <c r="Z323" s="8" t="n">
        <v>65</v>
      </c>
      <c r="AA323" s="8" t="n">
        <v>9.5</v>
      </c>
      <c r="AB323" s="8" t="n">
        <v>125</v>
      </c>
      <c r="AC323" s="8" t="n">
        <v>5.1</v>
      </c>
      <c r="AD323" s="8" t="n"/>
      <c r="AE323" s="8" t="n"/>
      <c r="AF323" s="8" t="n">
        <v>1.4</v>
      </c>
      <c r="AG323" s="8" t="inlineStr">
        <is>
          <t>O2:CF4=190:10, RF 1000 W, 200 sccm, 1 torr, 3 h, sample 6 cm from electrode (phi300 parallel plate)</t>
        </is>
      </c>
      <c r="AH323" s="8" t="inlineStr">
        <is>
          <t>parts by mass; MPa; Shore A (JIS K6253)</t>
        </is>
      </c>
      <c r="AI323" s="8" t="inlineStr">
        <is>
          <t>Table 2. Kneader mixing; press 170C x 10 min, post-cure 200C x 16 h vacuum, then radiation 80 kGy. Fluorine contents: P959/P459 70%, G912/G902 71%, P757/P457 67%, PL855 64%.</t>
        </is>
      </c>
    </row>
    <row r="324">
      <c r="A324" s="8" t="inlineStr">
        <is>
          <t>US20230365800A1</t>
        </is>
      </c>
      <c r="B324" s="8" t="inlineStr">
        <is>
          <t>patent</t>
        </is>
      </c>
      <c r="C324" s="8" t="inlineStr">
        <is>
          <t>Valqua, Ltd.</t>
        </is>
      </c>
      <c r="D324" s="8" t="inlineStr">
        <is>
          <t>Elastomer Composition, Sealing Material, and Method for Producing Sealing Material</t>
        </is>
      </c>
      <c r="E324" s="8" t="inlineStr">
        <is>
          <t>https://patents.google.com/patent/US20230365800A1/en</t>
        </is>
      </c>
      <c r="F324" s="8" t="inlineStr">
        <is>
          <t>Example 10</t>
        </is>
      </c>
      <c r="G324" s="8" t="inlineStr">
        <is>
          <t>FKM</t>
        </is>
      </c>
      <c r="H324" s="8" t="inlineStr">
        <is>
          <t>DAI-EL G912 70 + Tecnoflon P757 30</t>
        </is>
      </c>
      <c r="I324" s="8" t="inlineStr">
        <is>
          <t>peroxide</t>
        </is>
      </c>
      <c r="J324" s="8" t="n">
        <v>100</v>
      </c>
      <c r="K324" s="8" t="n">
        <v>0</v>
      </c>
      <c r="L324" s="8" t="n">
        <v>0</v>
      </c>
      <c r="M324" s="8" t="n">
        <v>0</v>
      </c>
      <c r="N324" s="8" t="n">
        <v>0</v>
      </c>
      <c r="O324" s="8" t="n">
        <v>0</v>
      </c>
      <c r="P324" s="8" t="n">
        <v>0</v>
      </c>
      <c r="Q324" s="8" t="n">
        <v>0</v>
      </c>
      <c r="R324" s="8" t="n">
        <v>0</v>
      </c>
      <c r="S324" s="8" t="n">
        <v>6</v>
      </c>
      <c r="T324" s="8" t="n">
        <v>0.5</v>
      </c>
      <c r="U324" s="8" t="n">
        <v>0</v>
      </c>
      <c r="V324" s="8" t="n">
        <v>0</v>
      </c>
      <c r="W324" s="8" t="n">
        <v>0</v>
      </c>
      <c r="X324" s="8" t="n">
        <v>2</v>
      </c>
      <c r="Y324" s="8" t="inlineStr">
        <is>
          <t>SIFEL 3590-N (Shin-Etsu; one-component liquid, perfluoro skeleton with C=C) 2 (counted as processing aid); TRIC 6; Perhexa 25B 0.5</t>
        </is>
      </c>
      <c r="Z324" s="8" t="n">
        <v>67</v>
      </c>
      <c r="AA324" s="8" t="n">
        <v>10.2</v>
      </c>
      <c r="AB324" s="8" t="n">
        <v>150</v>
      </c>
      <c r="AC324" s="8" t="n">
        <v>5.6</v>
      </c>
      <c r="AD324" s="8" t="n"/>
      <c r="AE324" s="8" t="n"/>
      <c r="AF324" s="8" t="n">
        <v>0.76</v>
      </c>
      <c r="AG324" s="8" t="inlineStr">
        <is>
          <t>O2:CF4=190:10, RF 1000 W, 200 sccm, 1 torr, 3 h, sample 6 cm from electrode (phi300 parallel plate)</t>
        </is>
      </c>
      <c r="AH324" s="8" t="inlineStr">
        <is>
          <t>parts by mass; MPa; Shore A (JIS K6253)</t>
        </is>
      </c>
      <c r="AI324" s="8" t="inlineStr">
        <is>
          <t>Table 3. Press 170C x 10 min, post-cure 200C x 16 h vacuum, then radiation 80 kGy.</t>
        </is>
      </c>
    </row>
    <row r="325">
      <c r="A325" s="8" t="inlineStr">
        <is>
          <t>US20230365800A1</t>
        </is>
      </c>
      <c r="B325" s="8" t="inlineStr">
        <is>
          <t>patent</t>
        </is>
      </c>
      <c r="C325" s="8" t="inlineStr">
        <is>
          <t>Valqua, Ltd.</t>
        </is>
      </c>
      <c r="D325" s="8" t="inlineStr">
        <is>
          <t>Elastomer Composition, Sealing Material, and Method for Producing Sealing Material</t>
        </is>
      </c>
      <c r="E325" s="8" t="inlineStr">
        <is>
          <t>https://patents.google.com/patent/US20230365800A1/en</t>
        </is>
      </c>
      <c r="F325" s="8" t="inlineStr">
        <is>
          <t>Example 11</t>
        </is>
      </c>
      <c r="G325" s="8" t="inlineStr">
        <is>
          <t>FKM</t>
        </is>
      </c>
      <c r="H325" s="8" t="inlineStr">
        <is>
          <t>DAI-EL G912 70 + Tecnoflon P757 30</t>
        </is>
      </c>
      <c r="I325" s="8" t="inlineStr">
        <is>
          <t>peroxide</t>
        </is>
      </c>
      <c r="J325" s="8" t="n">
        <v>100</v>
      </c>
      <c r="K325" s="8" t="n">
        <v>0</v>
      </c>
      <c r="L325" s="8" t="n">
        <v>0</v>
      </c>
      <c r="M325" s="8" t="n">
        <v>0</v>
      </c>
      <c r="N325" s="8" t="n">
        <v>0</v>
      </c>
      <c r="O325" s="8" t="n">
        <v>0</v>
      </c>
      <c r="P325" s="8" t="n">
        <v>0</v>
      </c>
      <c r="Q325" s="8" t="n">
        <v>0</v>
      </c>
      <c r="R325" s="8" t="n">
        <v>0</v>
      </c>
      <c r="S325" s="8" t="n">
        <v>6</v>
      </c>
      <c r="T325" s="8" t="n">
        <v>0.5</v>
      </c>
      <c r="U325" s="8" t="n">
        <v>0</v>
      </c>
      <c r="V325" s="8" t="n">
        <v>0</v>
      </c>
      <c r="W325" s="8" t="n">
        <v>0</v>
      </c>
      <c r="X325" s="8" t="n">
        <v>2</v>
      </c>
      <c r="Y325" s="8" t="inlineStr">
        <is>
          <t>KE-1830 (Shin-Etsu; one-component liquid, siloxane skeleton with C=C) 2 (counted as processing aid); TRIC 6; Perhexa 25B 0.5</t>
        </is>
      </c>
      <c r="Z325" s="8" t="n">
        <v>70</v>
      </c>
      <c r="AA325" s="8" t="n">
        <v>10.2</v>
      </c>
      <c r="AB325" s="8" t="n">
        <v>135</v>
      </c>
      <c r="AC325" s="8" t="n">
        <v>6.1</v>
      </c>
      <c r="AD325" s="8" t="n"/>
      <c r="AE325" s="8" t="n"/>
      <c r="AF325" s="8" t="n">
        <v>1.1</v>
      </c>
      <c r="AG325" s="8" t="inlineStr">
        <is>
          <t>O2:CF4=190:10, RF 1000 W, 200 sccm, 1 torr, 3 h, sample 6 cm from electrode (phi300 parallel plate)</t>
        </is>
      </c>
      <c r="AH325" s="8" t="inlineStr">
        <is>
          <t>parts by mass; MPa; Shore A (JIS K6253)</t>
        </is>
      </c>
      <c r="AI325" s="8" t="inlineStr">
        <is>
          <t>Table 3. Press 170C x 10 min, post-cure 200C x 16 h vacuum, then radiation 80 kGy.</t>
        </is>
      </c>
    </row>
    <row r="326">
      <c r="A326" s="8" t="inlineStr">
        <is>
          <t>EP4249550A1</t>
        </is>
      </c>
      <c r="B326" s="8" t="inlineStr">
        <is>
          <t>patent</t>
        </is>
      </c>
      <c r="C326" s="8" t="inlineStr">
        <is>
          <t>Mitsubishi Cable Industries, Ltd.</t>
        </is>
      </c>
      <c r="D326" s="8" t="inlineStr">
        <is>
          <t>Fluorine rubber composition and rubber molded article formed using same</t>
        </is>
      </c>
      <c r="E326" s="8" t="inlineStr">
        <is>
          <t>https://patents.google.com/patent/EP4249550A1/en</t>
        </is>
      </c>
      <c r="F326" s="8" t="inlineStr">
        <is>
          <t>Example 1</t>
        </is>
      </c>
      <c r="G326" s="8" t="inlineStr">
        <is>
          <t>FKM</t>
        </is>
      </c>
      <c r="H326" s="8" t="inlineStr">
        <is>
          <t>DAI-EL G912 (VDF/HFP/TFE)</t>
        </is>
      </c>
      <c r="I326" s="8" t="inlineStr">
        <is>
          <t>peroxide</t>
        </is>
      </c>
      <c r="J326" s="8" t="n">
        <v>100</v>
      </c>
      <c r="K326" s="8" t="n">
        <v>0</v>
      </c>
      <c r="L326" s="8" t="n">
        <v>10</v>
      </c>
      <c r="M326" s="8" t="n">
        <v>0</v>
      </c>
      <c r="N326" s="8" t="n">
        <v>0</v>
      </c>
      <c r="O326" s="8" t="n">
        <v>0</v>
      </c>
      <c r="P326" s="8" t="n">
        <v>0</v>
      </c>
      <c r="Q326" s="8" t="n">
        <v>0</v>
      </c>
      <c r="R326" s="8" t="n">
        <v>0</v>
      </c>
      <c r="S326" s="8" t="n">
        <v>4</v>
      </c>
      <c r="T326" s="8" t="n">
        <v>1.5</v>
      </c>
      <c r="U326" s="8" t="n">
        <v>0</v>
      </c>
      <c r="V326" s="8" t="n">
        <v>0</v>
      </c>
      <c r="W326" s="8" t="n">
        <v>0</v>
      </c>
      <c r="X326" s="8" t="n">
        <v>1</v>
      </c>
      <c r="Y326" s="8" t="inlineStr">
        <is>
          <t>vinyl-PFPE SIFEL X-71-359 1; silica AEROSIL 200 (hydrophilic dry) 10; TAIC 4; Perhexa 25B 1.5 (PFPE liquids counted as processing aid)</t>
        </is>
      </c>
      <c r="Z326" s="8" t="n">
        <v>73</v>
      </c>
      <c r="AA326" s="8" t="n">
        <v>16.3</v>
      </c>
      <c r="AB326" s="8" t="n">
        <v>150</v>
      </c>
      <c r="AC326" s="8" t="n">
        <v>6</v>
      </c>
      <c r="AD326" s="8" t="n">
        <v>31</v>
      </c>
      <c r="AE326" s="8" t="inlineStr">
        <is>
          <t>200C x 72h, half-cut AS-214 O-ring (JIS K6262:2013)</t>
        </is>
      </c>
      <c r="AF326" s="8" t="n">
        <v>0.65</v>
      </c>
      <c r="AG326" s="8" t="inlineStr">
        <is>
          <t>O2+CF4 (50:1), RF 1500 W, 100 Pa, 30 min (Shinko Seiki compact etcher)</t>
        </is>
      </c>
      <c r="AH326" s="8" t="inlineStr">
        <is>
          <t>parts by mass; MPa; Shore A (type A durometer, JIS K6253-3)</t>
        </is>
      </c>
      <c r="AI326" s="8" t="inlineStr">
        <is>
          <t>Press 160C x 10 min, post-cure 200C x 4 h. Bleed-out rating A.</t>
        </is>
      </c>
    </row>
    <row r="327">
      <c r="A327" s="8" t="inlineStr">
        <is>
          <t>EP4249550A1</t>
        </is>
      </c>
      <c r="B327" s="8" t="inlineStr">
        <is>
          <t>patent</t>
        </is>
      </c>
      <c r="C327" s="8" t="inlineStr">
        <is>
          <t>Mitsubishi Cable Industries, Ltd.</t>
        </is>
      </c>
      <c r="D327" s="8" t="inlineStr">
        <is>
          <t>Fluorine rubber composition and rubber molded article formed using same</t>
        </is>
      </c>
      <c r="E327" s="8" t="inlineStr">
        <is>
          <t>https://patents.google.com/patent/EP4249550A1/en</t>
        </is>
      </c>
      <c r="F327" s="8" t="inlineStr">
        <is>
          <t>Example 2</t>
        </is>
      </c>
      <c r="G327" s="8" t="inlineStr">
        <is>
          <t>FKM</t>
        </is>
      </c>
      <c r="H327" s="8" t="inlineStr">
        <is>
          <t>DAI-EL G912 (VDF/HFP/TFE)</t>
        </is>
      </c>
      <c r="I327" s="8" t="inlineStr">
        <is>
          <t>peroxide</t>
        </is>
      </c>
      <c r="J327" s="8" t="n">
        <v>100</v>
      </c>
      <c r="K327" s="8" t="n">
        <v>0</v>
      </c>
      <c r="L327" s="8" t="n">
        <v>0.2</v>
      </c>
      <c r="M327" s="8" t="n">
        <v>0</v>
      </c>
      <c r="N327" s="8" t="n">
        <v>0</v>
      </c>
      <c r="O327" s="8" t="n">
        <v>0</v>
      </c>
      <c r="P327" s="8" t="n">
        <v>0</v>
      </c>
      <c r="Q327" s="8" t="n">
        <v>0</v>
      </c>
      <c r="R327" s="8" t="n">
        <v>0</v>
      </c>
      <c r="S327" s="8" t="n">
        <v>4</v>
      </c>
      <c r="T327" s="8" t="n">
        <v>1.5</v>
      </c>
      <c r="U327" s="8" t="n">
        <v>0</v>
      </c>
      <c r="V327" s="8" t="n">
        <v>0</v>
      </c>
      <c r="W327" s="8" t="n">
        <v>0</v>
      </c>
      <c r="X327" s="8" t="n">
        <v>1</v>
      </c>
      <c r="Y327" s="8" t="inlineStr">
        <is>
          <t>vinyl-PFPE SIFEL X-71-359 1; silica AEROSIL R972 (hydrophobic dry) 0.2; TAIC 4; Perhexa 25B 1.5 (PFPE liquids counted as processing aid)</t>
        </is>
      </c>
      <c r="Z327" s="8" t="n">
        <v>57</v>
      </c>
      <c r="AA327" s="8" t="n">
        <v>14.4</v>
      </c>
      <c r="AB327" s="8" t="n">
        <v>350</v>
      </c>
      <c r="AC327" s="8" t="n">
        <v>1.4</v>
      </c>
      <c r="AD327" s="8" t="n">
        <v>32</v>
      </c>
      <c r="AE327" s="8" t="inlineStr">
        <is>
          <t>200C x 72h, half-cut AS-214 O-ring (JIS K6262:2013)</t>
        </is>
      </c>
      <c r="AF327" s="8" t="n">
        <v>0.55</v>
      </c>
      <c r="AG327" s="8" t="inlineStr">
        <is>
          <t>O2+CF4 (50:1), RF 1500 W, 100 Pa, 30 min (Shinko Seiki compact etcher)</t>
        </is>
      </c>
      <c r="AH327" s="8" t="inlineStr">
        <is>
          <t>parts by mass; MPa; Shore A (type A durometer, JIS K6253-3)</t>
        </is>
      </c>
      <c r="AI327" s="8" t="inlineStr">
        <is>
          <t>Press 160C x 10 min, post-cure 200C x 4 h. Bleed-out rating A.</t>
        </is>
      </c>
    </row>
    <row r="328">
      <c r="A328" s="8" t="inlineStr">
        <is>
          <t>EP4249550A1</t>
        </is>
      </c>
      <c r="B328" s="8" t="inlineStr">
        <is>
          <t>patent</t>
        </is>
      </c>
      <c r="C328" s="8" t="inlineStr">
        <is>
          <t>Mitsubishi Cable Industries, Ltd.</t>
        </is>
      </c>
      <c r="D328" s="8" t="inlineStr">
        <is>
          <t>Fluorine rubber composition and rubber molded article formed using same</t>
        </is>
      </c>
      <c r="E328" s="8" t="inlineStr">
        <is>
          <t>https://patents.google.com/patent/EP4249550A1/en</t>
        </is>
      </c>
      <c r="F328" s="8" t="inlineStr">
        <is>
          <t>Example 3</t>
        </is>
      </c>
      <c r="G328" s="8" t="inlineStr">
        <is>
          <t>FKM</t>
        </is>
      </c>
      <c r="H328" s="8" t="inlineStr">
        <is>
          <t>DAI-EL G912 (VDF/HFP/TFE)</t>
        </is>
      </c>
      <c r="I328" s="8" t="inlineStr">
        <is>
          <t>peroxide</t>
        </is>
      </c>
      <c r="J328" s="8" t="n">
        <v>100</v>
      </c>
      <c r="K328" s="8" t="n">
        <v>0</v>
      </c>
      <c r="L328" s="8" t="n">
        <v>10</v>
      </c>
      <c r="M328" s="8" t="n">
        <v>0</v>
      </c>
      <c r="N328" s="8" t="n">
        <v>0</v>
      </c>
      <c r="O328" s="8" t="n">
        <v>0</v>
      </c>
      <c r="P328" s="8" t="n">
        <v>0</v>
      </c>
      <c r="Q328" s="8" t="n">
        <v>0</v>
      </c>
      <c r="R328" s="8" t="n">
        <v>0</v>
      </c>
      <c r="S328" s="8" t="n">
        <v>4</v>
      </c>
      <c r="T328" s="8" t="n">
        <v>1.5</v>
      </c>
      <c r="U328" s="8" t="n">
        <v>0</v>
      </c>
      <c r="V328" s="8" t="n">
        <v>0</v>
      </c>
      <c r="W328" s="8" t="n">
        <v>0</v>
      </c>
      <c r="X328" s="8" t="n">
        <v>1</v>
      </c>
      <c r="Y328" s="8" t="inlineStr">
        <is>
          <t>vinyl-PFPE SIFEL X-71-359 1; silica AEROSIL R972 10; TAIC 4; Perhexa 25B 1.5 (PFPE liquids counted as processing aid)</t>
        </is>
      </c>
      <c r="Z328" s="8" t="n">
        <v>72</v>
      </c>
      <c r="AA328" s="8" t="n">
        <v>18.3</v>
      </c>
      <c r="AB328" s="8" t="n">
        <v>180</v>
      </c>
      <c r="AC328" s="8" t="n">
        <v>5.9</v>
      </c>
      <c r="AD328" s="8" t="n">
        <v>30</v>
      </c>
      <c r="AE328" s="8" t="inlineStr">
        <is>
          <t>200C x 72h, half-cut AS-214 O-ring (JIS K6262:2013)</t>
        </is>
      </c>
      <c r="AF328" s="8" t="n">
        <v>0.6</v>
      </c>
      <c r="AG328" s="8" t="inlineStr">
        <is>
          <t>O2+CF4 (50:1), RF 1500 W, 100 Pa, 30 min (Shinko Seiki compact etcher)</t>
        </is>
      </c>
      <c r="AH328" s="8" t="inlineStr">
        <is>
          <t>parts by mass; MPa; Shore A (type A durometer, JIS K6253-3)</t>
        </is>
      </c>
      <c r="AI328" s="8" t="inlineStr">
        <is>
          <t>Press 160C x 10 min, post-cure 200C x 4 h. Bleed-out rating A.</t>
        </is>
      </c>
    </row>
    <row r="329">
      <c r="A329" s="8" t="inlineStr">
        <is>
          <t>EP4249550A1</t>
        </is>
      </c>
      <c r="B329" s="8" t="inlineStr">
        <is>
          <t>patent</t>
        </is>
      </c>
      <c r="C329" s="8" t="inlineStr">
        <is>
          <t>Mitsubishi Cable Industries, Ltd.</t>
        </is>
      </c>
      <c r="D329" s="8" t="inlineStr">
        <is>
          <t>Fluorine rubber composition and rubber molded article formed using same</t>
        </is>
      </c>
      <c r="E329" s="8" t="inlineStr">
        <is>
          <t>https://patents.google.com/patent/EP4249550A1/en</t>
        </is>
      </c>
      <c r="F329" s="8" t="inlineStr">
        <is>
          <t>Example 4</t>
        </is>
      </c>
      <c r="G329" s="8" t="inlineStr">
        <is>
          <t>FKM</t>
        </is>
      </c>
      <c r="H329" s="8" t="inlineStr">
        <is>
          <t>DAI-EL G912 (VDF/HFP/TFE)</t>
        </is>
      </c>
      <c r="I329" s="8" t="inlineStr">
        <is>
          <t>peroxide</t>
        </is>
      </c>
      <c r="J329" s="8" t="n">
        <v>100</v>
      </c>
      <c r="K329" s="8" t="n">
        <v>0</v>
      </c>
      <c r="L329" s="8" t="n">
        <v>10</v>
      </c>
      <c r="M329" s="8" t="n">
        <v>0</v>
      </c>
      <c r="N329" s="8" t="n">
        <v>0</v>
      </c>
      <c r="O329" s="8" t="n">
        <v>0</v>
      </c>
      <c r="P329" s="8" t="n">
        <v>0</v>
      </c>
      <c r="Q329" s="8" t="n">
        <v>0</v>
      </c>
      <c r="R329" s="8" t="n">
        <v>0</v>
      </c>
      <c r="S329" s="8" t="n">
        <v>4</v>
      </c>
      <c r="T329" s="8" t="n">
        <v>1.5</v>
      </c>
      <c r="U329" s="8" t="n">
        <v>0</v>
      </c>
      <c r="V329" s="8" t="n">
        <v>0</v>
      </c>
      <c r="W329" s="8" t="n">
        <v>0</v>
      </c>
      <c r="X329" s="8" t="n">
        <v>1</v>
      </c>
      <c r="Y329" s="8" t="inlineStr">
        <is>
          <t>vinyl-PFPE SIFEL X-71-359 1; silica wet silica CARPLEX #80 10; TAIC 4; Perhexa 25B 1.5 (PFPE liquids counted as processing aid)</t>
        </is>
      </c>
      <c r="Z329" s="8" t="n">
        <v>71</v>
      </c>
      <c r="AA329" s="8" t="n">
        <v>18.5</v>
      </c>
      <c r="AB329" s="8" t="n">
        <v>180</v>
      </c>
      <c r="AC329" s="8" t="n">
        <v>6.1</v>
      </c>
      <c r="AD329" s="8" t="n">
        <v>25</v>
      </c>
      <c r="AE329" s="8" t="inlineStr">
        <is>
          <t>200C x 72h, half-cut AS-214 O-ring (JIS K6262:2013)</t>
        </is>
      </c>
      <c r="AF329" s="8" t="n">
        <v>0.67</v>
      </c>
      <c r="AG329" s="8" t="inlineStr">
        <is>
          <t>O2+CF4 (50:1), RF 1500 W, 100 Pa, 30 min (Shinko Seiki compact etcher)</t>
        </is>
      </c>
      <c r="AH329" s="8" t="inlineStr">
        <is>
          <t>parts by mass; MPa; Shore A (type A durometer, JIS K6253-3)</t>
        </is>
      </c>
      <c r="AI329" s="8" t="inlineStr">
        <is>
          <t>Press 160C x 10 min, post-cure 200C x 4 h. Bleed-out rating A.</t>
        </is>
      </c>
    </row>
    <row r="330">
      <c r="A330" s="8" t="inlineStr">
        <is>
          <t>EP4249550A1</t>
        </is>
      </c>
      <c r="B330" s="8" t="inlineStr">
        <is>
          <t>patent</t>
        </is>
      </c>
      <c r="C330" s="8" t="inlineStr">
        <is>
          <t>Mitsubishi Cable Industries, Ltd.</t>
        </is>
      </c>
      <c r="D330" s="8" t="inlineStr">
        <is>
          <t>Fluorine rubber composition and rubber molded article formed using same</t>
        </is>
      </c>
      <c r="E330" s="8" t="inlineStr">
        <is>
          <t>https://patents.google.com/patent/EP4249550A1/en</t>
        </is>
      </c>
      <c r="F330" s="8" t="inlineStr">
        <is>
          <t>Example 5</t>
        </is>
      </c>
      <c r="G330" s="8" t="inlineStr">
        <is>
          <t>FKM</t>
        </is>
      </c>
      <c r="H330" s="8" t="inlineStr">
        <is>
          <t>DAI-EL G912 (VDF/HFP/TFE)</t>
        </is>
      </c>
      <c r="I330" s="8" t="inlineStr">
        <is>
          <t>peroxide</t>
        </is>
      </c>
      <c r="J330" s="8" t="n">
        <v>100</v>
      </c>
      <c r="K330" s="8" t="n">
        <v>0</v>
      </c>
      <c r="L330" s="8" t="n">
        <v>10</v>
      </c>
      <c r="M330" s="8" t="n">
        <v>0</v>
      </c>
      <c r="N330" s="8" t="n">
        <v>0</v>
      </c>
      <c r="O330" s="8" t="n">
        <v>0</v>
      </c>
      <c r="P330" s="8" t="n">
        <v>0</v>
      </c>
      <c r="Q330" s="8" t="n">
        <v>0</v>
      </c>
      <c r="R330" s="8" t="n">
        <v>0</v>
      </c>
      <c r="S330" s="8" t="n">
        <v>4</v>
      </c>
      <c r="T330" s="8" t="n">
        <v>1.5</v>
      </c>
      <c r="U330" s="8" t="n">
        <v>0</v>
      </c>
      <c r="V330" s="8" t="n">
        <v>0</v>
      </c>
      <c r="W330" s="8" t="n">
        <v>0</v>
      </c>
      <c r="X330" s="8" t="n">
        <v>2</v>
      </c>
      <c r="Y330" s="8" t="inlineStr">
        <is>
          <t>vinyl-PFPE SIFEL X-71-359 1; PFPE oil Fomblin Y 1; silica AEROSIL R972 10; TAIC 4; Perhexa 25B 1.5 (PFPE liquids counted as processing aid)</t>
        </is>
      </c>
      <c r="Z330" s="8" t="n">
        <v>71</v>
      </c>
      <c r="AA330" s="8" t="n">
        <v>18.1</v>
      </c>
      <c r="AB330" s="8" t="n">
        <v>180</v>
      </c>
      <c r="AC330" s="8" t="n">
        <v>5.8</v>
      </c>
      <c r="AD330" s="8" t="n">
        <v>30</v>
      </c>
      <c r="AE330" s="8" t="inlineStr">
        <is>
          <t>200C x 72h, half-cut AS-214 O-ring (JIS K6262:2013)</t>
        </is>
      </c>
      <c r="AF330" s="8" t="n">
        <v>0.4</v>
      </c>
      <c r="AG330" s="8" t="inlineStr">
        <is>
          <t>O2+CF4 (50:1), RF 1500 W, 100 Pa, 30 min (Shinko Seiki compact etcher)</t>
        </is>
      </c>
      <c r="AH330" s="8" t="inlineStr">
        <is>
          <t>parts by mass; MPa; Shore A (type A durometer, JIS K6253-3)</t>
        </is>
      </c>
      <c r="AI330" s="8" t="inlineStr">
        <is>
          <t>Press 160C x 10 min, post-cure 200C x 4 h. Bleed-out rating A.</t>
        </is>
      </c>
    </row>
    <row r="331">
      <c r="A331" s="8" t="inlineStr">
        <is>
          <t>EP4249550A1</t>
        </is>
      </c>
      <c r="B331" s="8" t="inlineStr">
        <is>
          <t>patent</t>
        </is>
      </c>
      <c r="C331" s="8" t="inlineStr">
        <is>
          <t>Mitsubishi Cable Industries, Ltd.</t>
        </is>
      </c>
      <c r="D331" s="8" t="inlineStr">
        <is>
          <t>Fluorine rubber composition and rubber molded article formed using same</t>
        </is>
      </c>
      <c r="E331" s="8" t="inlineStr">
        <is>
          <t>https://patents.google.com/patent/EP4249550A1/en</t>
        </is>
      </c>
      <c r="F331" s="8" t="inlineStr">
        <is>
          <t>Example 6</t>
        </is>
      </c>
      <c r="G331" s="8" t="inlineStr">
        <is>
          <t>FKM</t>
        </is>
      </c>
      <c r="H331" s="8" t="inlineStr">
        <is>
          <t>DAI-EL G912 (VDF/HFP/TFE)</t>
        </is>
      </c>
      <c r="I331" s="8" t="inlineStr">
        <is>
          <t>peroxide</t>
        </is>
      </c>
      <c r="J331" s="8" t="n">
        <v>100</v>
      </c>
      <c r="K331" s="8" t="n">
        <v>0</v>
      </c>
      <c r="L331" s="8" t="n">
        <v>10</v>
      </c>
      <c r="M331" s="8" t="n">
        <v>0</v>
      </c>
      <c r="N331" s="8" t="n">
        <v>0</v>
      </c>
      <c r="O331" s="8" t="n">
        <v>0</v>
      </c>
      <c r="P331" s="8" t="n">
        <v>0</v>
      </c>
      <c r="Q331" s="8" t="n">
        <v>0</v>
      </c>
      <c r="R331" s="8" t="n">
        <v>0</v>
      </c>
      <c r="S331" s="8" t="n">
        <v>4</v>
      </c>
      <c r="T331" s="8" t="n">
        <v>1.5</v>
      </c>
      <c r="U331" s="8" t="n">
        <v>0</v>
      </c>
      <c r="V331" s="8" t="n">
        <v>0</v>
      </c>
      <c r="W331" s="8" t="n">
        <v>0</v>
      </c>
      <c r="X331" s="8" t="n">
        <v>5</v>
      </c>
      <c r="Y331" s="8" t="inlineStr">
        <is>
          <t>vinyl-PFPE SIFEL X-71-359 5; silica AEROSIL R972 10; TAIC 4; Perhexa 25B 1.5 (PFPE liquids counted as processing aid)</t>
        </is>
      </c>
      <c r="Z331" s="8" t="n">
        <v>69</v>
      </c>
      <c r="AA331" s="8" t="n">
        <v>17.4</v>
      </c>
      <c r="AB331" s="8" t="n">
        <v>190</v>
      </c>
      <c r="AC331" s="8" t="n">
        <v>5.5</v>
      </c>
      <c r="AD331" s="8" t="n">
        <v>32</v>
      </c>
      <c r="AE331" s="8" t="inlineStr">
        <is>
          <t>200C x 72h, half-cut AS-214 O-ring (JIS K6262:2013)</t>
        </is>
      </c>
      <c r="AF331" s="8" t="n">
        <v>0.21</v>
      </c>
      <c r="AG331" s="8" t="inlineStr">
        <is>
          <t>O2+CF4 (50:1), RF 1500 W, 100 Pa, 30 min (Shinko Seiki compact etcher)</t>
        </is>
      </c>
      <c r="AH331" s="8" t="inlineStr">
        <is>
          <t>parts by mass; MPa; Shore A (type A durometer, JIS K6253-3)</t>
        </is>
      </c>
      <c r="AI331" s="8" t="inlineStr">
        <is>
          <t>Press 160C x 10 min, post-cure 200C x 4 h. Bleed-out rating A.</t>
        </is>
      </c>
    </row>
    <row r="332">
      <c r="A332" s="8" t="inlineStr">
        <is>
          <t>EP4249550A1</t>
        </is>
      </c>
      <c r="B332" s="8" t="inlineStr">
        <is>
          <t>patent</t>
        </is>
      </c>
      <c r="C332" s="8" t="inlineStr">
        <is>
          <t>Mitsubishi Cable Industries, Ltd.</t>
        </is>
      </c>
      <c r="D332" s="8" t="inlineStr">
        <is>
          <t>Fluorine rubber composition and rubber molded article formed using same</t>
        </is>
      </c>
      <c r="E332" s="8" t="inlineStr">
        <is>
          <t>https://patents.google.com/patent/EP4249550A1/en</t>
        </is>
      </c>
      <c r="F332" s="8" t="inlineStr">
        <is>
          <t>Example 7</t>
        </is>
      </c>
      <c r="G332" s="8" t="inlineStr">
        <is>
          <t>FKM</t>
        </is>
      </c>
      <c r="H332" s="8" t="inlineStr">
        <is>
          <t>DAI-EL G912 (VDF/HFP/TFE)</t>
        </is>
      </c>
      <c r="I332" s="8" t="inlineStr">
        <is>
          <t>peroxide</t>
        </is>
      </c>
      <c r="J332" s="8" t="n">
        <v>100</v>
      </c>
      <c r="K332" s="8" t="n">
        <v>0</v>
      </c>
      <c r="L332" s="8" t="n">
        <v>10</v>
      </c>
      <c r="M332" s="8" t="n">
        <v>0</v>
      </c>
      <c r="N332" s="8" t="n">
        <v>0</v>
      </c>
      <c r="O332" s="8" t="n">
        <v>0</v>
      </c>
      <c r="P332" s="8" t="n">
        <v>0</v>
      </c>
      <c r="Q332" s="8" t="n">
        <v>0</v>
      </c>
      <c r="R332" s="8" t="n">
        <v>0</v>
      </c>
      <c r="S332" s="8" t="n">
        <v>4</v>
      </c>
      <c r="T332" s="8" t="n">
        <v>1.5</v>
      </c>
      <c r="U332" s="8" t="n">
        <v>0</v>
      </c>
      <c r="V332" s="8" t="n">
        <v>0</v>
      </c>
      <c r="W332" s="8" t="n">
        <v>0</v>
      </c>
      <c r="X332" s="8" t="n">
        <v>2</v>
      </c>
      <c r="Y332" s="8" t="inlineStr">
        <is>
          <t>vinyl-PFPE SIFEL X-71-359 1; PFPE oil Krytox GPL 107 1; silica AEROSIL R972 10; TAIC 4; Perhexa 25B 1.5 (PFPE liquids counted as processing aid)</t>
        </is>
      </c>
      <c r="Z332" s="8" t="n">
        <v>71</v>
      </c>
      <c r="AA332" s="8" t="n">
        <v>17.5</v>
      </c>
      <c r="AB332" s="8" t="n">
        <v>180</v>
      </c>
      <c r="AC332" s="8" t="n">
        <v>5.7</v>
      </c>
      <c r="AD332" s="8" t="n">
        <v>29</v>
      </c>
      <c r="AE332" s="8" t="inlineStr">
        <is>
          <t>200C x 72h, half-cut AS-214 O-ring (JIS K6262:2013)</t>
        </is>
      </c>
      <c r="AF332" s="8" t="n">
        <v>0.41</v>
      </c>
      <c r="AG332" s="8" t="inlineStr">
        <is>
          <t>O2+CF4 (50:1), RF 1500 W, 100 Pa, 30 min (Shinko Seiki compact etcher)</t>
        </is>
      </c>
      <c r="AH332" s="8" t="inlineStr">
        <is>
          <t>parts by mass; MPa; Shore A (type A durometer, JIS K6253-3)</t>
        </is>
      </c>
      <c r="AI332" s="8" t="inlineStr">
        <is>
          <t>Press 160C x 10 min, post-cure 200C x 4 h. Bleed-out rating A.</t>
        </is>
      </c>
    </row>
    <row r="333">
      <c r="A333" s="8" t="inlineStr">
        <is>
          <t>EP4249550A1</t>
        </is>
      </c>
      <c r="B333" s="8" t="inlineStr">
        <is>
          <t>patent</t>
        </is>
      </c>
      <c r="C333" s="8" t="inlineStr">
        <is>
          <t>Mitsubishi Cable Industries, Ltd.</t>
        </is>
      </c>
      <c r="D333" s="8" t="inlineStr">
        <is>
          <t>Fluorine rubber composition and rubber molded article formed using same</t>
        </is>
      </c>
      <c r="E333" s="8" t="inlineStr">
        <is>
          <t>https://patents.google.com/patent/EP4249550A1/en</t>
        </is>
      </c>
      <c r="F333" s="8" t="inlineStr">
        <is>
          <t>Example 8</t>
        </is>
      </c>
      <c r="G333" s="8" t="inlineStr">
        <is>
          <t>FKM</t>
        </is>
      </c>
      <c r="H333" s="8" t="inlineStr">
        <is>
          <t>DAI-EL G912 (VDF/HFP/TFE)</t>
        </is>
      </c>
      <c r="I333" s="8" t="inlineStr">
        <is>
          <t>peroxide</t>
        </is>
      </c>
      <c r="J333" s="8" t="n">
        <v>100</v>
      </c>
      <c r="K333" s="8" t="n">
        <v>0</v>
      </c>
      <c r="L333" s="8" t="n">
        <v>10</v>
      </c>
      <c r="M333" s="8" t="n">
        <v>0</v>
      </c>
      <c r="N333" s="8" t="n">
        <v>0</v>
      </c>
      <c r="O333" s="8" t="n">
        <v>0</v>
      </c>
      <c r="P333" s="8" t="n">
        <v>0</v>
      </c>
      <c r="Q333" s="8" t="n">
        <v>0</v>
      </c>
      <c r="R333" s="8" t="n">
        <v>0</v>
      </c>
      <c r="S333" s="8" t="n">
        <v>4</v>
      </c>
      <c r="T333" s="8" t="n">
        <v>1.5</v>
      </c>
      <c r="U333" s="8" t="n">
        <v>0</v>
      </c>
      <c r="V333" s="8" t="n">
        <v>0</v>
      </c>
      <c r="W333" s="8" t="n">
        <v>0</v>
      </c>
      <c r="X333" s="8" t="n">
        <v>6</v>
      </c>
      <c r="Y333" s="8" t="inlineStr">
        <is>
          <t>vinyl-PFPE SIFEL X-71-359 1; PFPE oil Fomblin Y 5; silica AEROSIL R972 10; TAIC 4; Perhexa 25B 1.5 (PFPE liquids counted as processing aid)</t>
        </is>
      </c>
      <c r="Z333" s="8" t="n">
        <v>68</v>
      </c>
      <c r="AA333" s="8" t="n">
        <v>17.4</v>
      </c>
      <c r="AB333" s="8" t="n">
        <v>190</v>
      </c>
      <c r="AC333" s="8" t="n">
        <v>5.4</v>
      </c>
      <c r="AD333" s="8" t="n">
        <v>33</v>
      </c>
      <c r="AE333" s="8" t="inlineStr">
        <is>
          <t>200C x 72h, half-cut AS-214 O-ring (JIS K6262:2013)</t>
        </is>
      </c>
      <c r="AF333" s="8" t="n">
        <v>0.19</v>
      </c>
      <c r="AG333" s="8" t="inlineStr">
        <is>
          <t>O2+CF4 (50:1), RF 1500 W, 100 Pa, 30 min (Shinko Seiki compact etcher)</t>
        </is>
      </c>
      <c r="AH333" s="8" t="inlineStr">
        <is>
          <t>parts by mass; MPa; Shore A (type A durometer, JIS K6253-3)</t>
        </is>
      </c>
      <c r="AI333" s="8" t="inlineStr">
        <is>
          <t>Press 160C x 10 min, post-cure 200C x 4 h. Bleed-out rating A.</t>
        </is>
      </c>
    </row>
    <row r="334">
      <c r="A334" s="8" t="inlineStr">
        <is>
          <t>EP4249550A1</t>
        </is>
      </c>
      <c r="B334" s="8" t="inlineStr">
        <is>
          <t>patent</t>
        </is>
      </c>
      <c r="C334" s="8" t="inlineStr">
        <is>
          <t>Mitsubishi Cable Industries, Ltd.</t>
        </is>
      </c>
      <c r="D334" s="8" t="inlineStr">
        <is>
          <t>Fluorine rubber composition and rubber molded article formed using same</t>
        </is>
      </c>
      <c r="E334" s="8" t="inlineStr">
        <is>
          <t>https://patents.google.com/patent/EP4249550A1/en</t>
        </is>
      </c>
      <c r="F334" s="8" t="inlineStr">
        <is>
          <t>Example 10</t>
        </is>
      </c>
      <c r="G334" s="8" t="inlineStr">
        <is>
          <t>FKM</t>
        </is>
      </c>
      <c r="H334" s="8" t="inlineStr">
        <is>
          <t>DAI-EL G912 (VDF/HFP/TFE)</t>
        </is>
      </c>
      <c r="I334" s="8" t="inlineStr">
        <is>
          <t>peroxide</t>
        </is>
      </c>
      <c r="J334" s="8" t="n">
        <v>100</v>
      </c>
      <c r="K334" s="8" t="n">
        <v>0</v>
      </c>
      <c r="L334" s="8" t="n">
        <v>0</v>
      </c>
      <c r="M334" s="8" t="n">
        <v>0</v>
      </c>
      <c r="N334" s="8" t="n">
        <v>0</v>
      </c>
      <c r="O334" s="8" t="n">
        <v>0</v>
      </c>
      <c r="P334" s="8" t="n">
        <v>0</v>
      </c>
      <c r="Q334" s="8" t="n">
        <v>0</v>
      </c>
      <c r="R334" s="8" t="n">
        <v>10</v>
      </c>
      <c r="S334" s="8" t="n">
        <v>4</v>
      </c>
      <c r="T334" s="8" t="n">
        <v>1.5</v>
      </c>
      <c r="U334" s="8" t="n">
        <v>0</v>
      </c>
      <c r="V334" s="8" t="n">
        <v>0</v>
      </c>
      <c r="W334" s="8" t="n">
        <v>0</v>
      </c>
      <c r="X334" s="8" t="n">
        <v>1</v>
      </c>
      <c r="Y334" s="8" t="inlineStr">
        <is>
          <t>vinyl-PFPE SIFEL X-71-359 1; phenolic resin powder BellPearl R100 10; TAIC 4; Perhexa 25B 1.5 (PFPE liquids counted as processing aid)</t>
        </is>
      </c>
      <c r="Z334" s="8" t="n">
        <v>64</v>
      </c>
      <c r="AA334" s="8" t="n">
        <v>17.1</v>
      </c>
      <c r="AB334" s="8" t="n">
        <v>180</v>
      </c>
      <c r="AC334" s="8" t="n">
        <v>4.8</v>
      </c>
      <c r="AD334" s="8" t="n">
        <v>21</v>
      </c>
      <c r="AE334" s="8" t="inlineStr">
        <is>
          <t>200C x 72h, half-cut AS-214 O-ring (JIS K6262:2013)</t>
        </is>
      </c>
      <c r="AF334" s="8" t="n">
        <v>0.6899999999999999</v>
      </c>
      <c r="AG334" s="8" t="inlineStr">
        <is>
          <t>O2+CF4 (50:1), RF 1500 W, 100 Pa, 30 min (Shinko Seiki compact etcher)</t>
        </is>
      </c>
      <c r="AH334" s="8" t="inlineStr">
        <is>
          <t>parts by mass; MPa; Shore A (type A durometer, JIS K6253-3)</t>
        </is>
      </c>
      <c r="AI334" s="8" t="inlineStr">
        <is>
          <t>Press 160C x 10 min, post-cure 200C x 4 h. Bleed-out rating A.</t>
        </is>
      </c>
    </row>
    <row r="335">
      <c r="A335" s="8" t="inlineStr">
        <is>
          <t>EP4249550A1</t>
        </is>
      </c>
      <c r="B335" s="8" t="inlineStr">
        <is>
          <t>patent</t>
        </is>
      </c>
      <c r="C335" s="8" t="inlineStr">
        <is>
          <t>Mitsubishi Cable Industries, Ltd.</t>
        </is>
      </c>
      <c r="D335" s="8" t="inlineStr">
        <is>
          <t>Fluorine rubber composition and rubber molded article formed using same</t>
        </is>
      </c>
      <c r="E335" s="8" t="inlineStr">
        <is>
          <t>https://patents.google.com/patent/EP4249550A1/en</t>
        </is>
      </c>
      <c r="F335" s="8" t="inlineStr">
        <is>
          <t>Example 11</t>
        </is>
      </c>
      <c r="G335" s="8" t="inlineStr">
        <is>
          <t>FKM</t>
        </is>
      </c>
      <c r="H335" s="8" t="inlineStr">
        <is>
          <t>DAI-EL G912 (VDF/HFP/TFE)</t>
        </is>
      </c>
      <c r="I335" s="8" t="inlineStr">
        <is>
          <t>peroxide</t>
        </is>
      </c>
      <c r="J335" s="8" t="n">
        <v>100</v>
      </c>
      <c r="K335" s="8" t="n">
        <v>0</v>
      </c>
      <c r="L335" s="8" t="n">
        <v>0</v>
      </c>
      <c r="M335" s="8" t="n">
        <v>0</v>
      </c>
      <c r="N335" s="8" t="n">
        <v>0</v>
      </c>
      <c r="O335" s="8" t="n">
        <v>0</v>
      </c>
      <c r="P335" s="8" t="n">
        <v>0</v>
      </c>
      <c r="Q335" s="8" t="n">
        <v>0</v>
      </c>
      <c r="R335" s="8" t="n">
        <v>10</v>
      </c>
      <c r="S335" s="8" t="n">
        <v>4</v>
      </c>
      <c r="T335" s="8" t="n">
        <v>1.5</v>
      </c>
      <c r="U335" s="8" t="n">
        <v>0</v>
      </c>
      <c r="V335" s="8" t="n">
        <v>0</v>
      </c>
      <c r="W335" s="8" t="n">
        <v>0</v>
      </c>
      <c r="X335" s="8" t="n">
        <v>1</v>
      </c>
      <c r="Y335" s="8" t="inlineStr">
        <is>
          <t>vinyl-PFPE SIFEL X-71-359 1; phenolic resin powder BellPearl R200 10; TAIC 4; Perhexa 25B 1.5 (PFPE liquids counted as processing aid)</t>
        </is>
      </c>
      <c r="Z335" s="8" t="n">
        <v>62</v>
      </c>
      <c r="AA335" s="8" t="n">
        <v>13.2</v>
      </c>
      <c r="AB335" s="8" t="n">
        <v>180</v>
      </c>
      <c r="AC335" s="8" t="n">
        <v>3.9</v>
      </c>
      <c r="AD335" s="8" t="n">
        <v>28</v>
      </c>
      <c r="AE335" s="8" t="inlineStr">
        <is>
          <t>200C x 72h, half-cut AS-214 O-ring (JIS K6262:2013)</t>
        </is>
      </c>
      <c r="AF335" s="8" t="n">
        <v>0.68</v>
      </c>
      <c r="AG335" s="8" t="inlineStr">
        <is>
          <t>O2+CF4 (50:1), RF 1500 W, 100 Pa, 30 min (Shinko Seiki compact etcher)</t>
        </is>
      </c>
      <c r="AH335" s="8" t="inlineStr">
        <is>
          <t>parts by mass; MPa; Shore A (type A durometer, JIS K6253-3)</t>
        </is>
      </c>
      <c r="AI335" s="8" t="inlineStr">
        <is>
          <t>Press 160C x 10 min, post-cure 200C x 4 h. Bleed-out rating A.</t>
        </is>
      </c>
    </row>
    <row r="336">
      <c r="A336" s="8" t="inlineStr">
        <is>
          <t>EP4249550A1</t>
        </is>
      </c>
      <c r="B336" s="8" t="inlineStr">
        <is>
          <t>patent</t>
        </is>
      </c>
      <c r="C336" s="8" t="inlineStr">
        <is>
          <t>Mitsubishi Cable Industries, Ltd.</t>
        </is>
      </c>
      <c r="D336" s="8" t="inlineStr">
        <is>
          <t>Fluorine rubber composition and rubber molded article formed using same</t>
        </is>
      </c>
      <c r="E336" s="8" t="inlineStr">
        <is>
          <t>https://patents.google.com/patent/EP4249550A1/en</t>
        </is>
      </c>
      <c r="F336" s="8" t="inlineStr">
        <is>
          <t>Example 12</t>
        </is>
      </c>
      <c r="G336" s="8" t="inlineStr">
        <is>
          <t>FKM</t>
        </is>
      </c>
      <c r="H336" s="8" t="inlineStr">
        <is>
          <t>DAI-EL G912 (VDF/HFP/TFE)</t>
        </is>
      </c>
      <c r="I336" s="8" t="inlineStr">
        <is>
          <t>peroxide</t>
        </is>
      </c>
      <c r="J336" s="8" t="n">
        <v>100</v>
      </c>
      <c r="K336" s="8" t="n">
        <v>0</v>
      </c>
      <c r="L336" s="8" t="n">
        <v>0</v>
      </c>
      <c r="M336" s="8" t="n">
        <v>0</v>
      </c>
      <c r="N336" s="8" t="n">
        <v>0</v>
      </c>
      <c r="O336" s="8" t="n">
        <v>0</v>
      </c>
      <c r="P336" s="8" t="n">
        <v>10</v>
      </c>
      <c r="Q336" s="8" t="n">
        <v>0</v>
      </c>
      <c r="R336" s="8" t="n">
        <v>0</v>
      </c>
      <c r="S336" s="8" t="n">
        <v>4</v>
      </c>
      <c r="T336" s="8" t="n">
        <v>1.5</v>
      </c>
      <c r="U336" s="8" t="n">
        <v>0</v>
      </c>
      <c r="V336" s="8" t="n">
        <v>0</v>
      </c>
      <c r="W336" s="8" t="n">
        <v>0</v>
      </c>
      <c r="X336" s="8" t="n">
        <v>1</v>
      </c>
      <c r="Y336" s="8" t="inlineStr">
        <is>
          <t>vinyl-PFPE SIFEL X-71-359 1; PVDF powder KYNAR MG15 10; TAIC 4; Perhexa 25B 1.5 (PFPE liquids counted as processing aid)</t>
        </is>
      </c>
      <c r="Z336" s="8" t="n">
        <v>63</v>
      </c>
      <c r="AA336" s="8" t="n">
        <v>13.9</v>
      </c>
      <c r="AB336" s="8" t="n">
        <v>310</v>
      </c>
      <c r="AC336" s="8" t="n">
        <v>2.6</v>
      </c>
      <c r="AD336" s="8" t="n">
        <v>29</v>
      </c>
      <c r="AE336" s="8" t="inlineStr">
        <is>
          <t>200C x 72h, half-cut AS-214 O-ring (JIS K6262:2013)</t>
        </is>
      </c>
      <c r="AF336" s="8" t="n">
        <v>0.59</v>
      </c>
      <c r="AG336" s="8" t="inlineStr">
        <is>
          <t>O2+CF4 (50:1), RF 1500 W, 100 Pa, 30 min (Shinko Seiki compact etcher)</t>
        </is>
      </c>
      <c r="AH336" s="8" t="inlineStr">
        <is>
          <t>parts by mass; MPa; Shore A (type A durometer, JIS K6253-3)</t>
        </is>
      </c>
      <c r="AI336" s="8" t="inlineStr">
        <is>
          <t>Press 160C x 10 min, post-cure 200C x 4 h. Bleed-out rating A.</t>
        </is>
      </c>
    </row>
    <row r="337">
      <c r="A337" s="8" t="inlineStr">
        <is>
          <t>EP4249550A1</t>
        </is>
      </c>
      <c r="B337" s="8" t="inlineStr">
        <is>
          <t>patent</t>
        </is>
      </c>
      <c r="C337" s="8" t="inlineStr">
        <is>
          <t>Mitsubishi Cable Industries, Ltd.</t>
        </is>
      </c>
      <c r="D337" s="8" t="inlineStr">
        <is>
          <t>Fluorine rubber composition and rubber molded article formed using same</t>
        </is>
      </c>
      <c r="E337" s="8" t="inlineStr">
        <is>
          <t>https://patents.google.com/patent/EP4249550A1/en</t>
        </is>
      </c>
      <c r="F337" s="8" t="inlineStr">
        <is>
          <t>Example 13</t>
        </is>
      </c>
      <c r="G337" s="8" t="inlineStr">
        <is>
          <t>FKM</t>
        </is>
      </c>
      <c r="H337" s="8" t="inlineStr">
        <is>
          <t>DAI-EL G912 (VDF/HFP/TFE)</t>
        </is>
      </c>
      <c r="I337" s="8" t="inlineStr">
        <is>
          <t>peroxide</t>
        </is>
      </c>
      <c r="J337" s="8" t="n">
        <v>100</v>
      </c>
      <c r="K337" s="8" t="n">
        <v>0</v>
      </c>
      <c r="L337" s="8" t="n">
        <v>0</v>
      </c>
      <c r="M337" s="8" t="n">
        <v>0</v>
      </c>
      <c r="N337" s="8" t="n">
        <v>0</v>
      </c>
      <c r="O337" s="8" t="n">
        <v>0</v>
      </c>
      <c r="P337" s="8" t="n">
        <v>0</v>
      </c>
      <c r="Q337" s="8" t="n">
        <v>0</v>
      </c>
      <c r="R337" s="8" t="n">
        <v>10</v>
      </c>
      <c r="S337" s="8" t="n">
        <v>4</v>
      </c>
      <c r="T337" s="8" t="n">
        <v>1.5</v>
      </c>
      <c r="U337" s="8" t="n">
        <v>0</v>
      </c>
      <c r="V337" s="8" t="n">
        <v>0</v>
      </c>
      <c r="W337" s="8" t="n">
        <v>0</v>
      </c>
      <c r="X337" s="8" t="n">
        <v>1</v>
      </c>
      <c r="Y337" s="8" t="inlineStr">
        <is>
          <t>vinyl-PFPE SIFEL X-71-359 1; PEEK powder VESTAKEEP 2000UFP10 10; TAIC 4; Perhexa 25B 1.5 (PFPE liquids counted as processing aid)</t>
        </is>
      </c>
      <c r="Z337" s="8" t="n">
        <v>64</v>
      </c>
      <c r="AA337" s="8" t="n">
        <v>9.6</v>
      </c>
      <c r="AB337" s="8" t="n">
        <v>240</v>
      </c>
      <c r="AC337" s="8" t="n">
        <v>4.2</v>
      </c>
      <c r="AD337" s="8" t="n">
        <v>38</v>
      </c>
      <c r="AE337" s="8" t="inlineStr">
        <is>
          <t>200C x 72h, half-cut AS-214 O-ring (JIS K6262:2013)</t>
        </is>
      </c>
      <c r="AF337" s="8" t="n">
        <v>0.63</v>
      </c>
      <c r="AG337" s="8" t="inlineStr">
        <is>
          <t>O2+CF4 (50:1), RF 1500 W, 100 Pa, 30 min (Shinko Seiki compact etcher)</t>
        </is>
      </c>
      <c r="AH337" s="8" t="inlineStr">
        <is>
          <t>parts by mass; MPa; Shore A (type A durometer, JIS K6253-3)</t>
        </is>
      </c>
      <c r="AI337" s="8" t="inlineStr">
        <is>
          <t>Press 160C x 10 min, post-cure 200C x 4 h. Bleed-out rating A.</t>
        </is>
      </c>
    </row>
    <row r="338">
      <c r="A338" s="8" t="inlineStr">
        <is>
          <t>EP4249550A1</t>
        </is>
      </c>
      <c r="B338" s="8" t="inlineStr">
        <is>
          <t>patent</t>
        </is>
      </c>
      <c r="C338" s="8" t="inlineStr">
        <is>
          <t>Mitsubishi Cable Industries, Ltd.</t>
        </is>
      </c>
      <c r="D338" s="8" t="inlineStr">
        <is>
          <t>Fluorine rubber composition and rubber molded article formed using same</t>
        </is>
      </c>
      <c r="E338" s="8" t="inlineStr">
        <is>
          <t>https://patents.google.com/patent/EP4249550A1/en</t>
        </is>
      </c>
      <c r="F338" s="8" t="inlineStr">
        <is>
          <t>Comparative Example 1</t>
        </is>
      </c>
      <c r="G338" s="8" t="inlineStr">
        <is>
          <t>FKM</t>
        </is>
      </c>
      <c r="H338" s="8" t="inlineStr">
        <is>
          <t>DAI-EL G912 (VDF/HFP/TFE)</t>
        </is>
      </c>
      <c r="I338" s="8" t="inlineStr">
        <is>
          <t>peroxide</t>
        </is>
      </c>
      <c r="J338" s="8" t="n">
        <v>100</v>
      </c>
      <c r="K338" s="8" t="n">
        <v>0</v>
      </c>
      <c r="L338" s="8" t="n">
        <v>0</v>
      </c>
      <c r="M338" s="8" t="n">
        <v>0</v>
      </c>
      <c r="N338" s="8" t="n">
        <v>0</v>
      </c>
      <c r="O338" s="8" t="n">
        <v>0</v>
      </c>
      <c r="P338" s="8" t="n">
        <v>0</v>
      </c>
      <c r="Q338" s="8" t="n">
        <v>0</v>
      </c>
      <c r="R338" s="8" t="n">
        <v>0</v>
      </c>
      <c r="S338" s="8" t="n">
        <v>4</v>
      </c>
      <c r="T338" s="8" t="n">
        <v>1.5</v>
      </c>
      <c r="U338" s="8" t="n">
        <v>0</v>
      </c>
      <c r="V338" s="8" t="n">
        <v>0</v>
      </c>
      <c r="W338" s="8" t="n">
        <v>0</v>
      </c>
      <c r="X338" s="8" t="n">
        <v>0</v>
      </c>
      <c r="Y338" s="8" t="inlineStr">
        <is>
          <t>TAIC 4; Perhexa 25B 1.5 (PFPE liquids counted as processing aid)</t>
        </is>
      </c>
      <c r="Z338" s="8" t="n">
        <v>57</v>
      </c>
      <c r="AA338" s="8" t="n">
        <v>14.7</v>
      </c>
      <c r="AB338" s="8" t="n">
        <v>340</v>
      </c>
      <c r="AC338" s="8" t="n">
        <v>1.4</v>
      </c>
      <c r="AD338" s="8" t="n">
        <v>30</v>
      </c>
      <c r="AE338" s="8" t="inlineStr">
        <is>
          <t>200C x 72h, half-cut AS-214 O-ring (JIS K6262:2013)</t>
        </is>
      </c>
      <c r="AF338" s="8" t="n">
        <v>1</v>
      </c>
      <c r="AG338" s="8" t="inlineStr">
        <is>
          <t>O2+CF4 (50:1), RF 1500 W, 100 Pa, 30 min (Shinko Seiki compact etcher)</t>
        </is>
      </c>
      <c r="AH338" s="8" t="inlineStr">
        <is>
          <t>parts by mass; MPa; Shore A (type A durometer, JIS K6253-3)</t>
        </is>
      </c>
      <c r="AI338" s="8" t="inlineStr">
        <is>
          <t>Press 160C x 10 min, post-cure 200C x 4 h. Bleed-out rating -.</t>
        </is>
      </c>
    </row>
    <row r="339">
      <c r="A339" s="8" t="inlineStr">
        <is>
          <t>EP4249550A1</t>
        </is>
      </c>
      <c r="B339" s="8" t="inlineStr">
        <is>
          <t>patent</t>
        </is>
      </c>
      <c r="C339" s="8" t="inlineStr">
        <is>
          <t>Mitsubishi Cable Industries, Ltd.</t>
        </is>
      </c>
      <c r="D339" s="8" t="inlineStr">
        <is>
          <t>Fluorine rubber composition and rubber molded article formed using same</t>
        </is>
      </c>
      <c r="E339" s="8" t="inlineStr">
        <is>
          <t>https://patents.google.com/patent/EP4249550A1/en</t>
        </is>
      </c>
      <c r="F339" s="8" t="inlineStr">
        <is>
          <t>Comparative Example 2</t>
        </is>
      </c>
      <c r="G339" s="8" t="inlineStr">
        <is>
          <t>FKM</t>
        </is>
      </c>
      <c r="H339" s="8" t="inlineStr">
        <is>
          <t>DAI-EL G912 (VDF/HFP/TFE)</t>
        </is>
      </c>
      <c r="I339" s="8" t="inlineStr">
        <is>
          <t>peroxide</t>
        </is>
      </c>
      <c r="J339" s="8" t="n">
        <v>100</v>
      </c>
      <c r="K339" s="8" t="n">
        <v>0</v>
      </c>
      <c r="L339" s="8" t="n">
        <v>0</v>
      </c>
      <c r="M339" s="8" t="n">
        <v>0</v>
      </c>
      <c r="N339" s="8" t="n">
        <v>0</v>
      </c>
      <c r="O339" s="8" t="n">
        <v>0</v>
      </c>
      <c r="P339" s="8" t="n">
        <v>0</v>
      </c>
      <c r="Q339" s="8" t="n">
        <v>0</v>
      </c>
      <c r="R339" s="8" t="n">
        <v>0</v>
      </c>
      <c r="S339" s="8" t="n">
        <v>4</v>
      </c>
      <c r="T339" s="8" t="n">
        <v>1.5</v>
      </c>
      <c r="U339" s="8" t="n">
        <v>0</v>
      </c>
      <c r="V339" s="8" t="n">
        <v>0</v>
      </c>
      <c r="W339" s="8" t="n">
        <v>0</v>
      </c>
      <c r="X339" s="8" t="n">
        <v>1</v>
      </c>
      <c r="Y339" s="8" t="inlineStr">
        <is>
          <t>vinyl-PFPE SIFEL X-71-359 1; TAIC 4; Perhexa 25B 1.5 (PFPE liquids counted as processing aid)</t>
        </is>
      </c>
      <c r="Z339" s="8" t="n">
        <v>57</v>
      </c>
      <c r="AA339" s="8" t="n">
        <v>13.3</v>
      </c>
      <c r="AB339" s="8" t="n">
        <v>330</v>
      </c>
      <c r="AC339" s="8" t="n">
        <v>1.3</v>
      </c>
      <c r="AD339" s="8" t="n">
        <v>33</v>
      </c>
      <c r="AE339" s="8" t="inlineStr">
        <is>
          <t>200C x 72h, half-cut AS-214 O-ring (JIS K6262:2013)</t>
        </is>
      </c>
      <c r="AF339" s="8" t="n">
        <v>0.17</v>
      </c>
      <c r="AG339" s="8" t="inlineStr">
        <is>
          <t>O2+CF4 (50:1), RF 1500 W, 100 Pa, 30 min (Shinko Seiki compact etcher)</t>
        </is>
      </c>
      <c r="AH339" s="8" t="inlineStr">
        <is>
          <t>parts by mass; MPa; Shore A (type A durometer, JIS K6253-3)</t>
        </is>
      </c>
      <c r="AI339" s="8" t="inlineStr">
        <is>
          <t>Press 160C x 10 min, post-cure 200C x 4 h. Bleed-out rating B.</t>
        </is>
      </c>
    </row>
    <row r="340">
      <c r="A340" s="8" t="inlineStr">
        <is>
          <t>EP4249550A1</t>
        </is>
      </c>
      <c r="B340" s="8" t="inlineStr">
        <is>
          <t>patent</t>
        </is>
      </c>
      <c r="C340" s="8" t="inlineStr">
        <is>
          <t>Mitsubishi Cable Industries, Ltd.</t>
        </is>
      </c>
      <c r="D340" s="8" t="inlineStr">
        <is>
          <t>Fluorine rubber composition and rubber molded article formed using same</t>
        </is>
      </c>
      <c r="E340" s="8" t="inlineStr">
        <is>
          <t>https://patents.google.com/patent/EP4249550A1/en</t>
        </is>
      </c>
      <c r="F340" s="8" t="inlineStr">
        <is>
          <t>Comparative Example 3</t>
        </is>
      </c>
      <c r="G340" s="8" t="inlineStr">
        <is>
          <t>FKM</t>
        </is>
      </c>
      <c r="H340" s="8" t="inlineStr">
        <is>
          <t>DAI-EL G912 (VDF/HFP/TFE)</t>
        </is>
      </c>
      <c r="I340" s="8" t="inlineStr">
        <is>
          <t>peroxide</t>
        </is>
      </c>
      <c r="J340" s="8" t="n">
        <v>100</v>
      </c>
      <c r="K340" s="8" t="n">
        <v>0</v>
      </c>
      <c r="L340" s="8" t="n">
        <v>10</v>
      </c>
      <c r="M340" s="8" t="n">
        <v>0</v>
      </c>
      <c r="N340" s="8" t="n">
        <v>0</v>
      </c>
      <c r="O340" s="8" t="n">
        <v>0</v>
      </c>
      <c r="P340" s="8" t="n">
        <v>0</v>
      </c>
      <c r="Q340" s="8" t="n">
        <v>0</v>
      </c>
      <c r="R340" s="8" t="n">
        <v>0</v>
      </c>
      <c r="S340" s="8" t="n">
        <v>4</v>
      </c>
      <c r="T340" s="8" t="n">
        <v>1.5</v>
      </c>
      <c r="U340" s="8" t="n">
        <v>0</v>
      </c>
      <c r="V340" s="8" t="n">
        <v>0</v>
      </c>
      <c r="W340" s="8" t="n">
        <v>0</v>
      </c>
      <c r="X340" s="8" t="n">
        <v>1</v>
      </c>
      <c r="Y340" s="8" t="inlineStr">
        <is>
          <t>PFPE oil Fomblin Y 1; silica AEROSIL R972 10; TAIC 4; Perhexa 25B 1.5 (PFPE liquids counted as processing aid)</t>
        </is>
      </c>
      <c r="Z340" s="8" t="n">
        <v>71</v>
      </c>
      <c r="AA340" s="8" t="n">
        <v>18.1</v>
      </c>
      <c r="AB340" s="8" t="n">
        <v>170</v>
      </c>
      <c r="AC340" s="8" t="n">
        <v>5.8</v>
      </c>
      <c r="AD340" s="8" t="n">
        <v>31</v>
      </c>
      <c r="AE340" s="8" t="inlineStr">
        <is>
          <t>200C x 72h, half-cut AS-214 O-ring (JIS K6262:2013)</t>
        </is>
      </c>
      <c r="AF340" s="8" t="n">
        <v>0.11</v>
      </c>
      <c r="AG340" s="8" t="inlineStr">
        <is>
          <t>O2+CF4 (50:1), RF 1500 W, 100 Pa, 30 min (Shinko Seiki compact etcher)</t>
        </is>
      </c>
      <c r="AH340" s="8" t="inlineStr">
        <is>
          <t>parts by mass; MPa; Shore A (type A durometer, JIS K6253-3)</t>
        </is>
      </c>
      <c r="AI340" s="8" t="inlineStr">
        <is>
          <t>Press 160C x 10 min, post-cure 200C x 4 h. Bleed-out rating B.</t>
        </is>
      </c>
    </row>
    <row r="341">
      <c r="A341" s="8" t="inlineStr">
        <is>
          <t>EP4249550A1</t>
        </is>
      </c>
      <c r="B341" s="8" t="inlineStr">
        <is>
          <t>patent</t>
        </is>
      </c>
      <c r="C341" s="8" t="inlineStr">
        <is>
          <t>Mitsubishi Cable Industries, Ltd.</t>
        </is>
      </c>
      <c r="D341" s="8" t="inlineStr">
        <is>
          <t>Fluorine rubber composition and rubber molded article formed using same</t>
        </is>
      </c>
      <c r="E341" s="8" t="inlineStr">
        <is>
          <t>https://patents.google.com/patent/EP4249550A1/en</t>
        </is>
      </c>
      <c r="F341" s="8" t="inlineStr">
        <is>
          <t>Comparative Example 4</t>
        </is>
      </c>
      <c r="G341" s="8" t="inlineStr">
        <is>
          <t>FKM</t>
        </is>
      </c>
      <c r="H341" s="8" t="inlineStr">
        <is>
          <t>DAI-EL G912 (VDF/HFP/TFE)</t>
        </is>
      </c>
      <c r="I341" s="8" t="inlineStr">
        <is>
          <t>peroxide</t>
        </is>
      </c>
      <c r="J341" s="8" t="n">
        <v>100</v>
      </c>
      <c r="K341" s="8" t="n">
        <v>0</v>
      </c>
      <c r="L341" s="8" t="n">
        <v>0</v>
      </c>
      <c r="M341" s="8" t="n">
        <v>0</v>
      </c>
      <c r="N341" s="8" t="n">
        <v>0</v>
      </c>
      <c r="O341" s="8" t="n">
        <v>0</v>
      </c>
      <c r="P341" s="8" t="n">
        <v>0</v>
      </c>
      <c r="Q341" s="8" t="n">
        <v>0</v>
      </c>
      <c r="R341" s="8" t="n">
        <v>10</v>
      </c>
      <c r="S341" s="8" t="n">
        <v>4</v>
      </c>
      <c r="T341" s="8" t="n">
        <v>1.5</v>
      </c>
      <c r="U341" s="8" t="n">
        <v>0</v>
      </c>
      <c r="V341" s="8" t="n">
        <v>0</v>
      </c>
      <c r="W341" s="8" t="n">
        <v>0</v>
      </c>
      <c r="X341" s="8" t="n">
        <v>1</v>
      </c>
      <c r="Y341" s="8" t="inlineStr">
        <is>
          <t>vinyl-PFPE SIFEL X-71-359 1; phenolic resin powder BellPearl R800 10; TAIC 4; Perhexa 25B 1.5 (PFPE liquids counted as processing aid)</t>
        </is>
      </c>
      <c r="Z341" s="8" t="n">
        <v>62</v>
      </c>
      <c r="AA341" s="8" t="n">
        <v>11.3</v>
      </c>
      <c r="AB341" s="8" t="n">
        <v>170</v>
      </c>
      <c r="AC341" s="8" t="n">
        <v>3.1</v>
      </c>
      <c r="AD341" s="8" t="n">
        <v>38</v>
      </c>
      <c r="AE341" s="8" t="inlineStr">
        <is>
          <t>200C x 72h, half-cut AS-214 O-ring (JIS K6262:2013)</t>
        </is>
      </c>
      <c r="AF341" s="8" t="n">
        <v>0.73</v>
      </c>
      <c r="AG341" s="8" t="inlineStr">
        <is>
          <t>O2+CF4 (50:1), RF 1500 W, 100 Pa, 30 min (Shinko Seiki compact etcher)</t>
        </is>
      </c>
      <c r="AH341" s="8" t="inlineStr">
        <is>
          <t>parts by mass; MPa; Shore A (type A durometer, JIS K6253-3)</t>
        </is>
      </c>
      <c r="AI341" s="8" t="inlineStr">
        <is>
          <t>Press 160C x 10 min, post-cure 200C x 4 h. Bleed-out rating A.</t>
        </is>
      </c>
    </row>
    <row r="342">
      <c r="A342" s="8" t="inlineStr">
        <is>
          <t>EP4249550A1</t>
        </is>
      </c>
      <c r="B342" s="8" t="inlineStr">
        <is>
          <t>patent</t>
        </is>
      </c>
      <c r="C342" s="8" t="inlineStr">
        <is>
          <t>Mitsubishi Cable Industries, Ltd.</t>
        </is>
      </c>
      <c r="D342" s="8" t="inlineStr">
        <is>
          <t>Fluorine rubber composition and rubber molded article formed using same</t>
        </is>
      </c>
      <c r="E342" s="8" t="inlineStr">
        <is>
          <t>https://patents.google.com/patent/EP4249550A1/en</t>
        </is>
      </c>
      <c r="F342" s="8" t="inlineStr">
        <is>
          <t>Comparative Example 5</t>
        </is>
      </c>
      <c r="G342" s="8" t="inlineStr">
        <is>
          <t>FKM</t>
        </is>
      </c>
      <c r="H342" s="8" t="inlineStr">
        <is>
          <t>DAI-EL G912 (VDF/HFP/TFE)</t>
        </is>
      </c>
      <c r="I342" s="8" t="inlineStr">
        <is>
          <t>peroxide</t>
        </is>
      </c>
      <c r="J342" s="8" t="n">
        <v>100</v>
      </c>
      <c r="K342" s="8" t="n">
        <v>0</v>
      </c>
      <c r="L342" s="8" t="n">
        <v>0</v>
      </c>
      <c r="M342" s="8" t="n">
        <v>0</v>
      </c>
      <c r="N342" s="8" t="n">
        <v>0</v>
      </c>
      <c r="O342" s="8" t="n">
        <v>0</v>
      </c>
      <c r="P342" s="8" t="n">
        <v>10</v>
      </c>
      <c r="Q342" s="8" t="n">
        <v>0</v>
      </c>
      <c r="R342" s="8" t="n">
        <v>0</v>
      </c>
      <c r="S342" s="8" t="n">
        <v>4</v>
      </c>
      <c r="T342" s="8" t="n">
        <v>1.5</v>
      </c>
      <c r="U342" s="8" t="n">
        <v>0</v>
      </c>
      <c r="V342" s="8" t="n">
        <v>0</v>
      </c>
      <c r="W342" s="8" t="n">
        <v>0</v>
      </c>
      <c r="X342" s="8" t="n">
        <v>1</v>
      </c>
      <c r="Y342" s="8" t="inlineStr">
        <is>
          <t>vinyl-PFPE SIFEL X-71-359 1; PTFE powder LUBRON L-5 10; TAIC 4; Perhexa 25B 1.5 (PFPE liquids counted as processing aid)</t>
        </is>
      </c>
      <c r="Z342" s="8" t="n">
        <v>59</v>
      </c>
      <c r="AA342" s="8" t="n">
        <v>13.9</v>
      </c>
      <c r="AB342" s="8" t="n">
        <v>320</v>
      </c>
      <c r="AC342" s="8" t="n">
        <v>1.8</v>
      </c>
      <c r="AD342" s="8" t="n">
        <v>29</v>
      </c>
      <c r="AE342" s="8" t="inlineStr">
        <is>
          <t>200C x 72h, half-cut AS-214 O-ring (JIS K6262:2013)</t>
        </is>
      </c>
      <c r="AF342" s="8" t="n">
        <v>0.29</v>
      </c>
      <c r="AG342" s="8" t="inlineStr">
        <is>
          <t>O2+CF4 (50:1), RF 1500 W, 100 Pa, 30 min (Shinko Seiki compact etcher)</t>
        </is>
      </c>
      <c r="AH342" s="8" t="inlineStr">
        <is>
          <t>parts by mass; MPa; Shore A (type A durometer, JIS K6253-3)</t>
        </is>
      </c>
      <c r="AI342" s="8" t="inlineStr">
        <is>
          <t>Press 160C x 10 min, post-cure 200C x 4 h. Bleed-out rating B.</t>
        </is>
      </c>
    </row>
    <row r="343">
      <c r="A343" s="8" t="inlineStr">
        <is>
          <t>EP4249550A1</t>
        </is>
      </c>
      <c r="B343" s="8" t="inlineStr">
        <is>
          <t>patent</t>
        </is>
      </c>
      <c r="C343" s="8" t="inlineStr">
        <is>
          <t>Mitsubishi Cable Industries, Ltd.</t>
        </is>
      </c>
      <c r="D343" s="8" t="inlineStr">
        <is>
          <t>Fluorine rubber composition and rubber molded article formed using same</t>
        </is>
      </c>
      <c r="E343" s="8" t="inlineStr">
        <is>
          <t>https://patents.google.com/patent/EP4249550A1/en</t>
        </is>
      </c>
      <c r="F343" s="8" t="inlineStr">
        <is>
          <t>Comparative Example 6</t>
        </is>
      </c>
      <c r="G343" s="8" t="inlineStr">
        <is>
          <t>FKM</t>
        </is>
      </c>
      <c r="H343" s="8" t="inlineStr">
        <is>
          <t>DAI-EL G912 (VDF/HFP/TFE)</t>
        </is>
      </c>
      <c r="I343" s="8" t="inlineStr">
        <is>
          <t>peroxide</t>
        </is>
      </c>
      <c r="J343" s="8" t="n">
        <v>100</v>
      </c>
      <c r="K343" s="8" t="n">
        <v>10</v>
      </c>
      <c r="L343" s="8" t="n">
        <v>0</v>
      </c>
      <c r="M343" s="8" t="n">
        <v>0</v>
      </c>
      <c r="N343" s="8" t="n">
        <v>0</v>
      </c>
      <c r="O343" s="8" t="n">
        <v>0</v>
      </c>
      <c r="P343" s="8" t="n">
        <v>0</v>
      </c>
      <c r="Q343" s="8" t="n">
        <v>0</v>
      </c>
      <c r="R343" s="8" t="n">
        <v>0</v>
      </c>
      <c r="S343" s="8" t="n">
        <v>4</v>
      </c>
      <c r="T343" s="8" t="n">
        <v>1.5</v>
      </c>
      <c r="U343" s="8" t="n">
        <v>0</v>
      </c>
      <c r="V343" s="8" t="n">
        <v>0</v>
      </c>
      <c r="W343" s="8" t="n">
        <v>0</v>
      </c>
      <c r="X343" s="8" t="n">
        <v>1</v>
      </c>
      <c r="Y343" s="8" t="inlineStr">
        <is>
          <t>vinyl-PFPE SIFEL X-71-359 1; MT carbon black Thermax N990 10; TAIC 4; Perhexa 25B 1.5 (PFPE liquids counted as processing aid)</t>
        </is>
      </c>
      <c r="Z343" s="8" t="n">
        <v>63</v>
      </c>
      <c r="AA343" s="8" t="n">
        <v>18.9</v>
      </c>
      <c r="AB343" s="8" t="n">
        <v>190</v>
      </c>
      <c r="AC343" s="8" t="n">
        <v>4.3</v>
      </c>
      <c r="AD343" s="8" t="n">
        <v>29</v>
      </c>
      <c r="AE343" s="8" t="inlineStr">
        <is>
          <t>200C x 72h, half-cut AS-214 O-ring (JIS K6262:2013)</t>
        </is>
      </c>
      <c r="AF343" s="8" t="n">
        <v>0.96</v>
      </c>
      <c r="AG343" s="8" t="inlineStr">
        <is>
          <t>O2+CF4 (50:1), RF 1500 W, 100 Pa, 30 min (Shinko Seiki compact etcher)</t>
        </is>
      </c>
      <c r="AH343" s="8" t="inlineStr">
        <is>
          <t>parts by mass; MPa; Shore A (type A durometer, JIS K6253-3)</t>
        </is>
      </c>
      <c r="AI343" s="8" t="inlineStr">
        <is>
          <t>Press 160C x 10 min, post-cure 200C x 4 h. Bleed-out rating A.</t>
        </is>
      </c>
    </row>
    <row r="344">
      <c r="A344" s="8" t="inlineStr">
        <is>
          <t>EP4249550A1</t>
        </is>
      </c>
      <c r="B344" s="8" t="inlineStr">
        <is>
          <t>patent</t>
        </is>
      </c>
      <c r="C344" s="8" t="inlineStr">
        <is>
          <t>Mitsubishi Cable Industries, Ltd.</t>
        </is>
      </c>
      <c r="D344" s="8" t="inlineStr">
        <is>
          <t>Fluorine rubber composition and rubber molded article formed using same</t>
        </is>
      </c>
      <c r="E344" s="8" t="inlineStr">
        <is>
          <t>https://patents.google.com/patent/EP4249550A1/en</t>
        </is>
      </c>
      <c r="F344" s="8" t="inlineStr">
        <is>
          <t>Comparative Example 7</t>
        </is>
      </c>
      <c r="G344" s="8" t="inlineStr">
        <is>
          <t>FKM</t>
        </is>
      </c>
      <c r="H344" s="8" t="inlineStr">
        <is>
          <t>DAI-EL G912 (VDF/HFP/TFE)</t>
        </is>
      </c>
      <c r="I344" s="8" t="inlineStr">
        <is>
          <t>peroxide</t>
        </is>
      </c>
      <c r="J344" s="8" t="n">
        <v>100</v>
      </c>
      <c r="K344" s="8" t="n">
        <v>0</v>
      </c>
      <c r="L344" s="8" t="n">
        <v>0.2</v>
      </c>
      <c r="M344" s="8" t="n">
        <v>0</v>
      </c>
      <c r="N344" s="8" t="n">
        <v>0</v>
      </c>
      <c r="O344" s="8" t="n">
        <v>0</v>
      </c>
      <c r="P344" s="8" t="n">
        <v>0</v>
      </c>
      <c r="Q344" s="8" t="n">
        <v>0</v>
      </c>
      <c r="R344" s="8" t="n">
        <v>0</v>
      </c>
      <c r="S344" s="8" t="n">
        <v>4</v>
      </c>
      <c r="T344" s="8" t="n">
        <v>1.5</v>
      </c>
      <c r="U344" s="8" t="n">
        <v>0</v>
      </c>
      <c r="V344" s="8" t="n">
        <v>0</v>
      </c>
      <c r="W344" s="8" t="n">
        <v>0</v>
      </c>
      <c r="X344" s="8" t="n">
        <v>2</v>
      </c>
      <c r="Y344" s="8" t="inlineStr">
        <is>
          <t>vinyl-PFPE SIFEL X-71-359 1; PFPE oil Fomblin Y 1; silica AEROSIL R972 0.2; TAIC 4; Perhexa 25B 1.5 (PFPE liquids counted as processing aid)</t>
        </is>
      </c>
      <c r="Z344" s="8" t="n">
        <v>57</v>
      </c>
      <c r="AA344" s="8" t="n">
        <v>13.8</v>
      </c>
      <c r="AB344" s="8" t="n">
        <v>350</v>
      </c>
      <c r="AC344" s="8" t="n">
        <v>1.4</v>
      </c>
      <c r="AD344" s="8" t="n">
        <v>33</v>
      </c>
      <c r="AE344" s="8" t="inlineStr">
        <is>
          <t>200C x 72h, half-cut AS-214 O-ring (JIS K6262:2013)</t>
        </is>
      </c>
      <c r="AF344" s="8" t="n">
        <v>0.19</v>
      </c>
      <c r="AG344" s="8" t="inlineStr">
        <is>
          <t>O2+CF4 (50:1), RF 1500 W, 100 Pa, 30 min (Shinko Seiki compact etcher)</t>
        </is>
      </c>
      <c r="AH344" s="8" t="inlineStr">
        <is>
          <t>parts by mass; MPa; Shore A (type A durometer, JIS K6253-3)</t>
        </is>
      </c>
      <c r="AI344" s="8" t="inlineStr">
        <is>
          <t>Press 160C x 10 min, post-cure 200C x 4 h. Bleed-out rating B.</t>
        </is>
      </c>
    </row>
    <row r="345">
      <c r="A345" s="8" t="inlineStr">
        <is>
          <t>EP4249550A1</t>
        </is>
      </c>
      <c r="B345" s="8" t="inlineStr">
        <is>
          <t>patent</t>
        </is>
      </c>
      <c r="C345" s="8" t="inlineStr">
        <is>
          <t>Mitsubishi Cable Industries, Ltd.</t>
        </is>
      </c>
      <c r="D345" s="8" t="inlineStr">
        <is>
          <t>Fluorine rubber composition and rubber molded article formed using same</t>
        </is>
      </c>
      <c r="E345" s="8" t="inlineStr">
        <is>
          <t>https://patents.google.com/patent/EP4249550A1/en</t>
        </is>
      </c>
      <c r="F345" s="8" t="inlineStr">
        <is>
          <t>Example 9</t>
        </is>
      </c>
      <c r="G345" s="8" t="inlineStr">
        <is>
          <t>FKM</t>
        </is>
      </c>
      <c r="H345" s="8" t="inlineStr">
        <is>
          <t>DAI-EL G912 (VDF/HFP/TFE)</t>
        </is>
      </c>
      <c r="I345" s="8" t="inlineStr">
        <is>
          <t>peroxide</t>
        </is>
      </c>
      <c r="J345" s="8" t="n">
        <v>100</v>
      </c>
      <c r="K345" s="8" t="n">
        <v>0</v>
      </c>
      <c r="L345" s="8" t="n">
        <v>0.11</v>
      </c>
      <c r="M345" s="8" t="n">
        <v>0</v>
      </c>
      <c r="N345" s="8" t="n">
        <v>0</v>
      </c>
      <c r="O345" s="8" t="n">
        <v>0</v>
      </c>
      <c r="P345" s="8" t="n">
        <v>0</v>
      </c>
      <c r="Q345" s="8" t="n">
        <v>0</v>
      </c>
      <c r="R345" s="8" t="n">
        <v>0</v>
      </c>
      <c r="S345" s="8" t="n">
        <v>4</v>
      </c>
      <c r="T345" s="8" t="n">
        <v>1.5</v>
      </c>
      <c r="U345" s="8" t="n">
        <v>0</v>
      </c>
      <c r="V345" s="8" t="n">
        <v>0</v>
      </c>
      <c r="W345" s="8" t="n">
        <v>0</v>
      </c>
      <c r="X345" s="8" t="n">
        <v>0.89</v>
      </c>
      <c r="Y345" s="8" t="inlineStr">
        <is>
          <t>SIFEL X-71-369-N 1 part = vinyl-PFPE compound 2 0.89 + silica 0.11; TAIC 4; Perhexa 25B 1.5 (PFPE counted as processing aid)</t>
        </is>
      </c>
      <c r="Z345" s="8" t="n">
        <v>57</v>
      </c>
      <c r="AA345" s="8" t="n">
        <v>14</v>
      </c>
      <c r="AB345" s="8" t="n">
        <v>340</v>
      </c>
      <c r="AC345" s="8" t="n">
        <v>1.4</v>
      </c>
      <c r="AD345" s="8" t="n">
        <v>31</v>
      </c>
      <c r="AE345" s="8" t="inlineStr">
        <is>
          <t>200C x 72h, half-cut AS-214 O-ring (JIS K6262:2013)</t>
        </is>
      </c>
      <c r="AF345" s="8" t="n">
        <v>0.67</v>
      </c>
      <c r="AG345" s="8" t="inlineStr">
        <is>
          <t>O2+CF4 (50:1), RF 1500 W, 100 Pa, 30 min (Shinko Seiki compact etcher)</t>
        </is>
      </c>
      <c r="AH345" s="8" t="inlineStr">
        <is>
          <t>parts by mass; MPa; Shore A (type A durometer, JIS K6253-3)</t>
        </is>
      </c>
      <c r="AI345" s="8" t="inlineStr">
        <is>
          <t>Press 160C x 10 min, post-cure 200C x 4 h. Bleed-out rating A.</t>
        </is>
      </c>
    </row>
    <row r="346">
      <c r="A346" s="8" t="inlineStr">
        <is>
          <t>US7666948B2</t>
        </is>
      </c>
      <c r="B346" s="8" t="inlineStr">
        <is>
          <t>patent</t>
        </is>
      </c>
      <c r="C346" s="8" t="inlineStr">
        <is>
          <t>Nichias Corporation</t>
        </is>
      </c>
      <c r="D346" s="8" t="inlineStr">
        <is>
          <t>Elastomer composition and molded body</t>
        </is>
      </c>
      <c r="E346" s="8" t="inlineStr">
        <is>
          <t>https://patents.google.com/patent/US7666948B2/en</t>
        </is>
      </c>
      <c r="F346" s="8" t="inlineStr">
        <is>
          <t>Example 1</t>
        </is>
      </c>
      <c r="G346" s="8" t="inlineStr">
        <is>
          <t>OTHER</t>
        </is>
      </c>
      <c r="H346" s="8" t="inlineStr">
        <is>
          <t>FFKM/FKM blend: DAI-EL Perfluoro GA-05 (Daikin) 50 + VITON TR-8605 (DuPont) as printed 50</t>
        </is>
      </c>
      <c r="I346" s="8" t="inlineStr">
        <is>
          <t>peroxide</t>
        </is>
      </c>
      <c r="J346" s="8" t="n">
        <v>100</v>
      </c>
      <c r="K346" s="8" t="n">
        <v>0</v>
      </c>
      <c r="L346" s="8" t="n">
        <v>0</v>
      </c>
      <c r="M346" s="8" t="n">
        <v>0</v>
      </c>
      <c r="N346" s="8" t="n">
        <v>0</v>
      </c>
      <c r="O346" s="8" t="n">
        <v>0</v>
      </c>
      <c r="P346" s="8" t="n">
        <v>0</v>
      </c>
      <c r="Q346" s="8" t="n">
        <v>0</v>
      </c>
      <c r="R346" s="8" t="n">
        <v>0</v>
      </c>
      <c r="S346" s="8" t="n">
        <v>1</v>
      </c>
      <c r="T346" s="8" t="n">
        <v>1</v>
      </c>
      <c r="U346" s="8" t="n">
        <v>0</v>
      </c>
      <c r="V346" s="8" t="n">
        <v>0</v>
      </c>
      <c r="W346" s="8" t="n">
        <v>0</v>
      </c>
      <c r="X346" s="8" t="n">
        <v>0</v>
      </c>
      <c r="Y346" s="8" t="inlineStr">
        <is>
          <t>no filler; Perhexa 25B 1.0; TAIC 1.0</t>
        </is>
      </c>
      <c r="Z346" s="8" t="n"/>
      <c r="AA346" s="8" t="n">
        <v>9.039999999999999</v>
      </c>
      <c r="AB346" s="8" t="n">
        <v>360</v>
      </c>
      <c r="AC346" s="8" t="n">
        <v>1.05</v>
      </c>
      <c r="AD346" s="8" t="n"/>
      <c r="AE346" s="8" t="n"/>
      <c r="AF346" s="8" t="n">
        <v>0.75</v>
      </c>
      <c r="AG346" s="8" t="inlineStr">
        <is>
          <t>O2+CF4 surface-wave plasma (Shinko Seiki), 133 Pa, 3 kW, 2 h; 2 mm sheet, 13 mm dia</t>
        </is>
      </c>
      <c r="AH346" s="8" t="inlineStr">
        <is>
          <t>parts by weight; MPa</t>
        </is>
      </c>
      <c r="AI346" s="8" t="inlineStr">
        <is>
          <t>Press 160C x 10 min, post-cure 180C x 4 h. Hardness/CS not reported. Tensile at 100C 1.23 MPa, elongation at 100C 132%. Avg aggregate size 0.8 um.</t>
        </is>
      </c>
    </row>
    <row r="347">
      <c r="A347" s="8" t="inlineStr">
        <is>
          <t>US7666948B2</t>
        </is>
      </c>
      <c r="B347" s="8" t="inlineStr">
        <is>
          <t>patent</t>
        </is>
      </c>
      <c r="C347" s="8" t="inlineStr">
        <is>
          <t>Nichias Corporation</t>
        </is>
      </c>
      <c r="D347" s="8" t="inlineStr">
        <is>
          <t>Elastomer composition and molded body</t>
        </is>
      </c>
      <c r="E347" s="8" t="inlineStr">
        <is>
          <t>https://patents.google.com/patent/US7666948B2/en</t>
        </is>
      </c>
      <c r="F347" s="8" t="inlineStr">
        <is>
          <t>Example 2</t>
        </is>
      </c>
      <c r="G347" s="8" t="inlineStr">
        <is>
          <t>OTHER</t>
        </is>
      </c>
      <c r="H347" s="8" t="inlineStr">
        <is>
          <t>FFKM/FKM blend: DAI-EL Perfluoro GA-05 (Daikin) 25 + VITON TR-8605 (DuPont) as printed 75</t>
        </is>
      </c>
      <c r="I347" s="8" t="inlineStr">
        <is>
          <t>peroxide</t>
        </is>
      </c>
      <c r="J347" s="8" t="n">
        <v>100</v>
      </c>
      <c r="K347" s="8" t="n">
        <v>0</v>
      </c>
      <c r="L347" s="8" t="n">
        <v>0</v>
      </c>
      <c r="M347" s="8" t="n">
        <v>0</v>
      </c>
      <c r="N347" s="8" t="n">
        <v>0</v>
      </c>
      <c r="O347" s="8" t="n">
        <v>0</v>
      </c>
      <c r="P347" s="8" t="n">
        <v>0</v>
      </c>
      <c r="Q347" s="8" t="n">
        <v>0</v>
      </c>
      <c r="R347" s="8" t="n">
        <v>0</v>
      </c>
      <c r="S347" s="8" t="n">
        <v>1</v>
      </c>
      <c r="T347" s="8" t="n">
        <v>1</v>
      </c>
      <c r="U347" s="8" t="n">
        <v>0</v>
      </c>
      <c r="V347" s="8" t="n">
        <v>0</v>
      </c>
      <c r="W347" s="8" t="n">
        <v>0</v>
      </c>
      <c r="X347" s="8" t="n">
        <v>0</v>
      </c>
      <c r="Y347" s="8" t="inlineStr">
        <is>
          <t>no filler; Perhexa 25B 1.0; TAIC 1.0</t>
        </is>
      </c>
      <c r="Z347" s="8" t="n"/>
      <c r="AA347" s="8" t="n">
        <v>6.48</v>
      </c>
      <c r="AB347" s="8" t="n">
        <v>340</v>
      </c>
      <c r="AC347" s="8" t="n">
        <v>1.05</v>
      </c>
      <c r="AD347" s="8" t="n"/>
      <c r="AE347" s="8" t="n"/>
      <c r="AF347" s="8" t="n">
        <v>1.89</v>
      </c>
      <c r="AG347" s="8" t="inlineStr">
        <is>
          <t>O2+CF4 surface-wave plasma (Shinko Seiki), 133 Pa, 3 kW, 2 h; 2 mm sheet, 13 mm dia</t>
        </is>
      </c>
      <c r="AH347" s="8" t="inlineStr">
        <is>
          <t>parts by weight; MPa</t>
        </is>
      </c>
      <c r="AI347" s="8" t="inlineStr">
        <is>
          <t>Press 160C x 10 min, post-cure 180C x 4 h. Hardness/CS not reported. Tensile at 100C 1.4 MPa, elongation at 100C 140%. Avg aggregate size 1.3 um.</t>
        </is>
      </c>
    </row>
    <row r="348">
      <c r="A348" s="8" t="inlineStr">
        <is>
          <t>US7666948B2</t>
        </is>
      </c>
      <c r="B348" s="8" t="inlineStr">
        <is>
          <t>patent</t>
        </is>
      </c>
      <c r="C348" s="8" t="inlineStr">
        <is>
          <t>Nichias Corporation</t>
        </is>
      </c>
      <c r="D348" s="8" t="inlineStr">
        <is>
          <t>Elastomer composition and molded body</t>
        </is>
      </c>
      <c r="E348" s="8" t="inlineStr">
        <is>
          <t>https://patents.google.com/patent/US7666948B2/en</t>
        </is>
      </c>
      <c r="F348" s="8" t="inlineStr">
        <is>
          <t>Example 3</t>
        </is>
      </c>
      <c r="G348" s="8" t="inlineStr">
        <is>
          <t>OTHER</t>
        </is>
      </c>
      <c r="H348" s="8" t="inlineStr">
        <is>
          <t>FFKM/FKM blend: DAI-EL Perfluoro GA-05 (Daikin) 5 + VITON TR-8605 (DuPont) as printed 95</t>
        </is>
      </c>
      <c r="I348" s="8" t="inlineStr">
        <is>
          <t>peroxide</t>
        </is>
      </c>
      <c r="J348" s="8" t="n">
        <v>100</v>
      </c>
      <c r="K348" s="8" t="n">
        <v>0</v>
      </c>
      <c r="L348" s="8" t="n">
        <v>0</v>
      </c>
      <c r="M348" s="8" t="n">
        <v>0</v>
      </c>
      <c r="N348" s="8" t="n">
        <v>0</v>
      </c>
      <c r="O348" s="8" t="n">
        <v>0</v>
      </c>
      <c r="P348" s="8" t="n">
        <v>0</v>
      </c>
      <c r="Q348" s="8" t="n">
        <v>0</v>
      </c>
      <c r="R348" s="8" t="n">
        <v>0</v>
      </c>
      <c r="S348" s="8" t="n">
        <v>1</v>
      </c>
      <c r="T348" s="8" t="n">
        <v>1</v>
      </c>
      <c r="U348" s="8" t="n">
        <v>0</v>
      </c>
      <c r="V348" s="8" t="n">
        <v>0</v>
      </c>
      <c r="W348" s="8" t="n">
        <v>0</v>
      </c>
      <c r="X348" s="8" t="n">
        <v>0</v>
      </c>
      <c r="Y348" s="8" t="inlineStr">
        <is>
          <t>no filler; Perhexa 25B 1.0; TAIC 1.0</t>
        </is>
      </c>
      <c r="Z348" s="8" t="n"/>
      <c r="AA348" s="8" t="n">
        <v>10.3</v>
      </c>
      <c r="AB348" s="8" t="n">
        <v>380</v>
      </c>
      <c r="AC348" s="8" t="n">
        <v>1.13</v>
      </c>
      <c r="AD348" s="8" t="n"/>
      <c r="AE348" s="8" t="n"/>
      <c r="AF348" s="8" t="n">
        <v>3.92</v>
      </c>
      <c r="AG348" s="8" t="inlineStr">
        <is>
          <t>O2+CF4 surface-wave plasma (Shinko Seiki), 133 Pa, 3 kW, 2 h; 2 mm sheet, 13 mm dia</t>
        </is>
      </c>
      <c r="AH348" s="8" t="inlineStr">
        <is>
          <t>parts by weight; MPa</t>
        </is>
      </c>
      <c r="AI348" s="8" t="inlineStr">
        <is>
          <t>Press 160C x 10 min, post-cure 180C x 4 h. Hardness/CS not reported. Tensile at 100C 1.21 MPa, elongation at 100C 111%. Avg aggregate size 0.5 um.</t>
        </is>
      </c>
    </row>
    <row r="349">
      <c r="A349" s="8" t="inlineStr">
        <is>
          <t>US7666948B2</t>
        </is>
      </c>
      <c r="B349" s="8" t="inlineStr">
        <is>
          <t>patent</t>
        </is>
      </c>
      <c r="C349" s="8" t="inlineStr">
        <is>
          <t>Nichias Corporation</t>
        </is>
      </c>
      <c r="D349" s="8" t="inlineStr">
        <is>
          <t>Elastomer composition and molded body</t>
        </is>
      </c>
      <c r="E349" s="8" t="inlineStr">
        <is>
          <t>https://patents.google.com/patent/US7666948B2/en</t>
        </is>
      </c>
      <c r="F349" s="8" t="inlineStr">
        <is>
          <t>Comparative Example 1</t>
        </is>
      </c>
      <c r="G349" s="8" t="inlineStr">
        <is>
          <t>FFKM</t>
        </is>
      </c>
      <c r="H349" s="8" t="inlineStr">
        <is>
          <t>DAI-EL Perfluoro GA-05 (Daikin)</t>
        </is>
      </c>
      <c r="I349" s="8" t="inlineStr">
        <is>
          <t>peroxide</t>
        </is>
      </c>
      <c r="J349" s="8" t="n">
        <v>100</v>
      </c>
      <c r="K349" s="8" t="n">
        <v>0</v>
      </c>
      <c r="L349" s="8" t="n">
        <v>0</v>
      </c>
      <c r="M349" s="8" t="n">
        <v>0</v>
      </c>
      <c r="N349" s="8" t="n">
        <v>0</v>
      </c>
      <c r="O349" s="8" t="n">
        <v>0</v>
      </c>
      <c r="P349" s="8" t="n">
        <v>0</v>
      </c>
      <c r="Q349" s="8" t="n">
        <v>0</v>
      </c>
      <c r="R349" s="8" t="n">
        <v>0</v>
      </c>
      <c r="S349" s="8" t="n">
        <v>1</v>
      </c>
      <c r="T349" s="8" t="n">
        <v>1</v>
      </c>
      <c r="U349" s="8" t="n">
        <v>0</v>
      </c>
      <c r="V349" s="8" t="n">
        <v>0</v>
      </c>
      <c r="W349" s="8" t="n">
        <v>0</v>
      </c>
      <c r="X349" s="8" t="n">
        <v>0</v>
      </c>
      <c r="Y349" s="8" t="inlineStr">
        <is>
          <t>no filler; Perhexa 25B 1.0; TAIC 1.0</t>
        </is>
      </c>
      <c r="Z349" s="8" t="n"/>
      <c r="AA349" s="8" t="n">
        <v>4.36</v>
      </c>
      <c r="AB349" s="8" t="n">
        <v>270</v>
      </c>
      <c r="AC349" s="8" t="n">
        <v>1.01</v>
      </c>
      <c r="AD349" s="8" t="n"/>
      <c r="AE349" s="8" t="n"/>
      <c r="AF349" s="8" t="n">
        <v>0.05</v>
      </c>
      <c r="AG349" s="8" t="inlineStr">
        <is>
          <t>O2+CF4 surface-wave plasma (Shinko Seiki), 133 Pa, 3 kW, 2 h; 2 mm sheet, 13 mm dia</t>
        </is>
      </c>
      <c r="AH349" s="8" t="inlineStr">
        <is>
          <t>parts by weight; MPa</t>
        </is>
      </c>
      <c r="AI349" s="8" t="inlineStr">
        <is>
          <t>Press 160C x 10 min, post-cure 180C x 4 h. Hardness/CS not reported. Tensile at 100C 0.93 MPa, elongation at 100C 110%.</t>
        </is>
      </c>
    </row>
    <row r="350">
      <c r="A350" s="8" t="inlineStr">
        <is>
          <t>US7666948B2</t>
        </is>
      </c>
      <c r="B350" s="8" t="inlineStr">
        <is>
          <t>patent</t>
        </is>
      </c>
      <c r="C350" s="8" t="inlineStr">
        <is>
          <t>Nichias Corporation</t>
        </is>
      </c>
      <c r="D350" s="8" t="inlineStr">
        <is>
          <t>Elastomer composition and molded body</t>
        </is>
      </c>
      <c r="E350" s="8" t="inlineStr">
        <is>
          <t>https://patents.google.com/patent/US7666948B2/en</t>
        </is>
      </c>
      <c r="F350" s="8" t="inlineStr">
        <is>
          <t>Comparative Example 2</t>
        </is>
      </c>
      <c r="G350" s="8" t="inlineStr">
        <is>
          <t>OTHER</t>
        </is>
      </c>
      <c r="H350" s="8" t="inlineStr">
        <is>
          <t>FFKM/FKM blend: DAI-EL Perfluoro GA-05 (Daikin) 0.1 + VITON TR-8605 (DuPont) as printed 99.9</t>
        </is>
      </c>
      <c r="I350" s="8" t="inlineStr">
        <is>
          <t>peroxide</t>
        </is>
      </c>
      <c r="J350" s="8" t="n">
        <v>100</v>
      </c>
      <c r="K350" s="8" t="n">
        <v>0</v>
      </c>
      <c r="L350" s="8" t="n">
        <v>0</v>
      </c>
      <c r="M350" s="8" t="n">
        <v>0</v>
      </c>
      <c r="N350" s="8" t="n">
        <v>0</v>
      </c>
      <c r="O350" s="8" t="n">
        <v>0</v>
      </c>
      <c r="P350" s="8" t="n">
        <v>0</v>
      </c>
      <c r="Q350" s="8" t="n">
        <v>0</v>
      </c>
      <c r="R350" s="8" t="n">
        <v>0</v>
      </c>
      <c r="S350" s="8" t="n">
        <v>1</v>
      </c>
      <c r="T350" s="8" t="n">
        <v>1</v>
      </c>
      <c r="U350" s="8" t="n">
        <v>0</v>
      </c>
      <c r="V350" s="8" t="n">
        <v>0</v>
      </c>
      <c r="W350" s="8" t="n">
        <v>0</v>
      </c>
      <c r="X350" s="8" t="n">
        <v>0</v>
      </c>
      <c r="Y350" s="8" t="inlineStr">
        <is>
          <t>no filler; Perhexa 25B 1.0; TAIC 1.0</t>
        </is>
      </c>
      <c r="Z350" s="8" t="n"/>
      <c r="AA350" s="8" t="n">
        <v>5.03</v>
      </c>
      <c r="AB350" s="8" t="n">
        <v>330</v>
      </c>
      <c r="AC350" s="8" t="n">
        <v>1.08</v>
      </c>
      <c r="AD350" s="8" t="n"/>
      <c r="AE350" s="8" t="n"/>
      <c r="AF350" s="8" t="n">
        <v>10.1</v>
      </c>
      <c r="AG350" s="8" t="inlineStr">
        <is>
          <t>O2+CF4 surface-wave plasma (Shinko Seiki), 133 Pa, 3 kW, 2 h; 2 mm sheet, 13 mm dia</t>
        </is>
      </c>
      <c r="AH350" s="8" t="inlineStr">
        <is>
          <t>parts by weight; MPa</t>
        </is>
      </c>
      <c r="AI350" s="8" t="inlineStr">
        <is>
          <t>Press 160C x 10 min, post-cure 180C x 4 h. Hardness/CS not reported.</t>
        </is>
      </c>
    </row>
    <row r="351">
      <c r="A351" s="8" t="inlineStr">
        <is>
          <t>US7666948B2</t>
        </is>
      </c>
      <c r="B351" s="8" t="inlineStr">
        <is>
          <t>patent</t>
        </is>
      </c>
      <c r="C351" s="8" t="inlineStr">
        <is>
          <t>Nichias Corporation</t>
        </is>
      </c>
      <c r="D351" s="8" t="inlineStr">
        <is>
          <t>Elastomer composition and molded body</t>
        </is>
      </c>
      <c r="E351" s="8" t="inlineStr">
        <is>
          <t>https://patents.google.com/patent/US7666948B2/en</t>
        </is>
      </c>
      <c r="F351" s="8" t="inlineStr">
        <is>
          <t>Comparative Example 3</t>
        </is>
      </c>
      <c r="G351" s="8" t="inlineStr">
        <is>
          <t>OTHER</t>
        </is>
      </c>
      <c r="H351" s="8" t="inlineStr">
        <is>
          <t>FFKM/FKM blend: DAI-EL Perfluoro GA-05 (Daikin) 25 + VITON TR-8605 (DuPont) as printed 75</t>
        </is>
      </c>
      <c r="I351" s="8" t="inlineStr">
        <is>
          <t>peroxide</t>
        </is>
      </c>
      <c r="J351" s="8" t="n">
        <v>100</v>
      </c>
      <c r="K351" s="8" t="n">
        <v>0</v>
      </c>
      <c r="L351" s="8" t="n">
        <v>0</v>
      </c>
      <c r="M351" s="8" t="n">
        <v>0</v>
      </c>
      <c r="N351" s="8" t="n">
        <v>0</v>
      </c>
      <c r="O351" s="8" t="n">
        <v>0</v>
      </c>
      <c r="P351" s="8" t="n">
        <v>0</v>
      </c>
      <c r="Q351" s="8" t="n">
        <v>0</v>
      </c>
      <c r="R351" s="8" t="n">
        <v>0</v>
      </c>
      <c r="S351" s="8" t="n">
        <v>1</v>
      </c>
      <c r="T351" s="8" t="n">
        <v>1</v>
      </c>
      <c r="U351" s="8" t="n">
        <v>0</v>
      </c>
      <c r="V351" s="8" t="n">
        <v>0</v>
      </c>
      <c r="W351" s="8" t="n">
        <v>0</v>
      </c>
      <c r="X351" s="8" t="n">
        <v>0</v>
      </c>
      <c r="Y351" s="8" t="inlineStr">
        <is>
          <t>no filler; Perhexa 25B 1.0; TAIC 1.0</t>
        </is>
      </c>
      <c r="Z351" s="8" t="n"/>
      <c r="AA351" s="8" t="n">
        <v>4.23</v>
      </c>
      <c r="AB351" s="8" t="n">
        <v>260</v>
      </c>
      <c r="AC351" s="8" t="n">
        <v>1</v>
      </c>
      <c r="AD351" s="8" t="n"/>
      <c r="AE351" s="8" t="n"/>
      <c r="AF351" s="8" t="n">
        <v>4.2</v>
      </c>
      <c r="AG351" s="8" t="inlineStr">
        <is>
          <t>O2+CF4 surface-wave plasma (Shinko Seiki), 133 Pa, 3 kW, 2 h; 2 mm sheet, 13 mm dia</t>
        </is>
      </c>
      <c r="AH351" s="8" t="inlineStr">
        <is>
          <t>parts by weight; MPa</t>
        </is>
      </c>
      <c r="AI351" s="8" t="inlineStr">
        <is>
          <t>Press 160C x 10 min, post-cure 180C x 4 h. Hardness/CS not reported. Tensile at 100C 0.92 MPa, elongation at 100C 105%. Avg aggregate size 20.5 um. Same ratio as Example 2 but longer/shorter mixing gave coarse aggregates.</t>
        </is>
      </c>
    </row>
    <row r="352">
      <c r="A352" s="8" t="inlineStr">
        <is>
          <t>US7666948B2</t>
        </is>
      </c>
      <c r="B352" s="8" t="inlineStr">
        <is>
          <t>patent</t>
        </is>
      </c>
      <c r="C352" s="8" t="inlineStr">
        <is>
          <t>Nichias Corporation</t>
        </is>
      </c>
      <c r="D352" s="8" t="inlineStr">
        <is>
          <t>Elastomer composition and molded body</t>
        </is>
      </c>
      <c r="E352" s="8" t="inlineStr">
        <is>
          <t>https://patents.google.com/patent/US7666948B2/en</t>
        </is>
      </c>
      <c r="F352" s="8" t="inlineStr">
        <is>
          <t>Comparative Example 4</t>
        </is>
      </c>
      <c r="G352" s="8" t="inlineStr">
        <is>
          <t>FKM</t>
        </is>
      </c>
      <c r="H352" s="8" t="inlineStr">
        <is>
          <t>VITON TR-8605 (DuPont) as printed</t>
        </is>
      </c>
      <c r="I352" s="8" t="inlineStr">
        <is>
          <t>peroxide</t>
        </is>
      </c>
      <c r="J352" s="8" t="n">
        <v>100</v>
      </c>
      <c r="K352" s="8" t="n">
        <v>0</v>
      </c>
      <c r="L352" s="8" t="n">
        <v>0</v>
      </c>
      <c r="M352" s="8" t="n">
        <v>0</v>
      </c>
      <c r="N352" s="8" t="n">
        <v>0</v>
      </c>
      <c r="O352" s="8" t="n">
        <v>0</v>
      </c>
      <c r="P352" s="8" t="n">
        <v>0</v>
      </c>
      <c r="Q352" s="8" t="n">
        <v>0</v>
      </c>
      <c r="R352" s="8" t="n">
        <v>0</v>
      </c>
      <c r="S352" s="8" t="n">
        <v>1</v>
      </c>
      <c r="T352" s="8" t="n">
        <v>1</v>
      </c>
      <c r="U352" s="8" t="n">
        <v>0</v>
      </c>
      <c r="V352" s="8" t="n">
        <v>0</v>
      </c>
      <c r="W352" s="8" t="n">
        <v>0</v>
      </c>
      <c r="X352" s="8" t="n">
        <v>0</v>
      </c>
      <c r="Y352" s="8" t="inlineStr">
        <is>
          <t>no filler; Perhexa 25B 1.0; TAIC 1.0</t>
        </is>
      </c>
      <c r="Z352" s="8" t="n"/>
      <c r="AA352" s="8" t="n">
        <v>4.86</v>
      </c>
      <c r="AB352" s="8" t="n">
        <v>330</v>
      </c>
      <c r="AC352" s="8" t="n">
        <v>1.08</v>
      </c>
      <c r="AD352" s="8" t="n"/>
      <c r="AE352" s="8" t="n"/>
      <c r="AF352" s="8" t="n">
        <v>11.5</v>
      </c>
      <c r="AG352" s="8" t="inlineStr">
        <is>
          <t>O2+CF4 surface-wave plasma (Shinko Seiki), 133 Pa, 3 kW, 2 h; 2 mm sheet, 13 mm dia</t>
        </is>
      </c>
      <c r="AH352" s="8" t="inlineStr">
        <is>
          <t>parts by weight; MPa</t>
        </is>
      </c>
      <c r="AI352" s="8" t="inlineStr">
        <is>
          <t>Press 160C x 10 min, post-cure 180C x 4 h. Hardness/CS not reported. Tensile at 100C 1.19 MPa, elongation at 100C 108%.</t>
        </is>
      </c>
    </row>
    <row r="353">
      <c r="A353" s="8" t="inlineStr">
        <is>
          <t>US7666948B2</t>
        </is>
      </c>
      <c r="B353" s="8" t="inlineStr">
        <is>
          <t>patent</t>
        </is>
      </c>
      <c r="C353" s="8" t="inlineStr">
        <is>
          <t>Nichias Corporation</t>
        </is>
      </c>
      <c r="D353" s="8" t="inlineStr">
        <is>
          <t>Elastomer composition and molded body</t>
        </is>
      </c>
      <c r="E353" s="8" t="inlineStr">
        <is>
          <t>https://patents.google.com/patent/US7666948B2/en</t>
        </is>
      </c>
      <c r="F353" s="8" t="inlineStr">
        <is>
          <t>Example 4</t>
        </is>
      </c>
      <c r="G353" s="8" t="inlineStr">
        <is>
          <t>OTHER</t>
        </is>
      </c>
      <c r="H353" s="8" t="inlineStr">
        <is>
          <t>FFKM/silicone blend: DAI-EL Perfluoro GA-05 (Daikin) 50 + KE-941-U (Shin-Etsu VMQ) 50</t>
        </is>
      </c>
      <c r="I353" s="8" t="inlineStr">
        <is>
          <t>peroxide</t>
        </is>
      </c>
      <c r="J353" s="8" t="n">
        <v>100</v>
      </c>
      <c r="K353" s="8" t="n">
        <v>0</v>
      </c>
      <c r="L353" s="8" t="n">
        <v>0</v>
      </c>
      <c r="M353" s="8" t="n">
        <v>0</v>
      </c>
      <c r="N353" s="8" t="n">
        <v>0</v>
      </c>
      <c r="O353" s="8" t="n">
        <v>0</v>
      </c>
      <c r="P353" s="8" t="n">
        <v>0</v>
      </c>
      <c r="Q353" s="8" t="n">
        <v>0</v>
      </c>
      <c r="R353" s="8" t="n">
        <v>0</v>
      </c>
      <c r="S353" s="8" t="n">
        <v>0.5</v>
      </c>
      <c r="T353" s="8" t="n">
        <v>1.5</v>
      </c>
      <c r="U353" s="8" t="n">
        <v>0</v>
      </c>
      <c r="V353" s="8" t="n">
        <v>0</v>
      </c>
      <c r="W353" s="8" t="n">
        <v>0</v>
      </c>
      <c r="X353" s="8" t="n">
        <v>0</v>
      </c>
      <c r="Y353" s="8" t="inlineStr">
        <is>
          <t>no filler; Perhexa 25B 0.5 + Shin-Etsu C8 1.0 (peroxide total 1.5); TAIC 0.5</t>
        </is>
      </c>
      <c r="Z353" s="8" t="n"/>
      <c r="AA353" s="8" t="n">
        <v>7.24</v>
      </c>
      <c r="AB353" s="8" t="n">
        <v>390</v>
      </c>
      <c r="AC353" s="8" t="n">
        <v>0.96</v>
      </c>
      <c r="AD353" s="8" t="n"/>
      <c r="AE353" s="8" t="n"/>
      <c r="AF353" s="8" t="n">
        <v>0.64</v>
      </c>
      <c r="AG353" s="8" t="inlineStr">
        <is>
          <t>O2+CF4 surface-wave plasma (Shinko Seiki), 133 Pa, 3 kW, 2 h; 2 mm sheet, 13 mm dia</t>
        </is>
      </c>
      <c r="AH353" s="8" t="inlineStr">
        <is>
          <t>parts by weight; MPa</t>
        </is>
      </c>
      <c r="AI353" s="8" t="inlineStr">
        <is>
          <t>Press 160C x 10 min, post-cure 180C x 4 h. Tensile at 100C 2.41 MPa, elongation at 100C 210%. Avg aggregate 1.8 um.</t>
        </is>
      </c>
    </row>
    <row r="354">
      <c r="A354" s="8" t="inlineStr">
        <is>
          <t>US7666948B2</t>
        </is>
      </c>
      <c r="B354" s="8" t="inlineStr">
        <is>
          <t>patent</t>
        </is>
      </c>
      <c r="C354" s="8" t="inlineStr">
        <is>
          <t>Nichias Corporation</t>
        </is>
      </c>
      <c r="D354" s="8" t="inlineStr">
        <is>
          <t>Elastomer composition and molded body</t>
        </is>
      </c>
      <c r="E354" s="8" t="inlineStr">
        <is>
          <t>https://patents.google.com/patent/US7666948B2/en</t>
        </is>
      </c>
      <c r="F354" s="8" t="inlineStr">
        <is>
          <t>Example 5</t>
        </is>
      </c>
      <c r="G354" s="8" t="inlineStr">
        <is>
          <t>OTHER</t>
        </is>
      </c>
      <c r="H354" s="8" t="inlineStr">
        <is>
          <t>FFKM/EPDM blend: DAI-EL Perfluoro GA-05 (Daikin) 75 + EP51 (JSR EPDM) 25</t>
        </is>
      </c>
      <c r="I354" s="8" t="inlineStr">
        <is>
          <t>peroxide</t>
        </is>
      </c>
      <c r="J354" s="8" t="n">
        <v>100</v>
      </c>
      <c r="K354" s="8" t="n">
        <v>0</v>
      </c>
      <c r="L354" s="8" t="n">
        <v>0</v>
      </c>
      <c r="M354" s="8" t="n">
        <v>0</v>
      </c>
      <c r="N354" s="8" t="n">
        <v>0</v>
      </c>
      <c r="O354" s="8" t="n">
        <v>0</v>
      </c>
      <c r="P354" s="8" t="n">
        <v>0</v>
      </c>
      <c r="Q354" s="8" t="n">
        <v>0</v>
      </c>
      <c r="R354" s="8" t="n">
        <v>0</v>
      </c>
      <c r="S354" s="8" t="n">
        <v>0.75</v>
      </c>
      <c r="T354" s="8" t="n">
        <v>1</v>
      </c>
      <c r="U354" s="8" t="n">
        <v>0</v>
      </c>
      <c r="V354" s="8" t="n">
        <v>0</v>
      </c>
      <c r="W354" s="8" t="n">
        <v>0</v>
      </c>
      <c r="X354" s="8" t="n">
        <v>0</v>
      </c>
      <c r="Y354" s="8" t="inlineStr">
        <is>
          <t>no filler; Perhexa 25B 0.75 + Percumyl D 0.25 (peroxide total 1.0); TAIC 0.75</t>
        </is>
      </c>
      <c r="Z354" s="8" t="n"/>
      <c r="AA354" s="8" t="n">
        <v>7.38</v>
      </c>
      <c r="AB354" s="8" t="n">
        <v>390</v>
      </c>
      <c r="AC354" s="8" t="n">
        <v>1.11</v>
      </c>
      <c r="AD354" s="8" t="n"/>
      <c r="AE354" s="8" t="n"/>
      <c r="AF354" s="8" t="n">
        <v>2.5</v>
      </c>
      <c r="AG354" s="8" t="inlineStr">
        <is>
          <t>O2+CF4 surface-wave plasma (Shinko Seiki), 133 Pa, 3 kW, 2 h; 2 mm sheet, 13 mm dia</t>
        </is>
      </c>
      <c r="AH354" s="8" t="inlineStr">
        <is>
          <t>parts by weight; MPa</t>
        </is>
      </c>
      <c r="AI354" s="8" t="inlineStr">
        <is>
          <t>Press 160C x 10 min, post-cure 180C x 4 h. Tensile at 100C 1.64 MPa, elongation at 100C 200%. Avg aggregate 1.1 um.</t>
        </is>
      </c>
    </row>
    <row r="355">
      <c r="A355" s="8" t="inlineStr">
        <is>
          <t>KR100894110B1</t>
        </is>
      </c>
      <c r="B355" s="8" t="inlineStr">
        <is>
          <t>patent</t>
        </is>
      </c>
      <c r="C355" s="8" t="inlineStr">
        <is>
          <t>M&amp;E Co., Ltd. (주식회사 엠앤이)</t>
        </is>
      </c>
      <c r="D355" s="8" t="inlineStr">
        <is>
          <t>Perfluoro rubbers for semiconductor sealing with improved elongation</t>
        </is>
      </c>
      <c r="E355" s="8" t="inlineStr">
        <is>
          <t>https://patents.google.com/patent/KR100894110B1/en</t>
        </is>
      </c>
      <c r="F355" s="8" t="inlineStr">
        <is>
          <t>Comparative Example 1</t>
        </is>
      </c>
      <c r="G355" s="8" t="inlineStr">
        <is>
          <t>FFKM</t>
        </is>
      </c>
      <c r="H355" s="8" t="inlineStr">
        <is>
          <t>perfluororubber raw material (unspecified)</t>
        </is>
      </c>
      <c r="I355" s="8" t="inlineStr">
        <is>
          <t>peroxide</t>
        </is>
      </c>
      <c r="J355" s="8" t="n">
        <v>100</v>
      </c>
      <c r="K355" s="8" t="n">
        <v>0</v>
      </c>
      <c r="L355" s="8" t="n">
        <v>0</v>
      </c>
      <c r="M355" s="8" t="n">
        <v>0</v>
      </c>
      <c r="N355" s="8" t="n">
        <v>10</v>
      </c>
      <c r="O355" s="8" t="n">
        <v>10</v>
      </c>
      <c r="P355" s="8" t="n">
        <v>0</v>
      </c>
      <c r="Q355" s="8" t="n">
        <v>0</v>
      </c>
      <c r="R355" s="8" t="n">
        <v>0</v>
      </c>
      <c r="S355" s="8" t="n">
        <v>3</v>
      </c>
      <c r="T355" s="8" t="n">
        <v>1</v>
      </c>
      <c r="U355" s="8" t="n">
        <v>0</v>
      </c>
      <c r="V355" s="8" t="n">
        <v>0</v>
      </c>
      <c r="W355" s="8" t="n">
        <v>5</v>
      </c>
      <c r="X355" s="8" t="n">
        <v>0</v>
      </c>
      <c r="Y355" s="8" t="inlineStr">
        <is>
          <t>TiO2; BaSO4; ZnO 5 (in acid_acceptor); TAIC 3; unspecified peroxide compound 1</t>
        </is>
      </c>
      <c r="Z355" s="8" t="n"/>
      <c r="AA355" s="8" t="n"/>
      <c r="AB355" s="8" t="n">
        <v>186</v>
      </c>
      <c r="AC355" s="8" t="n"/>
      <c r="AD355" s="8" t="n"/>
      <c r="AE355" s="8" t="n"/>
      <c r="AF355" s="8" t="n"/>
      <c r="AG355" s="8" t="n"/>
      <c r="AH355" s="8" t="inlineStr">
        <is>
          <t>phr; elongation %</t>
        </is>
      </c>
      <c r="AI355" s="8" t="inlineStr">
        <is>
          <t>White (non-black) FFKM/FKM seal compounds for semiconductor equipment. Only elongation at break reported (avg of 3 specimens, read from text; curves in Figs 1-3); BaSO4 varied to match hardness between compounds but hardness values not given. Peroxide/TAIC types not specified.</t>
        </is>
      </c>
    </row>
    <row r="356">
      <c r="A356" s="8" t="inlineStr">
        <is>
          <t>KR100894110B1</t>
        </is>
      </c>
      <c r="B356" s="8" t="inlineStr">
        <is>
          <t>patent</t>
        </is>
      </c>
      <c r="C356" s="8" t="inlineStr">
        <is>
          <t>M&amp;E Co., Ltd. (주식회사 엠앤이)</t>
        </is>
      </c>
      <c r="D356" s="8" t="inlineStr">
        <is>
          <t>Perfluoro rubbers for semiconductor sealing with improved elongation</t>
        </is>
      </c>
      <c r="E356" s="8" t="inlineStr">
        <is>
          <t>https://patents.google.com/patent/KR100894110B1/en</t>
        </is>
      </c>
      <c r="F356" s="8" t="inlineStr">
        <is>
          <t>Comparative Example 2</t>
        </is>
      </c>
      <c r="G356" s="8" t="inlineStr">
        <is>
          <t>FKM</t>
        </is>
      </c>
      <c r="H356" s="8" t="inlineStr">
        <is>
          <t>ternary (terpolymer) fluororubber raw material (unspecified)</t>
        </is>
      </c>
      <c r="I356" s="8" t="inlineStr">
        <is>
          <t>peroxide</t>
        </is>
      </c>
      <c r="J356" s="8" t="n">
        <v>100</v>
      </c>
      <c r="K356" s="8" t="n">
        <v>0</v>
      </c>
      <c r="L356" s="8" t="n">
        <v>0</v>
      </c>
      <c r="M356" s="8" t="n">
        <v>0</v>
      </c>
      <c r="N356" s="8" t="n">
        <v>20</v>
      </c>
      <c r="O356" s="8" t="n">
        <v>10</v>
      </c>
      <c r="P356" s="8" t="n">
        <v>0</v>
      </c>
      <c r="Q356" s="8" t="n">
        <v>0</v>
      </c>
      <c r="R356" s="8" t="n">
        <v>0</v>
      </c>
      <c r="S356" s="8" t="n">
        <v>3</v>
      </c>
      <c r="T356" s="8" t="n">
        <v>1</v>
      </c>
      <c r="U356" s="8" t="n">
        <v>0</v>
      </c>
      <c r="V356" s="8" t="n">
        <v>0</v>
      </c>
      <c r="W356" s="8" t="n">
        <v>5</v>
      </c>
      <c r="X356" s="8" t="n">
        <v>0</v>
      </c>
      <c r="Y356" s="8" t="inlineStr">
        <is>
          <t>TiO2; BaSO4; ZnO 5 (in acid_acceptor); TAIC 3; unspecified peroxide compound 1</t>
        </is>
      </c>
      <c r="Z356" s="8" t="n"/>
      <c r="AA356" s="8" t="n"/>
      <c r="AB356" s="8" t="n">
        <v>367</v>
      </c>
      <c r="AC356" s="8" t="n"/>
      <c r="AD356" s="8" t="n"/>
      <c r="AE356" s="8" t="n"/>
      <c r="AF356" s="8" t="n"/>
      <c r="AG356" s="8" t="n"/>
      <c r="AH356" s="8" t="inlineStr">
        <is>
          <t>phr; elongation %</t>
        </is>
      </c>
      <c r="AI356" s="8" t="inlineStr">
        <is>
          <t>White (non-black) FFKM/FKM seal compounds for semiconductor equipment. Only elongation at break reported (avg of 3 specimens, read from text; curves in Figs 1-3); BaSO4 varied to match hardness between compounds but hardness values not given. Peroxide/TAIC types not specified.</t>
        </is>
      </c>
    </row>
    <row r="357">
      <c r="A357" s="8" t="inlineStr">
        <is>
          <t>KR100894110B1</t>
        </is>
      </c>
      <c r="B357" s="8" t="inlineStr">
        <is>
          <t>patent</t>
        </is>
      </c>
      <c r="C357" s="8" t="inlineStr">
        <is>
          <t>M&amp;E Co., Ltd. (주식회사 엠앤이)</t>
        </is>
      </c>
      <c r="D357" s="8" t="inlineStr">
        <is>
          <t>Perfluoro rubbers for semiconductor sealing with improved elongation</t>
        </is>
      </c>
      <c r="E357" s="8" t="inlineStr">
        <is>
          <t>https://patents.google.com/patent/KR100894110B1/en</t>
        </is>
      </c>
      <c r="F357" s="8" t="inlineStr">
        <is>
          <t>Example 1</t>
        </is>
      </c>
      <c r="G357" s="8" t="inlineStr">
        <is>
          <t>OTHER</t>
        </is>
      </c>
      <c r="H357" s="8" t="inlineStr">
        <is>
          <t>FFKM 70 / ternary FKM 30 blend (unspecified grades)</t>
        </is>
      </c>
      <c r="I357" s="8" t="inlineStr">
        <is>
          <t>peroxide</t>
        </is>
      </c>
      <c r="J357" s="8" t="n">
        <v>100</v>
      </c>
      <c r="K357" s="8" t="n">
        <v>0</v>
      </c>
      <c r="L357" s="8" t="n">
        <v>0</v>
      </c>
      <c r="M357" s="8" t="n">
        <v>0</v>
      </c>
      <c r="N357" s="8" t="n">
        <v>15</v>
      </c>
      <c r="O357" s="8" t="n">
        <v>10</v>
      </c>
      <c r="P357" s="8" t="n">
        <v>0</v>
      </c>
      <c r="Q357" s="8" t="n">
        <v>0</v>
      </c>
      <c r="R357" s="8" t="n">
        <v>0</v>
      </c>
      <c r="S357" s="8" t="n">
        <v>3</v>
      </c>
      <c r="T357" s="8" t="n">
        <v>1</v>
      </c>
      <c r="U357" s="8" t="n">
        <v>0</v>
      </c>
      <c r="V357" s="8" t="n">
        <v>0</v>
      </c>
      <c r="W357" s="8" t="n">
        <v>5</v>
      </c>
      <c r="X357" s="8" t="n">
        <v>0</v>
      </c>
      <c r="Y357" s="8" t="inlineStr">
        <is>
          <t>TiO2; BaSO4; ZnO 5 (in acid_acceptor); TAIC 3; unspecified peroxide compound 1</t>
        </is>
      </c>
      <c r="Z357" s="8" t="n"/>
      <c r="AA357" s="8" t="n"/>
      <c r="AB357" s="8" t="n">
        <v>290</v>
      </c>
      <c r="AC357" s="8" t="n"/>
      <c r="AD357" s="8" t="n"/>
      <c r="AE357" s="8" t="n"/>
      <c r="AF357" s="8" t="n"/>
      <c r="AG357" s="8" t="n"/>
      <c r="AH357" s="8" t="inlineStr">
        <is>
          <t>phr; elongation %</t>
        </is>
      </c>
      <c r="AI357" s="8" t="inlineStr">
        <is>
          <t>White (non-black) FFKM/FKM seal compounds for semiconductor equipment. Only elongation at break reported (avg of 3 specimens, read from text; curves in Figs 1-3); BaSO4 varied to match hardness between compounds but hardness values not given. Peroxide/TAIC types not specified.</t>
        </is>
      </c>
    </row>
    <row r="358">
      <c r="A358" s="8" t="inlineStr">
        <is>
          <t>KR102400335B1</t>
        </is>
      </c>
      <c r="B358" s="8" t="inlineStr">
        <is>
          <t>patent</t>
        </is>
      </c>
      <c r="C358" s="8" t="inlineStr">
        <is>
          <t>M&amp;E Co., Ltd. (주식회사 엠앤이)</t>
        </is>
      </c>
      <c r="D358" s="8" t="inlineStr">
        <is>
          <t>Sealing material for semiconductor manufacturing apparatus with improved plasma resistance in oxygen-atmosphere and fluorine-atmosphere plasma processes</t>
        </is>
      </c>
      <c r="E358" s="8" t="inlineStr">
        <is>
          <t>https://patents.google.com/patent/KR102400335B1/en</t>
        </is>
      </c>
      <c r="F358" s="8" t="inlineStr">
        <is>
          <t>Comparative Example</t>
        </is>
      </c>
      <c r="G358" s="8" t="inlineStr">
        <is>
          <t>FFKM</t>
        </is>
      </c>
      <c r="H358" s="8" t="inlineStr">
        <is>
          <t>TFE/perfluoroalkyl vinyl ether FFKM (commercial, unspecified)</t>
        </is>
      </c>
      <c r="I358" s="8" t="n"/>
      <c r="J358" s="8" t="n">
        <v>100</v>
      </c>
      <c r="K358" s="8" t="n">
        <v>0</v>
      </c>
      <c r="L358" s="8" t="n">
        <v>20</v>
      </c>
      <c r="M358" s="8" t="n">
        <v>0</v>
      </c>
      <c r="N358" s="8" t="n">
        <v>0</v>
      </c>
      <c r="O358" s="8" t="n">
        <v>0</v>
      </c>
      <c r="P358" s="8" t="n">
        <v>0</v>
      </c>
      <c r="Q358" s="8" t="n">
        <v>0</v>
      </c>
      <c r="R358" s="8" t="n">
        <v>0</v>
      </c>
      <c r="S358" s="8" t="n"/>
      <c r="T358" s="8" t="n"/>
      <c r="U358" s="8" t="n"/>
      <c r="V358" s="8" t="n">
        <v>5</v>
      </c>
      <c r="W358" s="8" t="n">
        <v>0</v>
      </c>
      <c r="X358" s="8" t="n">
        <v>0</v>
      </c>
      <c r="Y358" s="8" t="inlineStr">
        <is>
          <t>other_curative = crosslink agent 3 + catalyst 2 phr (types not specified)</t>
        </is>
      </c>
      <c r="Z358" s="8" t="n">
        <v>75</v>
      </c>
      <c r="AA358" s="8" t="n"/>
      <c r="AB358" s="8" t="n">
        <v>250</v>
      </c>
      <c r="AC358" s="8" t="n"/>
      <c r="AD358" s="8" t="n">
        <v>29</v>
      </c>
      <c r="AE358" s="8" t="inlineStr">
        <is>
          <t>204C x 70h, 25% compression, AS214 O-ring</t>
        </is>
      </c>
      <c r="AF358" s="8" t="n">
        <v>4.02</v>
      </c>
      <c r="AG358" s="8" t="inlineStr">
        <is>
          <t>O2 plasma, 300 mm parallel-plate, 150 sccm, RF 1100, 400 mTorr, 30 min</t>
        </is>
      </c>
      <c r="AH358" s="8" t="inlineStr">
        <is>
          <t>composition in wt% of total (converted to phr on FFKM; patent itself states crosslinker 3 phr + catalyst 2 phr); tensile/M100 units not stated</t>
        </is>
      </c>
      <c r="AI358" s="8" t="inlineStr">
        <is>
          <t>wt%: FFKM 80, silica 16, Y-compound 0, crosslinker 2.4, catalyst 1.6. Tensile strength 120 and 100% modulus 50 reported WITHOUT units (likely kgf/cm2) -&gt; left empty. Other CS (25%, 70h): 75C 35, 250C 33, 300C 37, 325C 59. NF3 plasma weight loss 5.12% (same conditions). Plasma values reported as weight reduction rate (assumed %).</t>
        </is>
      </c>
    </row>
    <row r="359">
      <c r="A359" s="8" t="inlineStr">
        <is>
          <t>KR102400335B1</t>
        </is>
      </c>
      <c r="B359" s="8" t="inlineStr">
        <is>
          <t>patent</t>
        </is>
      </c>
      <c r="C359" s="8" t="inlineStr">
        <is>
          <t>M&amp;E Co., Ltd. (주식회사 엠앤이)</t>
        </is>
      </c>
      <c r="D359" s="8" t="inlineStr">
        <is>
          <t>Sealing material for semiconductor manufacturing apparatus with improved plasma resistance in oxygen-atmosphere and fluorine-atmosphere plasma processes</t>
        </is>
      </c>
      <c r="E359" s="8" t="inlineStr">
        <is>
          <t>https://patents.google.com/patent/KR102400335B1/en</t>
        </is>
      </c>
      <c r="F359" s="8" t="inlineStr">
        <is>
          <t>Example 1</t>
        </is>
      </c>
      <c r="G359" s="8" t="inlineStr">
        <is>
          <t>FFKM</t>
        </is>
      </c>
      <c r="H359" s="8" t="inlineStr">
        <is>
          <t>TFE/perfluoroalkyl vinyl ether FFKM (commercial, unspecified)</t>
        </is>
      </c>
      <c r="I359" s="8" t="n"/>
      <c r="J359" s="8" t="n">
        <v>100</v>
      </c>
      <c r="K359" s="8" t="n">
        <v>0</v>
      </c>
      <c r="L359" s="8" t="n">
        <v>0</v>
      </c>
      <c r="M359" s="8" t="n">
        <v>0</v>
      </c>
      <c r="N359" s="8" t="n">
        <v>0</v>
      </c>
      <c r="O359" s="8" t="n">
        <v>0</v>
      </c>
      <c r="P359" s="8" t="n">
        <v>0</v>
      </c>
      <c r="Q359" s="8" t="n">
        <v>5.06</v>
      </c>
      <c r="R359" s="8" t="n">
        <v>0</v>
      </c>
      <c r="S359" s="8" t="n"/>
      <c r="T359" s="8" t="n"/>
      <c r="U359" s="8" t="n"/>
      <c r="V359" s="8" t="n">
        <v>5</v>
      </c>
      <c r="W359" s="8" t="n">
        <v>0</v>
      </c>
      <c r="X359" s="8" t="n">
        <v>0</v>
      </c>
      <c r="Y359" s="8" t="inlineStr">
        <is>
          <t>yttrium compound filler (Y2O3/YOF/YF3/YAG, specific one not stated) in other_inorganic; other_curative = crosslink agent 3 + catalyst 2 phr (types not specified)</t>
        </is>
      </c>
      <c r="Z359" s="8" t="n">
        <v>60</v>
      </c>
      <c r="AA359" s="8" t="n"/>
      <c r="AB359" s="8" t="n">
        <v>227</v>
      </c>
      <c r="AC359" s="8" t="n"/>
      <c r="AD359" s="8" t="n">
        <v>13</v>
      </c>
      <c r="AE359" s="8" t="inlineStr">
        <is>
          <t>204C x 70h, 25% compression, AS214 O-ring</t>
        </is>
      </c>
      <c r="AF359" s="8" t="n">
        <v>2.66</v>
      </c>
      <c r="AG359" s="8" t="inlineStr">
        <is>
          <t>O2 plasma, 300 mm parallel-plate, 150 sccm, RF 1100, 400 mTorr, 30 min</t>
        </is>
      </c>
      <c r="AH359" s="8" t="inlineStr">
        <is>
          <t>composition in wt% of total (converted to phr on FFKM; patent itself states crosslinker 3 phr + catalyst 2 phr); tensile/M100 units not stated</t>
        </is>
      </c>
      <c r="AI359" s="8" t="inlineStr">
        <is>
          <t>wt%: FFKM 90.9, silica 0, Y-compound 4.6, crosslinker 2.7, catalyst 1.8. Tensile strength 62 and 100% modulus 18 reported WITHOUT units (likely kgf/cm2) -&gt; left empty. Other CS (25%, 70h): 75C 23, 250C 13, 300C 16, 325C 37. NF3 plasma weight loss 5.97% (same conditions). Plasma values reported as weight reduction rate (assumed %).</t>
        </is>
      </c>
    </row>
    <row r="360">
      <c r="A360" s="8" t="inlineStr">
        <is>
          <t>KR102400335B1</t>
        </is>
      </c>
      <c r="B360" s="8" t="inlineStr">
        <is>
          <t>patent</t>
        </is>
      </c>
      <c r="C360" s="8" t="inlineStr">
        <is>
          <t>M&amp;E Co., Ltd. (주식회사 엠앤이)</t>
        </is>
      </c>
      <c r="D360" s="8" t="inlineStr">
        <is>
          <t>Sealing material for semiconductor manufacturing apparatus with improved plasma resistance in oxygen-atmosphere and fluorine-atmosphere plasma processes</t>
        </is>
      </c>
      <c r="E360" s="8" t="inlineStr">
        <is>
          <t>https://patents.google.com/patent/KR102400335B1/en</t>
        </is>
      </c>
      <c r="F360" s="8" t="inlineStr">
        <is>
          <t>Example 2</t>
        </is>
      </c>
      <c r="G360" s="8" t="inlineStr">
        <is>
          <t>FFKM</t>
        </is>
      </c>
      <c r="H360" s="8" t="inlineStr">
        <is>
          <t>TFE/perfluoroalkyl vinyl ether FFKM (commercial, unspecified)</t>
        </is>
      </c>
      <c r="I360" s="8" t="n"/>
      <c r="J360" s="8" t="n">
        <v>100</v>
      </c>
      <c r="K360" s="8" t="n">
        <v>0</v>
      </c>
      <c r="L360" s="8" t="n">
        <v>0</v>
      </c>
      <c r="M360" s="8" t="n">
        <v>0</v>
      </c>
      <c r="N360" s="8" t="n">
        <v>0</v>
      </c>
      <c r="O360" s="8" t="n">
        <v>0</v>
      </c>
      <c r="P360" s="8" t="n">
        <v>0</v>
      </c>
      <c r="Q360" s="8" t="n">
        <v>15.01</v>
      </c>
      <c r="R360" s="8" t="n">
        <v>0</v>
      </c>
      <c r="S360" s="8" t="n"/>
      <c r="T360" s="8" t="n"/>
      <c r="U360" s="8" t="n"/>
      <c r="V360" s="8" t="n">
        <v>5</v>
      </c>
      <c r="W360" s="8" t="n">
        <v>0</v>
      </c>
      <c r="X360" s="8" t="n">
        <v>0</v>
      </c>
      <c r="Y360" s="8" t="inlineStr">
        <is>
          <t>yttrium compound filler (Y2O3/YOF/YF3/YAG, specific one not stated) in other_inorganic; other_curative = crosslink agent 3 + catalyst 2 phr (types not specified)</t>
        </is>
      </c>
      <c r="Z360" s="8" t="n">
        <v>62</v>
      </c>
      <c r="AA360" s="8" t="n"/>
      <c r="AB360" s="8" t="n">
        <v>220</v>
      </c>
      <c r="AC360" s="8" t="n"/>
      <c r="AD360" s="8" t="n">
        <v>13</v>
      </c>
      <c r="AE360" s="8" t="inlineStr">
        <is>
          <t>204C x 70h, 25% compression, AS214 O-ring</t>
        </is>
      </c>
      <c r="AF360" s="8" t="n">
        <v>2.33</v>
      </c>
      <c r="AG360" s="8" t="inlineStr">
        <is>
          <t>O2 plasma, 300 mm parallel-plate, 150 sccm, RF 1100, 400 mTorr, 30 min</t>
        </is>
      </c>
      <c r="AH360" s="8" t="inlineStr">
        <is>
          <t>composition in wt% of total (converted to phr on FFKM; patent itself states crosslinker 3 phr + catalyst 2 phr); tensile/M100 units not stated</t>
        </is>
      </c>
      <c r="AI360" s="8" t="inlineStr">
        <is>
          <t>wt%: FFKM 83.3, silica 0, Y-compound 12.5, crosslinker 2.5, catalyst 1.8. Tensile strength 70 and 100% modulus 19 reported WITHOUT units (likely kgf/cm2) -&gt; left empty. Other CS (25%, 70h): 75C 23, 250C 15, 300C 18, 325C 37. NF3 plasma weight loss 4.68% (same conditions). Plasma values reported as weight reduction rate (assumed %).</t>
        </is>
      </c>
    </row>
    <row r="361">
      <c r="A361" s="8" t="inlineStr">
        <is>
          <t>KR102400335B1</t>
        </is>
      </c>
      <c r="B361" s="8" t="inlineStr">
        <is>
          <t>patent</t>
        </is>
      </c>
      <c r="C361" s="8" t="inlineStr">
        <is>
          <t>M&amp;E Co., Ltd. (주식회사 엠앤이)</t>
        </is>
      </c>
      <c r="D361" s="8" t="inlineStr">
        <is>
          <t>Sealing material for semiconductor manufacturing apparatus with improved plasma resistance in oxygen-atmosphere and fluorine-atmosphere plasma processes</t>
        </is>
      </c>
      <c r="E361" s="8" t="inlineStr">
        <is>
          <t>https://patents.google.com/patent/KR102400335B1/en</t>
        </is>
      </c>
      <c r="F361" s="8" t="inlineStr">
        <is>
          <t>Example 3</t>
        </is>
      </c>
      <c r="G361" s="8" t="inlineStr">
        <is>
          <t>FFKM</t>
        </is>
      </c>
      <c r="H361" s="8" t="inlineStr">
        <is>
          <t>TFE/perfluoroalkyl vinyl ether FFKM (commercial, unspecified)</t>
        </is>
      </c>
      <c r="I361" s="8" t="n"/>
      <c r="J361" s="8" t="n">
        <v>100</v>
      </c>
      <c r="K361" s="8" t="n">
        <v>0</v>
      </c>
      <c r="L361" s="8" t="n">
        <v>0</v>
      </c>
      <c r="M361" s="8" t="n">
        <v>0</v>
      </c>
      <c r="N361" s="8" t="n">
        <v>0</v>
      </c>
      <c r="O361" s="8" t="n">
        <v>0</v>
      </c>
      <c r="P361" s="8" t="n">
        <v>0</v>
      </c>
      <c r="Q361" s="8" t="n">
        <v>29.96</v>
      </c>
      <c r="R361" s="8" t="n">
        <v>0</v>
      </c>
      <c r="S361" s="8" t="n"/>
      <c r="T361" s="8" t="n"/>
      <c r="U361" s="8" t="n"/>
      <c r="V361" s="8" t="n">
        <v>5</v>
      </c>
      <c r="W361" s="8" t="n">
        <v>0</v>
      </c>
      <c r="X361" s="8" t="n">
        <v>0</v>
      </c>
      <c r="Y361" s="8" t="inlineStr">
        <is>
          <t>yttrium compound filler (Y2O3/YOF/YF3/YAG, specific one not stated) in other_inorganic; other_curative = crosslink agent 3 + catalyst 2 phr (types not specified)</t>
        </is>
      </c>
      <c r="Z361" s="8" t="n">
        <v>68</v>
      </c>
      <c r="AA361" s="8" t="n"/>
      <c r="AB361" s="8" t="n">
        <v>210</v>
      </c>
      <c r="AC361" s="8" t="n"/>
      <c r="AD361" s="8" t="n">
        <v>18</v>
      </c>
      <c r="AE361" s="8" t="inlineStr">
        <is>
          <t>204C x 70h, 25% compression, AS214 O-ring</t>
        </is>
      </c>
      <c r="AF361" s="8" t="n">
        <v>1.81</v>
      </c>
      <c r="AG361" s="8" t="inlineStr">
        <is>
          <t>O2 plasma, 300 mm parallel-plate, 150 sccm, RF 1100, 400 mTorr, 30 min</t>
        </is>
      </c>
      <c r="AH361" s="8" t="inlineStr">
        <is>
          <t>composition in wt% of total (converted to phr on FFKM; patent itself states crosslinker 3 phr + catalyst 2 phr); tensile/M100 units not stated</t>
        </is>
      </c>
      <c r="AI361" s="8" t="inlineStr">
        <is>
          <t>wt%: FFKM 74.1, silica 0, Y-compound 22.2, crosslinker 2.2, catalyst 1.5. Tensile strength 75 and 100% modulus 34 reported WITHOUT units (likely kgf/cm2) -&gt; left empty. Other CS (25%, 70h): 75C 16, 250C 22, 300C 22, 325C 39. NF3 plasma weight loss 2.63% (same conditions). Plasma values reported as weight reduction rate (assumed %).</t>
        </is>
      </c>
    </row>
    <row r="362">
      <c r="A362" s="8" t="inlineStr">
        <is>
          <t>KR102400335B1</t>
        </is>
      </c>
      <c r="B362" s="8" t="inlineStr">
        <is>
          <t>patent</t>
        </is>
      </c>
      <c r="C362" s="8" t="inlineStr">
        <is>
          <t>M&amp;E Co., Ltd. (주식회사 엠앤이)</t>
        </is>
      </c>
      <c r="D362" s="8" t="inlineStr">
        <is>
          <t>Sealing material for semiconductor manufacturing apparatus with improved plasma resistance in oxygen-atmosphere and fluorine-atmosphere plasma processes</t>
        </is>
      </c>
      <c r="E362" s="8" t="inlineStr">
        <is>
          <t>https://patents.google.com/patent/KR102400335B1/en</t>
        </is>
      </c>
      <c r="F362" s="8" t="inlineStr">
        <is>
          <t>Example 4</t>
        </is>
      </c>
      <c r="G362" s="8" t="inlineStr">
        <is>
          <t>FFKM</t>
        </is>
      </c>
      <c r="H362" s="8" t="inlineStr">
        <is>
          <t>TFE/perfluoroalkyl vinyl ether FFKM (commercial, unspecified)</t>
        </is>
      </c>
      <c r="I362" s="8" t="n"/>
      <c r="J362" s="8" t="n">
        <v>100</v>
      </c>
      <c r="K362" s="8" t="n">
        <v>0</v>
      </c>
      <c r="L362" s="8" t="n">
        <v>0</v>
      </c>
      <c r="M362" s="8" t="n">
        <v>0</v>
      </c>
      <c r="N362" s="8" t="n">
        <v>0</v>
      </c>
      <c r="O362" s="8" t="n">
        <v>0</v>
      </c>
      <c r="P362" s="8" t="n">
        <v>0</v>
      </c>
      <c r="Q362" s="8" t="n">
        <v>50.08</v>
      </c>
      <c r="R362" s="8" t="n">
        <v>0</v>
      </c>
      <c r="S362" s="8" t="n"/>
      <c r="T362" s="8" t="n"/>
      <c r="U362" s="8" t="n"/>
      <c r="V362" s="8" t="n">
        <v>5</v>
      </c>
      <c r="W362" s="8" t="n">
        <v>0</v>
      </c>
      <c r="X362" s="8" t="n">
        <v>0</v>
      </c>
      <c r="Y362" s="8" t="inlineStr">
        <is>
          <t>yttrium compound filler (Y2O3/YOF/YF3/YAG, specific one not stated) in other_inorganic; other_curative = crosslink agent 3 + catalyst 2 phr (types not specified)</t>
        </is>
      </c>
      <c r="Z362" s="8" t="n">
        <v>75</v>
      </c>
      <c r="AA362" s="8" t="n"/>
      <c r="AB362" s="8" t="n">
        <v>209</v>
      </c>
      <c r="AC362" s="8" t="n"/>
      <c r="AD362" s="8" t="n">
        <v>24</v>
      </c>
      <c r="AE362" s="8" t="inlineStr">
        <is>
          <t>204C x 70h, 25% compression, AS214 O-ring</t>
        </is>
      </c>
      <c r="AF362" s="8" t="n">
        <v>1.99</v>
      </c>
      <c r="AG362" s="8" t="inlineStr">
        <is>
          <t>O2 plasma, 300 mm parallel-plate, 150 sccm, RF 1100, 400 mTorr, 30 min</t>
        </is>
      </c>
      <c r="AH362" s="8" t="inlineStr">
        <is>
          <t>composition in wt% of total (converted to phr on FFKM; patent itself states crosslinker 3 phr + catalyst 2 phr); tensile/M100 units not stated</t>
        </is>
      </c>
      <c r="AI362" s="8" t="inlineStr">
        <is>
          <t>wt%: FFKM 64.5, silica 0, Y-compound 32.3, crosslinker 1.9, catalyst 1.3. Tensile strength 118 and 100% modulus 57 reported WITHOUT units (likely kgf/cm2) -&gt; left empty. Other CS (25%, 70h): 75C 22, 250C 26, 300C 27, 325C 45. NF3 plasma weight loss 1.81% (same conditions). Plasma values reported as weight reduction rate (assumed %).</t>
        </is>
      </c>
    </row>
    <row r="363">
      <c r="A363" s="8" t="inlineStr">
        <is>
          <t>KR102400335B1</t>
        </is>
      </c>
      <c r="B363" s="8" t="inlineStr">
        <is>
          <t>patent</t>
        </is>
      </c>
      <c r="C363" s="8" t="inlineStr">
        <is>
          <t>M&amp;E Co., Ltd. (주식회사 엠앤이)</t>
        </is>
      </c>
      <c r="D363" s="8" t="inlineStr">
        <is>
          <t>Sealing material for semiconductor manufacturing apparatus with improved plasma resistance in oxygen-atmosphere and fluorine-atmosphere plasma processes</t>
        </is>
      </c>
      <c r="E363" s="8" t="inlineStr">
        <is>
          <t>https://patents.google.com/patent/KR102400335B1/en</t>
        </is>
      </c>
      <c r="F363" s="8" t="inlineStr">
        <is>
          <t>Example 5</t>
        </is>
      </c>
      <c r="G363" s="8" t="inlineStr">
        <is>
          <t>FFKM</t>
        </is>
      </c>
      <c r="H363" s="8" t="inlineStr">
        <is>
          <t>TFE/perfluoroalkyl vinyl ether FFKM (commercial, unspecified)</t>
        </is>
      </c>
      <c r="I363" s="8" t="n"/>
      <c r="J363" s="8" t="n">
        <v>100</v>
      </c>
      <c r="K363" s="8" t="n">
        <v>0</v>
      </c>
      <c r="L363" s="8" t="n">
        <v>0</v>
      </c>
      <c r="M363" s="8" t="n">
        <v>0</v>
      </c>
      <c r="N363" s="8" t="n">
        <v>0</v>
      </c>
      <c r="O363" s="8" t="n">
        <v>0</v>
      </c>
      <c r="P363" s="8" t="n">
        <v>0</v>
      </c>
      <c r="Q363" s="8" t="n">
        <v>69.93000000000001</v>
      </c>
      <c r="R363" s="8" t="n">
        <v>0</v>
      </c>
      <c r="S363" s="8" t="n"/>
      <c r="T363" s="8" t="n"/>
      <c r="U363" s="8" t="n"/>
      <c r="V363" s="8" t="n">
        <v>5</v>
      </c>
      <c r="W363" s="8" t="n">
        <v>0</v>
      </c>
      <c r="X363" s="8" t="n">
        <v>0</v>
      </c>
      <c r="Y363" s="8" t="inlineStr">
        <is>
          <t>yttrium compound filler (Y2O3/YOF/YF3/YAG, specific one not stated) in other_inorganic; other_curative = crosslink agent 3 + catalyst 2 phr (types not specified)</t>
        </is>
      </c>
      <c r="Z363" s="8" t="n">
        <v>73</v>
      </c>
      <c r="AA363" s="8" t="n"/>
      <c r="AB363" s="8" t="n">
        <v>201</v>
      </c>
      <c r="AC363" s="8" t="n"/>
      <c r="AD363" s="8" t="n">
        <v>41</v>
      </c>
      <c r="AE363" s="8" t="inlineStr">
        <is>
          <t>204C x 70h, 25% compression, AS214 O-ring</t>
        </is>
      </c>
      <c r="AF363" s="8" t="n">
        <v>1.57</v>
      </c>
      <c r="AG363" s="8" t="inlineStr">
        <is>
          <t>O2 plasma, 300 mm parallel-plate, 150 sccm, RF 1100, 400 mTorr, 30 min</t>
        </is>
      </c>
      <c r="AH363" s="8" t="inlineStr">
        <is>
          <t>composition in wt% of total (converted to phr on FFKM; patent itself states crosslinker 3 phr + catalyst 2 phr); tensile/M100 units not stated</t>
        </is>
      </c>
      <c r="AI363" s="8" t="inlineStr">
        <is>
          <t>wt%: FFKM 57.2, silica 0, Y-compound 40, crosslinker 1.7, catalyst 1.1. Tensile strength 113 and 100% modulus 59 reported WITHOUT units (likely kgf/cm2) -&gt; left empty. Other CS (25%, 70h): 75C 38, 250C 43, 300C 30, 325C 57. NF3 plasma weight loss 1.52% (same conditions). Plasma values reported as weight reduction rate (assumed %).</t>
        </is>
      </c>
    </row>
    <row r="364">
      <c r="A364" s="8" t="inlineStr">
        <is>
          <t>KR102323568B1</t>
        </is>
      </c>
      <c r="B364" s="8" t="inlineStr">
        <is>
          <t>patent</t>
        </is>
      </c>
      <c r="C364" s="8" t="inlineStr">
        <is>
          <t>Chung-Ang University Industry-Academic Cooperation Foundation (중앙대학교 산학협력단)</t>
        </is>
      </c>
      <c r="D364" s="8" t="inlineStr">
        <is>
          <t>Perfluoro elastomer composite with improved heat resistance, and method of fabricating the same</t>
        </is>
      </c>
      <c r="E364" s="8" t="inlineStr">
        <is>
          <t>https://patents.google.com/patent/KR102323568B1/en</t>
        </is>
      </c>
      <c r="F364" s="8" t="inlineStr">
        <is>
          <t>Example 1</t>
        </is>
      </c>
      <c r="G364" s="8" t="inlineStr">
        <is>
          <t>FFKM</t>
        </is>
      </c>
      <c r="H364" s="8" t="inlineStr">
        <is>
          <t>TFE/PMVE/cure-site-monomer terpolymer FFKM (unspecified grade)</t>
        </is>
      </c>
      <c r="I364" s="8" t="inlineStr">
        <is>
          <t>peroxide</t>
        </is>
      </c>
      <c r="J364" s="8" t="n">
        <v>100</v>
      </c>
      <c r="K364" s="8" t="n">
        <v>20</v>
      </c>
      <c r="L364" s="8" t="n">
        <v>0</v>
      </c>
      <c r="M364" s="8" t="n">
        <v>0</v>
      </c>
      <c r="N364" s="8" t="n">
        <v>0</v>
      </c>
      <c r="O364" s="8" t="n">
        <v>0</v>
      </c>
      <c r="P364" s="8" t="n">
        <v>0</v>
      </c>
      <c r="Q364" s="8" t="n">
        <v>5</v>
      </c>
      <c r="R364" s="8" t="n">
        <v>0</v>
      </c>
      <c r="S364" s="8" t="n"/>
      <c r="T364" s="8" t="n"/>
      <c r="U364" s="8" t="n">
        <v>0</v>
      </c>
      <c r="V364" s="8" t="n">
        <v>0</v>
      </c>
      <c r="W364" s="8" t="n">
        <v>0</v>
      </c>
      <c r="X364" s="8" t="n">
        <v>0</v>
      </c>
      <c r="Y364" s="8" t="inlineStr">
        <is>
          <t>perfluoroalkyl-silane (nonafluorohexyl triethoxysilane) surface-modified ZrO2 5; table lists a single "crosslinking agent" 1 part</t>
        </is>
      </c>
      <c r="Z364" s="8" t="n">
        <v>71</v>
      </c>
      <c r="AA364" s="8" t="n"/>
      <c r="AB364" s="8" t="n">
        <v>185</v>
      </c>
      <c r="AC364" s="8" t="n">
        <v>6.3</v>
      </c>
      <c r="AD364" s="8" t="n">
        <v>48</v>
      </c>
      <c r="AE364" s="8" t="inlineStr">
        <is>
          <t>300C x 72h, 25% deflection (ASTM D395 B)</t>
        </is>
      </c>
      <c r="AF364" s="8" t="n"/>
      <c r="AG364" s="8" t="n"/>
      <c r="AH364" s="8" t="inlineStr">
        <is>
          <t>weight (g) per 100 g FFKM (= phr); MPa; %</t>
        </is>
      </c>
      <c r="AI364" s="8" t="inlineStr">
        <is>
          <t>Table gives only one curative line "crosslinking agent 1"; text says TAIC co-agent and t-butylperoxy isopropyl carbonate peroxide were used, so the split between coagent/peroxide is unknown (left empty). Press 180C x 10 min, post-cure 250C x 24h. Tensile strength not reported.</t>
        </is>
      </c>
    </row>
    <row r="365">
      <c r="A365" s="8" t="inlineStr">
        <is>
          <t>KR102323568B1</t>
        </is>
      </c>
      <c r="B365" s="8" t="inlineStr">
        <is>
          <t>patent</t>
        </is>
      </c>
      <c r="C365" s="8" t="inlineStr">
        <is>
          <t>Chung-Ang University Industry-Academic Cooperation Foundation (중앙대학교 산학협력단)</t>
        </is>
      </c>
      <c r="D365" s="8" t="inlineStr">
        <is>
          <t>Perfluoro elastomer composite with improved heat resistance, and method of fabricating the same</t>
        </is>
      </c>
      <c r="E365" s="8" t="inlineStr">
        <is>
          <t>https://patents.google.com/patent/KR102323568B1/en</t>
        </is>
      </c>
      <c r="F365" s="8" t="inlineStr">
        <is>
          <t>Example 2</t>
        </is>
      </c>
      <c r="G365" s="8" t="inlineStr">
        <is>
          <t>FFKM</t>
        </is>
      </c>
      <c r="H365" s="8" t="inlineStr">
        <is>
          <t>TFE/PMVE/cure-site-monomer terpolymer FFKM (unspecified grade)</t>
        </is>
      </c>
      <c r="I365" s="8" t="inlineStr">
        <is>
          <t>peroxide</t>
        </is>
      </c>
      <c r="J365" s="8" t="n">
        <v>100</v>
      </c>
      <c r="K365" s="8" t="n">
        <v>20</v>
      </c>
      <c r="L365" s="8" t="n">
        <v>0</v>
      </c>
      <c r="M365" s="8" t="n">
        <v>0</v>
      </c>
      <c r="N365" s="8" t="n">
        <v>0</v>
      </c>
      <c r="O365" s="8" t="n">
        <v>0</v>
      </c>
      <c r="P365" s="8" t="n">
        <v>0</v>
      </c>
      <c r="Q365" s="8" t="n">
        <v>10</v>
      </c>
      <c r="R365" s="8" t="n">
        <v>0</v>
      </c>
      <c r="S365" s="8" t="n"/>
      <c r="T365" s="8" t="n"/>
      <c r="U365" s="8" t="n">
        <v>0</v>
      </c>
      <c r="V365" s="8" t="n">
        <v>0</v>
      </c>
      <c r="W365" s="8" t="n">
        <v>0</v>
      </c>
      <c r="X365" s="8" t="n">
        <v>0</v>
      </c>
      <c r="Y365" s="8" t="inlineStr">
        <is>
          <t>perfluoroalkyl-silane (nonafluorohexyl triethoxysilane) surface-modified ZrO2 10; table lists a single "crosslinking agent" 1 part</t>
        </is>
      </c>
      <c r="Z365" s="8" t="n">
        <v>75</v>
      </c>
      <c r="AA365" s="8" t="n"/>
      <c r="AB365" s="8" t="n">
        <v>173</v>
      </c>
      <c r="AC365" s="8" t="n">
        <v>7.2</v>
      </c>
      <c r="AD365" s="8" t="n">
        <v>43</v>
      </c>
      <c r="AE365" s="8" t="inlineStr">
        <is>
          <t>300C x 72h, 25% deflection (ASTM D395 B)</t>
        </is>
      </c>
      <c r="AF365" s="8" t="n"/>
      <c r="AG365" s="8" t="n"/>
      <c r="AH365" s="8" t="inlineStr">
        <is>
          <t>weight (g) per 100 g FFKM (= phr); MPa; %</t>
        </is>
      </c>
      <c r="AI365" s="8" t="inlineStr">
        <is>
          <t>Table gives only one curative line "crosslinking agent 1"; text says TAIC co-agent and t-butylperoxy isopropyl carbonate peroxide were used, so the split between coagent/peroxide is unknown (left empty). Press 180C x 10 min, post-cure 250C x 24h. Tensile strength not reported.</t>
        </is>
      </c>
    </row>
    <row r="366">
      <c r="A366" s="8" t="inlineStr">
        <is>
          <t>KR102323568B1</t>
        </is>
      </c>
      <c r="B366" s="8" t="inlineStr">
        <is>
          <t>patent</t>
        </is>
      </c>
      <c r="C366" s="8" t="inlineStr">
        <is>
          <t>Chung-Ang University Industry-Academic Cooperation Foundation (중앙대학교 산학협력단)</t>
        </is>
      </c>
      <c r="D366" s="8" t="inlineStr">
        <is>
          <t>Perfluoro elastomer composite with improved heat resistance, and method of fabricating the same</t>
        </is>
      </c>
      <c r="E366" s="8" t="inlineStr">
        <is>
          <t>https://patents.google.com/patent/KR102323568B1/en</t>
        </is>
      </c>
      <c r="F366" s="8" t="inlineStr">
        <is>
          <t>Example 3</t>
        </is>
      </c>
      <c r="G366" s="8" t="inlineStr">
        <is>
          <t>FFKM</t>
        </is>
      </c>
      <c r="H366" s="8" t="inlineStr">
        <is>
          <t>TFE/PMVE/cure-site-monomer terpolymer FFKM (unspecified grade)</t>
        </is>
      </c>
      <c r="I366" s="8" t="inlineStr">
        <is>
          <t>peroxide</t>
        </is>
      </c>
      <c r="J366" s="8" t="n">
        <v>100</v>
      </c>
      <c r="K366" s="8" t="n">
        <v>20</v>
      </c>
      <c r="L366" s="8" t="n">
        <v>0</v>
      </c>
      <c r="M366" s="8" t="n">
        <v>0</v>
      </c>
      <c r="N366" s="8" t="n">
        <v>0</v>
      </c>
      <c r="O366" s="8" t="n">
        <v>0</v>
      </c>
      <c r="P366" s="8" t="n">
        <v>0</v>
      </c>
      <c r="Q366" s="8" t="n">
        <v>15</v>
      </c>
      <c r="R366" s="8" t="n">
        <v>0</v>
      </c>
      <c r="S366" s="8" t="n"/>
      <c r="T366" s="8" t="n"/>
      <c r="U366" s="8" t="n">
        <v>0</v>
      </c>
      <c r="V366" s="8" t="n">
        <v>0</v>
      </c>
      <c r="W366" s="8" t="n">
        <v>0</v>
      </c>
      <c r="X366" s="8" t="n">
        <v>0</v>
      </c>
      <c r="Y366" s="8" t="inlineStr">
        <is>
          <t>perfluoroalkyl-silane (nonafluorohexyl triethoxysilane) surface-modified ZrO2 15; table lists a single "crosslinking agent" 1 part</t>
        </is>
      </c>
      <c r="Z366" s="8" t="n">
        <v>82</v>
      </c>
      <c r="AA366" s="8" t="n"/>
      <c r="AB366" s="8" t="n">
        <v>154</v>
      </c>
      <c r="AC366" s="8" t="n">
        <v>8.300000000000001</v>
      </c>
      <c r="AD366" s="8" t="n">
        <v>40</v>
      </c>
      <c r="AE366" s="8" t="inlineStr">
        <is>
          <t>300C x 72h, 25% deflection (ASTM D395 B)</t>
        </is>
      </c>
      <c r="AF366" s="8" t="n"/>
      <c r="AG366" s="8" t="n"/>
      <c r="AH366" s="8" t="inlineStr">
        <is>
          <t>weight (g) per 100 g FFKM (= phr); MPa; %</t>
        </is>
      </c>
      <c r="AI366" s="8" t="inlineStr">
        <is>
          <t>Table gives only one curative line "crosslinking agent 1"; text says TAIC co-agent and t-butylperoxy isopropyl carbonate peroxide were used, so the split between coagent/peroxide is unknown (left empty). Press 180C x 10 min, post-cure 250C x 24h. Tensile strength not reported.</t>
        </is>
      </c>
    </row>
    <row r="367">
      <c r="A367" s="8" t="inlineStr">
        <is>
          <t>KR102323568B1</t>
        </is>
      </c>
      <c r="B367" s="8" t="inlineStr">
        <is>
          <t>patent</t>
        </is>
      </c>
      <c r="C367" s="8" t="inlineStr">
        <is>
          <t>Chung-Ang University Industry-Academic Cooperation Foundation (중앙대학교 산학협력단)</t>
        </is>
      </c>
      <c r="D367" s="8" t="inlineStr">
        <is>
          <t>Perfluoro elastomer composite with improved heat resistance, and method of fabricating the same</t>
        </is>
      </c>
      <c r="E367" s="8" t="inlineStr">
        <is>
          <t>https://patents.google.com/patent/KR102323568B1/en</t>
        </is>
      </c>
      <c r="F367" s="8" t="inlineStr">
        <is>
          <t>Comparative Example 1</t>
        </is>
      </c>
      <c r="G367" s="8" t="inlineStr">
        <is>
          <t>FFKM</t>
        </is>
      </c>
      <c r="H367" s="8" t="inlineStr">
        <is>
          <t>TFE/PMVE/cure-site-monomer terpolymer FFKM (unspecified grade)</t>
        </is>
      </c>
      <c r="I367" s="8" t="inlineStr">
        <is>
          <t>peroxide</t>
        </is>
      </c>
      <c r="J367" s="8" t="n">
        <v>100</v>
      </c>
      <c r="K367" s="8" t="n">
        <v>20</v>
      </c>
      <c r="L367" s="8" t="n">
        <v>0</v>
      </c>
      <c r="M367" s="8" t="n">
        <v>0</v>
      </c>
      <c r="N367" s="8" t="n">
        <v>0</v>
      </c>
      <c r="O367" s="8" t="n">
        <v>0</v>
      </c>
      <c r="P367" s="8" t="n">
        <v>0</v>
      </c>
      <c r="Q367" s="8" t="n">
        <v>15</v>
      </c>
      <c r="R367" s="8" t="n">
        <v>0</v>
      </c>
      <c r="S367" s="8" t="n"/>
      <c r="T367" s="8" t="n"/>
      <c r="U367" s="8" t="n">
        <v>0</v>
      </c>
      <c r="V367" s="8" t="n">
        <v>0</v>
      </c>
      <c r="W367" s="8" t="n">
        <v>0</v>
      </c>
      <c r="X367" s="8" t="n">
        <v>0</v>
      </c>
      <c r="Y367" s="8" t="inlineStr">
        <is>
          <t>unmodified zirconia (ZrO2) 15; table lists a single "crosslinking agent" 1 part</t>
        </is>
      </c>
      <c r="Z367" s="8" t="n">
        <v>81</v>
      </c>
      <c r="AA367" s="8" t="n"/>
      <c r="AB367" s="8" t="n">
        <v>142</v>
      </c>
      <c r="AC367" s="8" t="n">
        <v>8.199999999999999</v>
      </c>
      <c r="AD367" s="8" t="n">
        <v>55</v>
      </c>
      <c r="AE367" s="8" t="inlineStr">
        <is>
          <t>300C x 72h, 25% deflection (ASTM D395 B)</t>
        </is>
      </c>
      <c r="AF367" s="8" t="n"/>
      <c r="AG367" s="8" t="n"/>
      <c r="AH367" s="8" t="inlineStr">
        <is>
          <t>weight (g) per 100 g FFKM (= phr); MPa; %</t>
        </is>
      </c>
      <c r="AI367" s="8" t="inlineStr">
        <is>
          <t>Table gives only one curative line "crosslinking agent 1"; text says TAIC co-agent and t-butylperoxy isopropyl carbonate peroxide were used, so the split between coagent/peroxide is unknown (left empty). Press 180C x 10 min, post-cure 250C x 24h. Tensile strength not reported.</t>
        </is>
      </c>
    </row>
    <row r="368">
      <c r="A368" s="8" t="inlineStr">
        <is>
          <t>KR102713660B1</t>
        </is>
      </c>
      <c r="B368" s="8" t="inlineStr">
        <is>
          <t>patent</t>
        </is>
      </c>
      <c r="C368" s="8" t="inlineStr">
        <is>
          <t>Hansung Tech Co., Ltd. (한성테크 주식회사)</t>
        </is>
      </c>
      <c r="D368" s="8" t="inlineStr">
        <is>
          <t>Method for manufacturing perfluororubber and fluororubber composite with improved chemical resistance</t>
        </is>
      </c>
      <c r="E368" s="8" t="inlineStr">
        <is>
          <t>https://patents.google.com/patent/KR102713660B1/en</t>
        </is>
      </c>
      <c r="F368" s="8" t="inlineStr">
        <is>
          <t>Example 1</t>
        </is>
      </c>
      <c r="G368" s="8" t="inlineStr">
        <is>
          <t>OTHER</t>
        </is>
      </c>
      <c r="H368" s="8" t="inlineStr">
        <is>
          <t>FFKM 60 g / FKM 40 g blend (grades not specified)</t>
        </is>
      </c>
      <c r="I368" s="8" t="n"/>
      <c r="J368" s="8" t="n">
        <v>100</v>
      </c>
      <c r="K368" s="8" t="n">
        <v>0</v>
      </c>
      <c r="L368" s="8" t="n">
        <v>0</v>
      </c>
      <c r="M368" s="8" t="n">
        <v>0</v>
      </c>
      <c r="N368" s="8" t="n">
        <v>0</v>
      </c>
      <c r="O368" s="8" t="n">
        <v>0</v>
      </c>
      <c r="P368" s="8" t="n">
        <v>70</v>
      </c>
      <c r="Q368" s="8" t="n">
        <v>30</v>
      </c>
      <c r="R368" s="8" t="n">
        <v>0</v>
      </c>
      <c r="S368" s="8" t="n"/>
      <c r="T368" s="8" t="n"/>
      <c r="U368" s="8" t="n"/>
      <c r="V368" s="8" t="n"/>
      <c r="W368" s="8" t="n"/>
      <c r="X368" s="8" t="n"/>
      <c r="Y368" s="8" t="inlineStr">
        <is>
          <t>PTFE (fluororesin); fullerene (C60) 30.0 (carbon nanomaterial, in other_inorganic)</t>
        </is>
      </c>
      <c r="Z368" s="8" t="n">
        <v>77</v>
      </c>
      <c r="AA368" s="8" t="n"/>
      <c r="AB368" s="8" t="n">
        <v>172</v>
      </c>
      <c r="AC368" s="8" t="n">
        <v>7.9</v>
      </c>
      <c r="AD368" s="8" t="n">
        <v>45</v>
      </c>
      <c r="AE368" s="8" t="inlineStr">
        <is>
          <t>300C x 72h, 25% deflection (ASTM D395 B)</t>
        </is>
      </c>
      <c r="AF368" s="8" t="n"/>
      <c r="AG368" s="8" t="n"/>
      <c r="AH368" s="8" t="inlineStr">
        <is>
          <t>grams (rubber total 100 g); converted to phr on FFKM+FKM total; MPa; %</t>
        </is>
      </c>
      <c r="AI368"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69">
      <c r="A369" s="8" t="inlineStr">
        <is>
          <t>KR102713660B1</t>
        </is>
      </c>
      <c r="B369" s="8" t="inlineStr">
        <is>
          <t>patent</t>
        </is>
      </c>
      <c r="C369" s="8" t="inlineStr">
        <is>
          <t>Hansung Tech Co., Ltd. (한성테크 주식회사)</t>
        </is>
      </c>
      <c r="D369" s="8" t="inlineStr">
        <is>
          <t>Method for manufacturing perfluororubber and fluororubber composite with improved chemical resistance</t>
        </is>
      </c>
      <c r="E369" s="8" t="inlineStr">
        <is>
          <t>https://patents.google.com/patent/KR102713660B1/en</t>
        </is>
      </c>
      <c r="F369" s="8" t="inlineStr">
        <is>
          <t>Example 2</t>
        </is>
      </c>
      <c r="G369" s="8" t="inlineStr">
        <is>
          <t>OTHER</t>
        </is>
      </c>
      <c r="H369" s="8" t="inlineStr">
        <is>
          <t>FFKM 70 g / FKM 30 g blend (grades not specified)</t>
        </is>
      </c>
      <c r="I369" s="8" t="n"/>
      <c r="J369" s="8" t="n">
        <v>100</v>
      </c>
      <c r="K369" s="8" t="n">
        <v>0</v>
      </c>
      <c r="L369" s="8" t="n">
        <v>0</v>
      </c>
      <c r="M369" s="8" t="n">
        <v>0</v>
      </c>
      <c r="N369" s="8" t="n">
        <v>0</v>
      </c>
      <c r="O369" s="8" t="n">
        <v>0</v>
      </c>
      <c r="P369" s="8" t="n">
        <v>80</v>
      </c>
      <c r="Q369" s="8" t="n">
        <v>40</v>
      </c>
      <c r="R369" s="8" t="n">
        <v>0</v>
      </c>
      <c r="S369" s="8" t="n"/>
      <c r="T369" s="8" t="n"/>
      <c r="U369" s="8" t="n"/>
      <c r="V369" s="8" t="n"/>
      <c r="W369" s="8" t="n"/>
      <c r="X369" s="8" t="n"/>
      <c r="Y369" s="8" t="inlineStr">
        <is>
          <t>PTFE (fluororesin); fullerene (C60) 40.0 (carbon nanomaterial, in other_inorganic)</t>
        </is>
      </c>
      <c r="Z369" s="8" t="n">
        <v>83</v>
      </c>
      <c r="AA369" s="8" t="n"/>
      <c r="AB369" s="8" t="n">
        <v>160</v>
      </c>
      <c r="AC369" s="8" t="n">
        <v>8</v>
      </c>
      <c r="AD369" s="8" t="n">
        <v>42</v>
      </c>
      <c r="AE369" s="8" t="inlineStr">
        <is>
          <t>300C x 72h, 25% deflection (ASTM D395 B)</t>
        </is>
      </c>
      <c r="AF369" s="8" t="n"/>
      <c r="AG369" s="8" t="n"/>
      <c r="AH369" s="8" t="inlineStr">
        <is>
          <t>grams (rubber total 100 g); converted to phr on FFKM+FKM total; MPa; %</t>
        </is>
      </c>
      <c r="AI369"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70">
      <c r="A370" s="8" t="inlineStr">
        <is>
          <t>KR102713660B1</t>
        </is>
      </c>
      <c r="B370" s="8" t="inlineStr">
        <is>
          <t>patent</t>
        </is>
      </c>
      <c r="C370" s="8" t="inlineStr">
        <is>
          <t>Hansung Tech Co., Ltd. (한성테크 주식회사)</t>
        </is>
      </c>
      <c r="D370" s="8" t="inlineStr">
        <is>
          <t>Method for manufacturing perfluororubber and fluororubber composite with improved chemical resistance</t>
        </is>
      </c>
      <c r="E370" s="8" t="inlineStr">
        <is>
          <t>https://patents.google.com/patent/KR102713660B1/en</t>
        </is>
      </c>
      <c r="F370" s="8" t="inlineStr">
        <is>
          <t>Comparative Example 1</t>
        </is>
      </c>
      <c r="G370" s="8" t="inlineStr">
        <is>
          <t>OTHER</t>
        </is>
      </c>
      <c r="H370" s="8" t="inlineStr">
        <is>
          <t>FFKM 30 g / FKM 60 g blend (grades not specified)</t>
        </is>
      </c>
      <c r="I370" s="8" t="n"/>
      <c r="J370" s="8" t="n">
        <v>100</v>
      </c>
      <c r="K370" s="8" t="n">
        <v>0</v>
      </c>
      <c r="L370" s="8" t="n">
        <v>0</v>
      </c>
      <c r="M370" s="8" t="n">
        <v>0</v>
      </c>
      <c r="N370" s="8" t="n">
        <v>0</v>
      </c>
      <c r="O370" s="8" t="n">
        <v>0</v>
      </c>
      <c r="P370" s="8" t="n">
        <v>77.78</v>
      </c>
      <c r="Q370" s="8" t="n">
        <v>33.33</v>
      </c>
      <c r="R370" s="8" t="n">
        <v>0</v>
      </c>
      <c r="S370" s="8" t="n"/>
      <c r="T370" s="8" t="n"/>
      <c r="U370" s="8" t="n"/>
      <c r="V370" s="8" t="n"/>
      <c r="W370" s="8" t="n"/>
      <c r="X370" s="8" t="n"/>
      <c r="Y370" s="8" t="inlineStr">
        <is>
          <t>PTFE (fluororesin); fullerene (C60) 33.33 (carbon nanomaterial, in other_inorganic)</t>
        </is>
      </c>
      <c r="Z370" s="8" t="n">
        <v>78</v>
      </c>
      <c r="AA370" s="8" t="n"/>
      <c r="AB370" s="8" t="n">
        <v>130</v>
      </c>
      <c r="AC370" s="8" t="n">
        <v>8.300000000000001</v>
      </c>
      <c r="AD370" s="8" t="n">
        <v>60</v>
      </c>
      <c r="AE370" s="8" t="inlineStr">
        <is>
          <t>300C x 72h, 25% deflection (ASTM D395 B)</t>
        </is>
      </c>
      <c r="AF370" s="8" t="n"/>
      <c r="AG370" s="8" t="n"/>
      <c r="AH370" s="8" t="inlineStr">
        <is>
          <t>grams (rubber total 90 g); converted to phr on FFKM+FKM total; MPa; %</t>
        </is>
      </c>
      <c r="AI370"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FFKM+FKM total = 90 g, so phr scaled by 100/90. Tensile strength not reported.</t>
        </is>
      </c>
    </row>
    <row r="371">
      <c r="A371" s="8" t="inlineStr">
        <is>
          <t>KR102713660B1</t>
        </is>
      </c>
      <c r="B371" s="8" t="inlineStr">
        <is>
          <t>patent</t>
        </is>
      </c>
      <c r="C371" s="8" t="inlineStr">
        <is>
          <t>Hansung Tech Co., Ltd. (한성테크 주식회사)</t>
        </is>
      </c>
      <c r="D371" s="8" t="inlineStr">
        <is>
          <t>Method for manufacturing perfluororubber and fluororubber composite with improved chemical resistance</t>
        </is>
      </c>
      <c r="E371" s="8" t="inlineStr">
        <is>
          <t>https://patents.google.com/patent/KR102713660B1/en</t>
        </is>
      </c>
      <c r="F371" s="8" t="inlineStr">
        <is>
          <t>Comparative Example 2</t>
        </is>
      </c>
      <c r="G371" s="8" t="inlineStr">
        <is>
          <t>OTHER</t>
        </is>
      </c>
      <c r="H371" s="8" t="inlineStr">
        <is>
          <t>FFKM 60 g / FKM 40 g blend (grades not specified)</t>
        </is>
      </c>
      <c r="I371" s="8" t="n"/>
      <c r="J371" s="8" t="n">
        <v>100</v>
      </c>
      <c r="K371" s="8" t="n">
        <v>0</v>
      </c>
      <c r="L371" s="8" t="n">
        <v>0</v>
      </c>
      <c r="M371" s="8" t="n">
        <v>0</v>
      </c>
      <c r="N371" s="8" t="n">
        <v>0</v>
      </c>
      <c r="O371" s="8" t="n">
        <v>0</v>
      </c>
      <c r="P371" s="8" t="n">
        <v>30</v>
      </c>
      <c r="Q371" s="8" t="n">
        <v>70</v>
      </c>
      <c r="R371" s="8" t="n">
        <v>0</v>
      </c>
      <c r="S371" s="8" t="n"/>
      <c r="T371" s="8" t="n"/>
      <c r="U371" s="8" t="n"/>
      <c r="V371" s="8" t="n"/>
      <c r="W371" s="8" t="n"/>
      <c r="X371" s="8" t="n"/>
      <c r="Y371" s="8" t="inlineStr">
        <is>
          <t>PTFE (fluororesin); fullerene (C60) 70.0 (carbon nanomaterial, in other_inorganic)</t>
        </is>
      </c>
      <c r="Z371" s="8" t="n">
        <v>50</v>
      </c>
      <c r="AA371" s="8" t="n"/>
      <c r="AB371" s="8" t="n">
        <v>132</v>
      </c>
      <c r="AC371" s="8" t="n">
        <v>8.199999999999999</v>
      </c>
      <c r="AD371" s="8" t="n">
        <v>69</v>
      </c>
      <c r="AE371" s="8" t="inlineStr">
        <is>
          <t>300C x 72h, 25% deflection (ASTM D395 B)</t>
        </is>
      </c>
      <c r="AF371" s="8" t="n"/>
      <c r="AG371" s="8" t="n"/>
      <c r="AH371" s="8" t="inlineStr">
        <is>
          <t>grams (rubber total 100 g); converted to phr on FFKM+FKM total; MPa; %</t>
        </is>
      </c>
      <c r="AI371"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72">
      <c r="A372" s="8" t="inlineStr">
        <is>
          <t>KR102713660B1</t>
        </is>
      </c>
      <c r="B372" s="8" t="inlineStr">
        <is>
          <t>patent</t>
        </is>
      </c>
      <c r="C372" s="8" t="inlineStr">
        <is>
          <t>Hansung Tech Co., Ltd. (한성테크 주식회사)</t>
        </is>
      </c>
      <c r="D372" s="8" t="inlineStr">
        <is>
          <t>Method for manufacturing perfluororubber and fluororubber composite with improved chemical resistance</t>
        </is>
      </c>
      <c r="E372" s="8" t="inlineStr">
        <is>
          <t>https://patents.google.com/patent/KR102713660B1/en</t>
        </is>
      </c>
      <c r="F372" s="8" t="inlineStr">
        <is>
          <t>Comparative Example 3</t>
        </is>
      </c>
      <c r="G372" s="8" t="inlineStr">
        <is>
          <t>OTHER</t>
        </is>
      </c>
      <c r="H372" s="8" t="inlineStr">
        <is>
          <t>FFKM 60 g / FKM 40 g blend (grades not specified)</t>
        </is>
      </c>
      <c r="I372" s="8" t="n"/>
      <c r="J372" s="8" t="n">
        <v>100</v>
      </c>
      <c r="K372" s="8" t="n">
        <v>0</v>
      </c>
      <c r="L372" s="8" t="n">
        <v>0</v>
      </c>
      <c r="M372" s="8" t="n">
        <v>0</v>
      </c>
      <c r="N372" s="8" t="n">
        <v>0</v>
      </c>
      <c r="O372" s="8" t="n">
        <v>0</v>
      </c>
      <c r="P372" s="8" t="n">
        <v>7</v>
      </c>
      <c r="Q372" s="8" t="n">
        <v>3</v>
      </c>
      <c r="R372" s="8" t="n">
        <v>0</v>
      </c>
      <c r="S372" s="8" t="n"/>
      <c r="T372" s="8" t="n"/>
      <c r="U372" s="8" t="n"/>
      <c r="V372" s="8" t="n"/>
      <c r="W372" s="8" t="n"/>
      <c r="X372" s="8" t="n"/>
      <c r="Y372" s="8" t="inlineStr">
        <is>
          <t>PTFE (fluororesin); fullerene (C60) 3.0 (carbon nanomaterial, in other_inorganic)</t>
        </is>
      </c>
      <c r="Z372" s="8" t="n">
        <v>90</v>
      </c>
      <c r="AA372" s="8" t="n"/>
      <c r="AB372" s="8" t="n">
        <v>138</v>
      </c>
      <c r="AC372" s="8" t="n">
        <v>8.300000000000001</v>
      </c>
      <c r="AD372" s="8" t="n">
        <v>72</v>
      </c>
      <c r="AE372" s="8" t="inlineStr">
        <is>
          <t>300C x 72h, 25% deflection (ASTM D395 B)</t>
        </is>
      </c>
      <c r="AF372" s="8" t="n"/>
      <c r="AG372" s="8" t="n"/>
      <c r="AH372" s="8" t="inlineStr">
        <is>
          <t>grams (rubber total 100 g); converted to phr on FFKM+FKM total; MPa; %</t>
        </is>
      </c>
      <c r="AI372"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73">
      <c r="A373" s="8" t="inlineStr">
        <is>
          <t>KR102713660B1</t>
        </is>
      </c>
      <c r="B373" s="8" t="inlineStr">
        <is>
          <t>patent</t>
        </is>
      </c>
      <c r="C373" s="8" t="inlineStr">
        <is>
          <t>Hansung Tech Co., Ltd. (한성테크 주식회사)</t>
        </is>
      </c>
      <c r="D373" s="8" t="inlineStr">
        <is>
          <t>Method for manufacturing perfluororubber and fluororubber composite with improved chemical resistance</t>
        </is>
      </c>
      <c r="E373" s="8" t="inlineStr">
        <is>
          <t>https://patents.google.com/patent/KR102713660B1/en</t>
        </is>
      </c>
      <c r="F373" s="8" t="inlineStr">
        <is>
          <t>Comparative Example 4</t>
        </is>
      </c>
      <c r="G373" s="8" t="inlineStr">
        <is>
          <t>OTHER</t>
        </is>
      </c>
      <c r="H373" s="8" t="inlineStr">
        <is>
          <t>FFKM 60 g / FKM 40 g blend (grades not specified)</t>
        </is>
      </c>
      <c r="I373" s="8" t="n"/>
      <c r="J373" s="8" t="n">
        <v>100</v>
      </c>
      <c r="K373" s="8" t="n">
        <v>0</v>
      </c>
      <c r="L373" s="8" t="n">
        <v>0</v>
      </c>
      <c r="M373" s="8" t="n">
        <v>0</v>
      </c>
      <c r="N373" s="8" t="n">
        <v>0</v>
      </c>
      <c r="O373" s="8" t="n">
        <v>0</v>
      </c>
      <c r="P373" s="8" t="n">
        <v>70</v>
      </c>
      <c r="Q373" s="8" t="n">
        <v>30</v>
      </c>
      <c r="R373" s="8" t="n">
        <v>0</v>
      </c>
      <c r="S373" s="8" t="n"/>
      <c r="T373" s="8" t="n"/>
      <c r="U373" s="8" t="n"/>
      <c r="V373" s="8" t="n"/>
      <c r="W373" s="8" t="n"/>
      <c r="X373" s="8" t="n"/>
      <c r="Y373" s="8" t="inlineStr">
        <is>
          <t>PTFE (fluororesin); SWCNT 30.0 (carbon nanomaterial, in other_inorganic)</t>
        </is>
      </c>
      <c r="Z373" s="8" t="n">
        <v>60</v>
      </c>
      <c r="AA373" s="8" t="n"/>
      <c r="AB373" s="8" t="n">
        <v>140</v>
      </c>
      <c r="AC373" s="8" t="n">
        <v>8.5</v>
      </c>
      <c r="AD373" s="8" t="n">
        <v>60</v>
      </c>
      <c r="AE373" s="8" t="inlineStr">
        <is>
          <t>300C x 72h, 25% deflection (ASTM D395 B)</t>
        </is>
      </c>
      <c r="AF373" s="8" t="n"/>
      <c r="AG373" s="8" t="n"/>
      <c r="AH373" s="8" t="inlineStr">
        <is>
          <t>grams (rubber total 100 g); converted to phr on FFKM+FKM total; MPa; %</t>
        </is>
      </c>
      <c r="AI373"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74">
      <c r="A374" s="8" t="inlineStr">
        <is>
          <t>KR102713660B1</t>
        </is>
      </c>
      <c r="B374" s="8" t="inlineStr">
        <is>
          <t>patent</t>
        </is>
      </c>
      <c r="C374" s="8" t="inlineStr">
        <is>
          <t>Hansung Tech Co., Ltd. (한성테크 주식회사)</t>
        </is>
      </c>
      <c r="D374" s="8" t="inlineStr">
        <is>
          <t>Method for manufacturing perfluororubber and fluororubber composite with improved chemical resistance</t>
        </is>
      </c>
      <c r="E374" s="8" t="inlineStr">
        <is>
          <t>https://patents.google.com/patent/KR102713660B1/en</t>
        </is>
      </c>
      <c r="F374" s="8" t="inlineStr">
        <is>
          <t>Comparative Example 5</t>
        </is>
      </c>
      <c r="G374" s="8" t="inlineStr">
        <is>
          <t>OTHER</t>
        </is>
      </c>
      <c r="H374" s="8" t="inlineStr">
        <is>
          <t>FFKM 60 g / FKM 40 g blend (grades not specified)</t>
        </is>
      </c>
      <c r="I374" s="8" t="n"/>
      <c r="J374" s="8" t="n">
        <v>100</v>
      </c>
      <c r="K374" s="8" t="n">
        <v>0</v>
      </c>
      <c r="L374" s="8" t="n">
        <v>0</v>
      </c>
      <c r="M374" s="8" t="n">
        <v>0</v>
      </c>
      <c r="N374" s="8" t="n">
        <v>0</v>
      </c>
      <c r="O374" s="8" t="n">
        <v>0</v>
      </c>
      <c r="P374" s="8" t="n">
        <v>70</v>
      </c>
      <c r="Q374" s="8" t="n">
        <v>30</v>
      </c>
      <c r="R374" s="8" t="n">
        <v>0</v>
      </c>
      <c r="S374" s="8" t="n"/>
      <c r="T374" s="8" t="n"/>
      <c r="U374" s="8" t="n"/>
      <c r="V374" s="8" t="n"/>
      <c r="W374" s="8" t="n"/>
      <c r="X374" s="8" t="n"/>
      <c r="Y374" s="8" t="inlineStr">
        <is>
          <t>PTFE (fluororesin); MWCNT 30.0 (carbon nanomaterial, in other_inorganic)</t>
        </is>
      </c>
      <c r="Z374" s="8" t="n">
        <v>66</v>
      </c>
      <c r="AA374" s="8" t="n"/>
      <c r="AB374" s="8" t="n">
        <v>132</v>
      </c>
      <c r="AC374" s="8" t="n">
        <v>8.300000000000001</v>
      </c>
      <c r="AD374" s="8" t="n">
        <v>57</v>
      </c>
      <c r="AE374" s="8" t="inlineStr">
        <is>
          <t>300C x 72h, 25% deflection (ASTM D395 B)</t>
        </is>
      </c>
      <c r="AF374" s="8" t="n"/>
      <c r="AG374" s="8" t="n"/>
      <c r="AH374" s="8" t="inlineStr">
        <is>
          <t>grams (rubber total 100 g); converted to phr on FFKM+FKM total; MPa; %</t>
        </is>
      </c>
      <c r="AI374"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75">
      <c r="A375" s="8" t="inlineStr">
        <is>
          <t>KR102713660B1</t>
        </is>
      </c>
      <c r="B375" s="8" t="inlineStr">
        <is>
          <t>patent</t>
        </is>
      </c>
      <c r="C375" s="8" t="inlineStr">
        <is>
          <t>Hansung Tech Co., Ltd. (한성테크 주식회사)</t>
        </is>
      </c>
      <c r="D375" s="8" t="inlineStr">
        <is>
          <t>Method for manufacturing perfluororubber and fluororubber composite with improved chemical resistance</t>
        </is>
      </c>
      <c r="E375" s="8" t="inlineStr">
        <is>
          <t>https://patents.google.com/patent/KR102713660B1/en</t>
        </is>
      </c>
      <c r="F375" s="8" t="inlineStr">
        <is>
          <t>Comparative Example 6</t>
        </is>
      </c>
      <c r="G375" s="8" t="inlineStr">
        <is>
          <t>OTHER</t>
        </is>
      </c>
      <c r="H375" s="8" t="inlineStr">
        <is>
          <t>FFKM 60 g / FKM 40 g blend (grades not specified)</t>
        </is>
      </c>
      <c r="I375" s="8" t="n"/>
      <c r="J375" s="8" t="n">
        <v>100</v>
      </c>
      <c r="K375" s="8" t="n">
        <v>0</v>
      </c>
      <c r="L375" s="8" t="n">
        <v>0</v>
      </c>
      <c r="M375" s="8" t="n">
        <v>0</v>
      </c>
      <c r="N375" s="8" t="n">
        <v>0</v>
      </c>
      <c r="O375" s="8" t="n">
        <v>0</v>
      </c>
      <c r="P375" s="8" t="n">
        <v>70</v>
      </c>
      <c r="Q375" s="8" t="n">
        <v>30</v>
      </c>
      <c r="R375" s="8" t="n">
        <v>0</v>
      </c>
      <c r="S375" s="8" t="n"/>
      <c r="T375" s="8" t="n"/>
      <c r="U375" s="8" t="n"/>
      <c r="V375" s="8" t="n"/>
      <c r="W375" s="8" t="n"/>
      <c r="X375" s="8" t="n"/>
      <c r="Y375" s="8" t="inlineStr">
        <is>
          <t>PTFE (fluororesin); graphene 30.0 (carbon nanomaterial, in other_inorganic)</t>
        </is>
      </c>
      <c r="Z375" s="8" t="n">
        <v>59</v>
      </c>
      <c r="AA375" s="8" t="n"/>
      <c r="AB375" s="8" t="n">
        <v>131</v>
      </c>
      <c r="AC375" s="8" t="n">
        <v>8.199999999999999</v>
      </c>
      <c r="AD375" s="8" t="n">
        <v>59</v>
      </c>
      <c r="AE375" s="8" t="inlineStr">
        <is>
          <t>300C x 72h, 25% deflection (ASTM D395 B)</t>
        </is>
      </c>
      <c r="AF375" s="8" t="n"/>
      <c r="AG375" s="8" t="n"/>
      <c r="AH375" s="8" t="inlineStr">
        <is>
          <t>grams (rubber total 100 g); converted to phr on FFKM+FKM total; MPa; %</t>
        </is>
      </c>
      <c r="AI375" s="8" t="inlineStr">
        <is>
          <t>Composition table lists only FFKM, FKM, PTFE and fullerene/CNT/graphene; curatives not given (left empty). Process per text: filler (PTFE+fullerene) deposited on compounded rubber mixture (RF plasma, Ar/HMDSO), press 180C x 10 min, post-cure 250C x 24h; ASTM D412. Identical table also published in KR20240098438A and KR20250051188A (same applicant) - not duplicated. Tensile strength not reported.</t>
        </is>
      </c>
    </row>
    <row r="376">
      <c r="A376" s="8" t="inlineStr">
        <is>
          <t>KR101467101B1</t>
        </is>
      </c>
      <c r="B376" s="8" t="inlineStr">
        <is>
          <t>patent</t>
        </is>
      </c>
      <c r="C376" s="8" t="inlineStr">
        <is>
          <t>M&amp;E Co., Ltd. (주식회사 엠앤이)</t>
        </is>
      </c>
      <c r="D376" s="8" t="inlineStr">
        <is>
          <t>Compound for sealing (FFKM compound for semiconductor/LCD CVD equipment)</t>
        </is>
      </c>
      <c r="E376" s="8" t="inlineStr">
        <is>
          <t>https://patents.google.com/patent/KR101467101B1/en</t>
        </is>
      </c>
      <c r="F376" s="8" t="inlineStr">
        <is>
          <t>Table 1 compound FFKM A</t>
        </is>
      </c>
      <c r="G376" s="8" t="inlineStr">
        <is>
          <t>FFKM</t>
        </is>
      </c>
      <c r="H376" s="8" t="inlineStr">
        <is>
          <t>FFKM masterbatch "FFKM A" (raw gum unspecified)</t>
        </is>
      </c>
      <c r="I376" s="8" t="n"/>
      <c r="J376" s="8" t="n">
        <v>100</v>
      </c>
      <c r="K376" s="8" t="n">
        <v>15</v>
      </c>
      <c r="L376" s="8" t="n">
        <v>1.5</v>
      </c>
      <c r="M376" s="8" t="n">
        <v>0</v>
      </c>
      <c r="N376" s="8" t="n">
        <v>0</v>
      </c>
      <c r="O376" s="8" t="n">
        <v>0</v>
      </c>
      <c r="P376" s="8" t="n">
        <v>0</v>
      </c>
      <c r="Q376" s="8" t="n">
        <v>0</v>
      </c>
      <c r="R376" s="8" t="n">
        <v>0</v>
      </c>
      <c r="S376" s="8" t="n"/>
      <c r="T376" s="8" t="n"/>
      <c r="U376" s="8" t="n"/>
      <c r="V376" s="8" t="n">
        <v>1.5</v>
      </c>
      <c r="W376" s="8" t="n">
        <v>0</v>
      </c>
      <c r="X376" s="8" t="n">
        <v>0</v>
      </c>
      <c r="Y376" s="8" t="inlineStr">
        <is>
          <t>silica = Aerosil R-972; carbon black N-550</t>
        </is>
      </c>
      <c r="Z376" s="8" t="n">
        <v>73</v>
      </c>
      <c r="AA376" s="8" t="n">
        <v>11.65</v>
      </c>
      <c r="AB376" s="8" t="n">
        <v>270</v>
      </c>
      <c r="AC376" s="8" t="n">
        <v>4.93</v>
      </c>
      <c r="AD376" s="8" t="n">
        <v>43</v>
      </c>
      <c r="AE376" s="8" t="inlineStr">
        <is>
          <t>230C x 70h, 25% deformation (ASTM D395 B)</t>
        </is>
      </c>
      <c r="AF376" s="8" t="n"/>
      <c r="AG376" s="8" t="n"/>
      <c r="AH376" s="8" t="inlineStr">
        <is>
          <t>grams; tensile/M100 in psi (converted x0.00689476); CS %</t>
        </is>
      </c>
      <c r="AI376"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ASTM D412 Die D. other CS: 230C x 168h 25% = 51; 300C x 70h 18% = 81; 300C x 168h 18% = 85. Crosslink density 0.8 mol%.</t>
        </is>
      </c>
    </row>
    <row r="377">
      <c r="A377" s="8" t="inlineStr">
        <is>
          <t>KR101467101B1</t>
        </is>
      </c>
      <c r="B377" s="8" t="inlineStr">
        <is>
          <t>patent</t>
        </is>
      </c>
      <c r="C377" s="8" t="inlineStr">
        <is>
          <t>M&amp;E Co., Ltd. (주식회사 엠앤이)</t>
        </is>
      </c>
      <c r="D377" s="8" t="inlineStr">
        <is>
          <t>Compound for sealing (FFKM compound for semiconductor/LCD CVD equipment)</t>
        </is>
      </c>
      <c r="E377" s="8" t="inlineStr">
        <is>
          <t>https://patents.google.com/patent/KR101467101B1/en</t>
        </is>
      </c>
      <c r="F377" s="8" t="inlineStr">
        <is>
          <t>Table 1 compound FFKM B</t>
        </is>
      </c>
      <c r="G377" s="8" t="inlineStr">
        <is>
          <t>FFKM</t>
        </is>
      </c>
      <c r="H377" s="8" t="inlineStr">
        <is>
          <t>FFKM masterbatch "FFKM B" (raw gum unspecified)</t>
        </is>
      </c>
      <c r="I377" s="8" t="n"/>
      <c r="J377" s="8" t="n">
        <v>100</v>
      </c>
      <c r="K377" s="8" t="n">
        <v>15</v>
      </c>
      <c r="L377" s="8" t="n">
        <v>1.5</v>
      </c>
      <c r="M377" s="8" t="n">
        <v>0</v>
      </c>
      <c r="N377" s="8" t="n">
        <v>0</v>
      </c>
      <c r="O377" s="8" t="n">
        <v>0</v>
      </c>
      <c r="P377" s="8" t="n">
        <v>0</v>
      </c>
      <c r="Q377" s="8" t="n">
        <v>0</v>
      </c>
      <c r="R377" s="8" t="n">
        <v>0</v>
      </c>
      <c r="S377" s="8" t="n"/>
      <c r="T377" s="8" t="n"/>
      <c r="U377" s="8" t="n"/>
      <c r="V377" s="8" t="n">
        <v>1.5</v>
      </c>
      <c r="W377" s="8" t="n">
        <v>0</v>
      </c>
      <c r="X377" s="8" t="n">
        <v>0</v>
      </c>
      <c r="Y377" s="8" t="inlineStr">
        <is>
          <t>silica = Aerosil R-972; carbon black N-550</t>
        </is>
      </c>
      <c r="Z377" s="8" t="n">
        <v>77</v>
      </c>
      <c r="AA377" s="8" t="n">
        <v>13.17</v>
      </c>
      <c r="AB377" s="8" t="n">
        <v>155</v>
      </c>
      <c r="AC377" s="8" t="n">
        <v>8.34</v>
      </c>
      <c r="AD377" s="8" t="n">
        <v>18</v>
      </c>
      <c r="AE377" s="8" t="inlineStr">
        <is>
          <t>230C x 70h, 25% deformation (ASTM D395 B)</t>
        </is>
      </c>
      <c r="AF377" s="8" t="n"/>
      <c r="AG377" s="8" t="n"/>
      <c r="AH377" s="8" t="inlineStr">
        <is>
          <t>grams; tensile/M100 in psi (converted x0.00689476); CS %</t>
        </is>
      </c>
      <c r="AI377"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ASTM D412 Die D. other CS: 230C x 168h 25% = 35; 300C x 70h 18% = 43; 300C x 168h 18% = 52. Crosslink density 1.3 mol%.</t>
        </is>
      </c>
    </row>
    <row r="378">
      <c r="A378" s="8" t="inlineStr">
        <is>
          <t>KR101467101B1</t>
        </is>
      </c>
      <c r="B378" s="8" t="inlineStr">
        <is>
          <t>patent</t>
        </is>
      </c>
      <c r="C378" s="8" t="inlineStr">
        <is>
          <t>M&amp;E Co., Ltd. (주식회사 엠앤이)</t>
        </is>
      </c>
      <c r="D378" s="8" t="inlineStr">
        <is>
          <t>Compound for sealing (FFKM compound for semiconductor/LCD CVD equipment)</t>
        </is>
      </c>
      <c r="E378" s="8" t="inlineStr">
        <is>
          <t>https://patents.google.com/patent/KR101467101B1/en</t>
        </is>
      </c>
      <c r="F378" s="8" t="inlineStr">
        <is>
          <t>Table 1 compound FFKM C</t>
        </is>
      </c>
      <c r="G378" s="8" t="inlineStr">
        <is>
          <t>FFKM</t>
        </is>
      </c>
      <c r="H378" s="8" t="inlineStr">
        <is>
          <t>FFKM masterbatch "FFKM C" (raw gum unspecified)</t>
        </is>
      </c>
      <c r="I378" s="8" t="n"/>
      <c r="J378" s="8" t="n">
        <v>100</v>
      </c>
      <c r="K378" s="8" t="n">
        <v>0</v>
      </c>
      <c r="L378" s="8" t="n">
        <v>1.5</v>
      </c>
      <c r="M378" s="8" t="n">
        <v>0</v>
      </c>
      <c r="N378" s="8" t="n">
        <v>0</v>
      </c>
      <c r="O378" s="8" t="n">
        <v>5</v>
      </c>
      <c r="P378" s="8" t="n">
        <v>0</v>
      </c>
      <c r="Q378" s="8" t="n">
        <v>0</v>
      </c>
      <c r="R378" s="8" t="n">
        <v>0</v>
      </c>
      <c r="S378" s="8" t="n"/>
      <c r="T378" s="8" t="n"/>
      <c r="U378" s="8" t="n"/>
      <c r="V378" s="8" t="n">
        <v>1.5</v>
      </c>
      <c r="W378" s="8" t="n">
        <v>0</v>
      </c>
      <c r="X378" s="8" t="n">
        <v>0</v>
      </c>
      <c r="Y378" s="8" t="inlineStr">
        <is>
          <t>silica = Aerosil R-972; carbon black N-550; TiO2 5.0</t>
        </is>
      </c>
      <c r="Z378" s="8" t="n">
        <v>77</v>
      </c>
      <c r="AA378" s="8" t="n">
        <v>12.1</v>
      </c>
      <c r="AB378" s="8" t="n">
        <v>225</v>
      </c>
      <c r="AC378" s="8" t="n">
        <v>4.72</v>
      </c>
      <c r="AD378" s="8" t="n">
        <v>18</v>
      </c>
      <c r="AE378" s="8" t="inlineStr">
        <is>
          <t>230C x 70h, 25% deformation (ASTM D395 B)</t>
        </is>
      </c>
      <c r="AF378" s="8" t="n"/>
      <c r="AG378" s="8" t="n"/>
      <c r="AH378" s="8" t="inlineStr">
        <is>
          <t>grams; tensile/M100 in psi (converted x0.00689476); CS %</t>
        </is>
      </c>
      <c r="AI378"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ASTM D412 Die D. Polymer F content 73.1% (NMR), Mooney 109 (ML1+10 121C). Crosslink density 1.3 mol%.</t>
        </is>
      </c>
    </row>
    <row r="379">
      <c r="A379" s="8" t="inlineStr">
        <is>
          <t>KR101467101B1</t>
        </is>
      </c>
      <c r="B379" s="8" t="inlineStr">
        <is>
          <t>patent</t>
        </is>
      </c>
      <c r="C379" s="8" t="inlineStr">
        <is>
          <t>M&amp;E Co., Ltd. (주식회사 엠앤이)</t>
        </is>
      </c>
      <c r="D379" s="8" t="inlineStr">
        <is>
          <t>Compound for sealing (FFKM compound for semiconductor/LCD CVD equipment)</t>
        </is>
      </c>
      <c r="E379" s="8" t="inlineStr">
        <is>
          <t>https://patents.google.com/patent/KR101467101B1/en</t>
        </is>
      </c>
      <c r="F379" s="8" t="inlineStr">
        <is>
          <t>Table 1 compound FFKM D</t>
        </is>
      </c>
      <c r="G379" s="8" t="inlineStr">
        <is>
          <t>FFKM</t>
        </is>
      </c>
      <c r="H379" s="8" t="inlineStr">
        <is>
          <t>FFKM masterbatch "FFKM D" (raw gum unspecified)</t>
        </is>
      </c>
      <c r="I379" s="8" t="n"/>
      <c r="J379" s="8" t="n">
        <v>100</v>
      </c>
      <c r="K379" s="8" t="n">
        <v>28</v>
      </c>
      <c r="L379" s="8" t="n">
        <v>1.5</v>
      </c>
      <c r="M379" s="8" t="n">
        <v>0</v>
      </c>
      <c r="N379" s="8" t="n">
        <v>0</v>
      </c>
      <c r="O379" s="8" t="n">
        <v>0</v>
      </c>
      <c r="P379" s="8" t="n">
        <v>0</v>
      </c>
      <c r="Q379" s="8" t="n">
        <v>0</v>
      </c>
      <c r="R379" s="8" t="n">
        <v>0</v>
      </c>
      <c r="S379" s="8" t="n"/>
      <c r="T379" s="8" t="n"/>
      <c r="U379" s="8" t="n"/>
      <c r="V379" s="8" t="n"/>
      <c r="W379" s="8" t="n">
        <v>0</v>
      </c>
      <c r="X379" s="8" t="n">
        <v>0</v>
      </c>
      <c r="Y379" s="8" t="inlineStr">
        <is>
          <t>silica = Aerosil R-972; carbon black N-550/N-990</t>
        </is>
      </c>
      <c r="Z379" s="8" t="n">
        <v>78</v>
      </c>
      <c r="AA379" s="8" t="n">
        <v>12.07</v>
      </c>
      <c r="AB379" s="8" t="n">
        <v>130</v>
      </c>
      <c r="AC379" s="8" t="n">
        <v>10.27</v>
      </c>
      <c r="AD379" s="8" t="n"/>
      <c r="AE379" s="8" t="n"/>
      <c r="AF379" s="8" t="n"/>
      <c r="AG379" s="8" t="n"/>
      <c r="AH379" s="8" t="inlineStr">
        <is>
          <t>grams; tensile/M100 in psi (converted x0.00689476); CS %</t>
        </is>
      </c>
      <c r="AI379"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ASTM D412 Die D. No CS reported. No curative listed in the D recipe (curative columns left empty). Crosslink density 1.9 mol%.</t>
        </is>
      </c>
    </row>
    <row r="380">
      <c r="A380" s="8" t="inlineStr">
        <is>
          <t>KR101467101B1</t>
        </is>
      </c>
      <c r="B380" s="8" t="inlineStr">
        <is>
          <t>patent</t>
        </is>
      </c>
      <c r="C380" s="8" t="inlineStr">
        <is>
          <t>M&amp;E Co., Ltd. (주식회사 엠앤이)</t>
        </is>
      </c>
      <c r="D380" s="8" t="inlineStr">
        <is>
          <t>Compound for sealing (FFKM compound for semiconductor/LCD CVD equipment)</t>
        </is>
      </c>
      <c r="E380" s="8" t="inlineStr">
        <is>
          <t>https://patents.google.com/patent/KR101467101B1/en</t>
        </is>
      </c>
      <c r="F380" s="8" t="inlineStr">
        <is>
          <t>Table 2 sample 1</t>
        </is>
      </c>
      <c r="G380" s="8" t="inlineStr">
        <is>
          <t>FFKM</t>
        </is>
      </c>
      <c r="H380" s="8" t="inlineStr">
        <is>
          <t>FFKM masterbatch "FFKM B" 100 g</t>
        </is>
      </c>
      <c r="I380" s="8" t="n"/>
      <c r="J380" s="8" t="n">
        <v>100</v>
      </c>
      <c r="K380" s="8" t="n">
        <v>15</v>
      </c>
      <c r="L380" s="8" t="n">
        <v>1.5</v>
      </c>
      <c r="M380" s="8" t="n">
        <v>0</v>
      </c>
      <c r="N380" s="8" t="n">
        <v>0</v>
      </c>
      <c r="O380" s="8" t="n">
        <v>0</v>
      </c>
      <c r="P380" s="8" t="n">
        <v>0</v>
      </c>
      <c r="Q380" s="8" t="n">
        <v>0</v>
      </c>
      <c r="R380" s="8" t="n">
        <v>0</v>
      </c>
      <c r="S380" s="8" t="n"/>
      <c r="T380" s="8" t="n"/>
      <c r="U380" s="8" t="n"/>
      <c r="V380" s="8" t="n">
        <v>1.5</v>
      </c>
      <c r="W380" s="8" t="n">
        <v>0</v>
      </c>
      <c r="X380" s="8" t="n">
        <v>0</v>
      </c>
      <c r="Y380" s="8" t="inlineStr">
        <is>
          <t>FFKM B compound 100 + accelerator (catalyst) 0; silica = Aerosil R-972; carbon black N-550</t>
        </is>
      </c>
      <c r="Z380" s="8" t="n">
        <v>55</v>
      </c>
      <c r="AA380" s="8" t="n">
        <v>7.92</v>
      </c>
      <c r="AB380" s="8" t="n">
        <v>223.2</v>
      </c>
      <c r="AC380" s="8" t="n">
        <v>1.83</v>
      </c>
      <c r="AD380" s="8" t="n"/>
      <c r="AE380" s="8" t="n"/>
      <c r="AF380" s="8" t="n"/>
      <c r="AG380" s="8" t="n"/>
      <c r="AH380" s="8" t="inlineStr">
        <is>
          <t>parts per 100 g compound; kgf/cm2 converted x0.0980665; CS %</t>
        </is>
      </c>
      <c r="AI380"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specimen cracked (no value). ASTM D412 Die D.</t>
        </is>
      </c>
    </row>
    <row r="381">
      <c r="A381" s="8" t="inlineStr">
        <is>
          <t>KR101467101B1</t>
        </is>
      </c>
      <c r="B381" s="8" t="inlineStr">
        <is>
          <t>patent</t>
        </is>
      </c>
      <c r="C381" s="8" t="inlineStr">
        <is>
          <t>M&amp;E Co., Ltd. (주식회사 엠앤이)</t>
        </is>
      </c>
      <c r="D381" s="8" t="inlineStr">
        <is>
          <t>Compound for sealing (FFKM compound for semiconductor/LCD CVD equipment)</t>
        </is>
      </c>
      <c r="E381" s="8" t="inlineStr">
        <is>
          <t>https://patents.google.com/patent/KR101467101B1/en</t>
        </is>
      </c>
      <c r="F381" s="8" t="inlineStr">
        <is>
          <t>Table 2 sample 2</t>
        </is>
      </c>
      <c r="G381" s="8" t="inlineStr">
        <is>
          <t>FFKM</t>
        </is>
      </c>
      <c r="H381" s="8" t="inlineStr">
        <is>
          <t>FFKM masterbatch "FFKM B" 100 g</t>
        </is>
      </c>
      <c r="I381" s="8" t="n"/>
      <c r="J381" s="8" t="n">
        <v>100</v>
      </c>
      <c r="K381" s="8" t="n">
        <v>15</v>
      </c>
      <c r="L381" s="8" t="n">
        <v>1.5</v>
      </c>
      <c r="M381" s="8" t="n">
        <v>0</v>
      </c>
      <c r="N381" s="8" t="n">
        <v>0</v>
      </c>
      <c r="O381" s="8" t="n">
        <v>0</v>
      </c>
      <c r="P381" s="8" t="n">
        <v>0</v>
      </c>
      <c r="Q381" s="8" t="n">
        <v>0</v>
      </c>
      <c r="R381" s="8" t="n">
        <v>0</v>
      </c>
      <c r="S381" s="8" t="n"/>
      <c r="T381" s="8" t="n"/>
      <c r="U381" s="8" t="n"/>
      <c r="V381" s="8" t="n">
        <v>1.68</v>
      </c>
      <c r="W381" s="8" t="n">
        <v>0</v>
      </c>
      <c r="X381" s="8" t="n">
        <v>0</v>
      </c>
      <c r="Y381" s="8" t="inlineStr">
        <is>
          <t>FFKM B compound 100 + accelerator (catalyst) 0.15; silica = Aerosil R-972; carbon black N-550</t>
        </is>
      </c>
      <c r="Z381" s="8" t="n">
        <v>58</v>
      </c>
      <c r="AA381" s="8" t="n">
        <v>9.32</v>
      </c>
      <c r="AB381" s="8" t="n">
        <v>239.9</v>
      </c>
      <c r="AC381" s="8" t="n">
        <v>1.76</v>
      </c>
      <c r="AD381" s="8" t="n"/>
      <c r="AE381" s="8" t="n"/>
      <c r="AF381" s="8" t="n"/>
      <c r="AG381" s="8" t="n"/>
      <c r="AH381" s="8" t="inlineStr">
        <is>
          <t>parts per 100 g compound; kgf/cm2 converted x0.0980665; CS %</t>
        </is>
      </c>
      <c r="AI381"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specimen cracked (no value). ASTM D412 Die D.</t>
        </is>
      </c>
    </row>
    <row r="382">
      <c r="A382" s="8" t="inlineStr">
        <is>
          <t>KR101467101B1</t>
        </is>
      </c>
      <c r="B382" s="8" t="inlineStr">
        <is>
          <t>patent</t>
        </is>
      </c>
      <c r="C382" s="8" t="inlineStr">
        <is>
          <t>M&amp;E Co., Ltd. (주식회사 엠앤이)</t>
        </is>
      </c>
      <c r="D382" s="8" t="inlineStr">
        <is>
          <t>Compound for sealing (FFKM compound for semiconductor/LCD CVD equipment)</t>
        </is>
      </c>
      <c r="E382" s="8" t="inlineStr">
        <is>
          <t>https://patents.google.com/patent/KR101467101B1/en</t>
        </is>
      </c>
      <c r="F382" s="8" t="inlineStr">
        <is>
          <t>Table 2 sample 3</t>
        </is>
      </c>
      <c r="G382" s="8" t="inlineStr">
        <is>
          <t>FFKM</t>
        </is>
      </c>
      <c r="H382" s="8" t="inlineStr">
        <is>
          <t>FFKM masterbatch "FFKM B" 100 g</t>
        </is>
      </c>
      <c r="I382" s="8" t="n"/>
      <c r="J382" s="8" t="n">
        <v>100</v>
      </c>
      <c r="K382" s="8" t="n">
        <v>15</v>
      </c>
      <c r="L382" s="8" t="n">
        <v>1.5</v>
      </c>
      <c r="M382" s="8" t="n">
        <v>0</v>
      </c>
      <c r="N382" s="8" t="n">
        <v>0</v>
      </c>
      <c r="O382" s="8" t="n">
        <v>0</v>
      </c>
      <c r="P382" s="8" t="n">
        <v>0</v>
      </c>
      <c r="Q382" s="8" t="n">
        <v>0</v>
      </c>
      <c r="R382" s="8" t="n">
        <v>0</v>
      </c>
      <c r="S382" s="8" t="n"/>
      <c r="T382" s="8" t="n"/>
      <c r="U382" s="8" t="n"/>
      <c r="V382" s="8" t="n">
        <v>2.68</v>
      </c>
      <c r="W382" s="8" t="n">
        <v>0</v>
      </c>
      <c r="X382" s="8" t="n">
        <v>0</v>
      </c>
      <c r="Y382" s="8" t="inlineStr">
        <is>
          <t>FFKM B compound 100 + accelerator (catalyst) 1; silica = Aerosil R-972; carbon black N-550</t>
        </is>
      </c>
      <c r="Z382" s="8" t="n">
        <v>65</v>
      </c>
      <c r="AA382" s="8" t="n">
        <v>8.800000000000001</v>
      </c>
      <c r="AB382" s="8" t="n">
        <v>235.4</v>
      </c>
      <c r="AC382" s="8" t="n">
        <v>1.89</v>
      </c>
      <c r="AD382" s="8" t="n"/>
      <c r="AE382" s="8" t="n"/>
      <c r="AF382" s="8" t="n"/>
      <c r="AG382" s="8" t="n"/>
      <c r="AH382" s="8" t="inlineStr">
        <is>
          <t>parts per 100 g compound; kgf/cm2 converted x0.0980665; CS %</t>
        </is>
      </c>
      <c r="AI382"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specimen cracked (no value). ASTM D412 Die D.</t>
        </is>
      </c>
    </row>
    <row r="383">
      <c r="A383" s="8" t="inlineStr">
        <is>
          <t>KR101467101B1</t>
        </is>
      </c>
      <c r="B383" s="8" t="inlineStr">
        <is>
          <t>patent</t>
        </is>
      </c>
      <c r="C383" s="8" t="inlineStr">
        <is>
          <t>M&amp;E Co., Ltd. (주식회사 엠앤이)</t>
        </is>
      </c>
      <c r="D383" s="8" t="inlineStr">
        <is>
          <t>Compound for sealing (FFKM compound for semiconductor/LCD CVD equipment)</t>
        </is>
      </c>
      <c r="E383" s="8" t="inlineStr">
        <is>
          <t>https://patents.google.com/patent/KR101467101B1/en</t>
        </is>
      </c>
      <c r="F383" s="8" t="inlineStr">
        <is>
          <t>Example 1 (Table 2 sample 4)</t>
        </is>
      </c>
      <c r="G383" s="8" t="inlineStr">
        <is>
          <t>FFKM</t>
        </is>
      </c>
      <c r="H383" s="8" t="inlineStr">
        <is>
          <t>FFKM masterbatch "FFKM B" 100 g</t>
        </is>
      </c>
      <c r="I383" s="8" t="n"/>
      <c r="J383" s="8" t="n">
        <v>100</v>
      </c>
      <c r="K383" s="8" t="n">
        <v>15</v>
      </c>
      <c r="L383" s="8" t="n">
        <v>1.5</v>
      </c>
      <c r="M383" s="8" t="n">
        <v>0</v>
      </c>
      <c r="N383" s="8" t="n">
        <v>0</v>
      </c>
      <c r="O383" s="8" t="n">
        <v>0</v>
      </c>
      <c r="P383" s="8" t="n">
        <v>0</v>
      </c>
      <c r="Q383" s="8" t="n">
        <v>0</v>
      </c>
      <c r="R383" s="8" t="n">
        <v>0</v>
      </c>
      <c r="S383" s="8" t="n"/>
      <c r="T383" s="8" t="n"/>
      <c r="U383" s="8" t="n"/>
      <c r="V383" s="8" t="n">
        <v>3.86</v>
      </c>
      <c r="W383" s="8" t="n">
        <v>0</v>
      </c>
      <c r="X383" s="8" t="n">
        <v>0</v>
      </c>
      <c r="Y383" s="8" t="inlineStr">
        <is>
          <t>FFKM B compound 100 + accelerator (catalyst) 2; silica = Aerosil R-972; carbon black N-550</t>
        </is>
      </c>
      <c r="Z383" s="8" t="n">
        <v>64</v>
      </c>
      <c r="AA383" s="8" t="n">
        <v>9.210000000000001</v>
      </c>
      <c r="AB383" s="8" t="n">
        <v>226.9</v>
      </c>
      <c r="AC383" s="8" t="n">
        <v>1.81</v>
      </c>
      <c r="AD383" s="8" t="n">
        <v>22.7</v>
      </c>
      <c r="AE383" s="8" t="inlineStr">
        <is>
          <t>300C x 72h, 25% deformation (ASTM D395 B)</t>
        </is>
      </c>
      <c r="AF383" s="8" t="n"/>
      <c r="AG383" s="8" t="n"/>
      <c r="AH383" s="8" t="inlineStr">
        <is>
          <t>parts per 100 g compound; kgf/cm2 converted x0.0980665; CS %</t>
        </is>
      </c>
      <c r="AI383"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ASTM D412 Die D.</t>
        </is>
      </c>
    </row>
    <row r="384">
      <c r="A384" s="8" t="inlineStr">
        <is>
          <t>KR101467101B1</t>
        </is>
      </c>
      <c r="B384" s="8" t="inlineStr">
        <is>
          <t>patent</t>
        </is>
      </c>
      <c r="C384" s="8" t="inlineStr">
        <is>
          <t>M&amp;E Co., Ltd. (주식회사 엠앤이)</t>
        </is>
      </c>
      <c r="D384" s="8" t="inlineStr">
        <is>
          <t>Compound for sealing (FFKM compound for semiconductor/LCD CVD equipment)</t>
        </is>
      </c>
      <c r="E384" s="8" t="inlineStr">
        <is>
          <t>https://patents.google.com/patent/KR101467101B1/en</t>
        </is>
      </c>
      <c r="F384" s="8" t="inlineStr">
        <is>
          <t>Table 2 sample 5</t>
        </is>
      </c>
      <c r="G384" s="8" t="inlineStr">
        <is>
          <t>FFKM</t>
        </is>
      </c>
      <c r="H384" s="8" t="inlineStr">
        <is>
          <t>FFKM masterbatch "FFKM B" 100 g</t>
        </is>
      </c>
      <c r="I384" s="8" t="n"/>
      <c r="J384" s="8" t="n">
        <v>100</v>
      </c>
      <c r="K384" s="8" t="n">
        <v>15</v>
      </c>
      <c r="L384" s="8" t="n">
        <v>1.5</v>
      </c>
      <c r="M384" s="8" t="n">
        <v>0</v>
      </c>
      <c r="N384" s="8" t="n">
        <v>0</v>
      </c>
      <c r="O384" s="8" t="n">
        <v>0</v>
      </c>
      <c r="P384" s="8" t="n">
        <v>0</v>
      </c>
      <c r="Q384" s="8" t="n">
        <v>0</v>
      </c>
      <c r="R384" s="8" t="n">
        <v>0</v>
      </c>
      <c r="S384" s="8" t="n"/>
      <c r="T384" s="8" t="n"/>
      <c r="U384" s="8" t="n"/>
      <c r="V384" s="8" t="n">
        <v>2.68</v>
      </c>
      <c r="W384" s="8" t="n">
        <v>0</v>
      </c>
      <c r="X384" s="8" t="n">
        <v>0</v>
      </c>
      <c r="Y384" s="8" t="inlineStr">
        <is>
          <t>FFKM B compound 100 + accelerator (catalyst) 1; silica = Aerosil R-972; carbon black N-550</t>
        </is>
      </c>
      <c r="Z384" s="8" t="n">
        <v>67</v>
      </c>
      <c r="AA384" s="8" t="n">
        <v>9.949999999999999</v>
      </c>
      <c r="AB384" s="8" t="n">
        <v>213.9</v>
      </c>
      <c r="AC384" s="8" t="n">
        <v>2.03</v>
      </c>
      <c r="AD384" s="8" t="n"/>
      <c r="AE384" s="8" t="n"/>
      <c r="AF384" s="8" t="n"/>
      <c r="AG384" s="8" t="n"/>
      <c r="AH384" s="8" t="inlineStr">
        <is>
          <t>parts per 100 g compound; kgf/cm2 converted x0.0980665; CS %</t>
        </is>
      </c>
      <c r="AI384"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specimen cracked (no value). ASTM D412 Die D.</t>
        </is>
      </c>
    </row>
    <row r="385">
      <c r="A385" s="8" t="inlineStr">
        <is>
          <t>KR101467101B1</t>
        </is>
      </c>
      <c r="B385" s="8" t="inlineStr">
        <is>
          <t>patent</t>
        </is>
      </c>
      <c r="C385" s="8" t="inlineStr">
        <is>
          <t>M&amp;E Co., Ltd. (주식회사 엠앤이)</t>
        </is>
      </c>
      <c r="D385" s="8" t="inlineStr">
        <is>
          <t>Compound for sealing (FFKM compound for semiconductor/LCD CVD equipment)</t>
        </is>
      </c>
      <c r="E385" s="8" t="inlineStr">
        <is>
          <t>https://patents.google.com/patent/KR101467101B1/en</t>
        </is>
      </c>
      <c r="F385" s="8" t="inlineStr">
        <is>
          <t>Comparative Example 1 (Table 3 sample 1)</t>
        </is>
      </c>
      <c r="G385" s="8" t="inlineStr">
        <is>
          <t>FFKM</t>
        </is>
      </c>
      <c r="H385" s="8" t="inlineStr">
        <is>
          <t>FFKM masterbatch "FFKM D" 100 g</t>
        </is>
      </c>
      <c r="I385" s="8" t="n"/>
      <c r="J385" s="8" t="n">
        <v>100</v>
      </c>
      <c r="K385" s="8" t="n">
        <v>28</v>
      </c>
      <c r="L385" s="8" t="n">
        <v>1.5</v>
      </c>
      <c r="M385" s="8" t="n">
        <v>0</v>
      </c>
      <c r="N385" s="8" t="n">
        <v>0</v>
      </c>
      <c r="O385" s="8" t="n">
        <v>0</v>
      </c>
      <c r="P385" s="8" t="n">
        <v>0</v>
      </c>
      <c r="Q385" s="8" t="n">
        <v>0</v>
      </c>
      <c r="R385" s="8" t="n">
        <v>0</v>
      </c>
      <c r="S385" s="8" t="n"/>
      <c r="T385" s="8" t="n"/>
      <c r="U385" s="8" t="n"/>
      <c r="V385" s="8" t="n"/>
      <c r="W385" s="8" t="n">
        <v>0</v>
      </c>
      <c r="X385" s="8" t="n">
        <v>0</v>
      </c>
      <c r="Y385" s="8" t="inlineStr">
        <is>
          <t>FFKM D compound 100 + vulcanizing agent 0 + accelerator 0; silica = Aerosil R-972; carbon black N-550/N-990</t>
        </is>
      </c>
      <c r="Z385" s="8" t="n">
        <v>67</v>
      </c>
      <c r="AA385" s="8" t="n">
        <v>8.609999999999999</v>
      </c>
      <c r="AB385" s="8" t="n">
        <v>171.5</v>
      </c>
      <c r="AC385" s="8" t="n">
        <v>2.58</v>
      </c>
      <c r="AD385" s="8" t="n"/>
      <c r="AE385" s="8" t="n"/>
      <c r="AF385" s="8" t="n"/>
      <c r="AG385" s="8" t="n"/>
      <c r="AH385" s="8" t="inlineStr">
        <is>
          <t>parts per 100 g compound; kgf/cm2 converted x0.0980665</t>
        </is>
      </c>
      <c r="AI385"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all Table 3 specimens cracked. ASTM D412 Die D.</t>
        </is>
      </c>
    </row>
    <row r="386">
      <c r="A386" s="8" t="inlineStr">
        <is>
          <t>KR101467101B1</t>
        </is>
      </c>
      <c r="B386" s="8" t="inlineStr">
        <is>
          <t>patent</t>
        </is>
      </c>
      <c r="C386" s="8" t="inlineStr">
        <is>
          <t>M&amp;E Co., Ltd. (주식회사 엠앤이)</t>
        </is>
      </c>
      <c r="D386" s="8" t="inlineStr">
        <is>
          <t>Compound for sealing (FFKM compound for semiconductor/LCD CVD equipment)</t>
        </is>
      </c>
      <c r="E386" s="8" t="inlineStr">
        <is>
          <t>https://patents.google.com/patent/KR101467101B1/en</t>
        </is>
      </c>
      <c r="F386" s="8" t="inlineStr">
        <is>
          <t>Comparative Example 1 (Table 3 sample 2)</t>
        </is>
      </c>
      <c r="G386" s="8" t="inlineStr">
        <is>
          <t>FFKM</t>
        </is>
      </c>
      <c r="H386" s="8" t="inlineStr">
        <is>
          <t>FFKM masterbatch "FFKM D" 100 g</t>
        </is>
      </c>
      <c r="I386" s="8" t="n"/>
      <c r="J386" s="8" t="n">
        <v>100</v>
      </c>
      <c r="K386" s="8" t="n">
        <v>28</v>
      </c>
      <c r="L386" s="8" t="n">
        <v>1.5</v>
      </c>
      <c r="M386" s="8" t="n">
        <v>0</v>
      </c>
      <c r="N386" s="8" t="n">
        <v>0</v>
      </c>
      <c r="O386" s="8" t="n">
        <v>0</v>
      </c>
      <c r="P386" s="8" t="n">
        <v>0</v>
      </c>
      <c r="Q386" s="8" t="n">
        <v>0</v>
      </c>
      <c r="R386" s="8" t="n">
        <v>0</v>
      </c>
      <c r="S386" s="8" t="n"/>
      <c r="T386" s="8" t="n"/>
      <c r="U386" s="8" t="n"/>
      <c r="V386" s="8" t="n">
        <v>0.19</v>
      </c>
      <c r="W386" s="8" t="n">
        <v>0</v>
      </c>
      <c r="X386" s="8" t="n">
        <v>0</v>
      </c>
      <c r="Y386" s="8" t="inlineStr">
        <is>
          <t>FFKM D compound 100 + vulcanizing agent 0 + accelerator 0.15; silica = Aerosil R-972; carbon black N-550/N-990</t>
        </is>
      </c>
      <c r="Z386" s="8" t="n">
        <v>67</v>
      </c>
      <c r="AA386" s="8" t="n">
        <v>9.359999999999999</v>
      </c>
      <c r="AB386" s="8" t="n">
        <v>156.1</v>
      </c>
      <c r="AC386" s="8" t="n">
        <v>3.16</v>
      </c>
      <c r="AD386" s="8" t="n"/>
      <c r="AE386" s="8" t="n"/>
      <c r="AF386" s="8" t="n"/>
      <c r="AG386" s="8" t="n"/>
      <c r="AH386" s="8" t="inlineStr">
        <is>
          <t>parts per 100 g compound; kgf/cm2 converted x0.0980665</t>
        </is>
      </c>
      <c r="AI386"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all Table 3 specimens cracked. Samples 2 and 3 have identical listed recipes. ASTM D412 Die D.</t>
        </is>
      </c>
    </row>
    <row r="387">
      <c r="A387" s="8" t="inlineStr">
        <is>
          <t>KR101467101B1</t>
        </is>
      </c>
      <c r="B387" s="8" t="inlineStr">
        <is>
          <t>patent</t>
        </is>
      </c>
      <c r="C387" s="8" t="inlineStr">
        <is>
          <t>M&amp;E Co., Ltd. (주식회사 엠앤이)</t>
        </is>
      </c>
      <c r="D387" s="8" t="inlineStr">
        <is>
          <t>Compound for sealing (FFKM compound for semiconductor/LCD CVD equipment)</t>
        </is>
      </c>
      <c r="E387" s="8" t="inlineStr">
        <is>
          <t>https://patents.google.com/patent/KR101467101B1/en</t>
        </is>
      </c>
      <c r="F387" s="8" t="inlineStr">
        <is>
          <t>Comparative Example 1 (Table 3 sample 3)</t>
        </is>
      </c>
      <c r="G387" s="8" t="inlineStr">
        <is>
          <t>FFKM</t>
        </is>
      </c>
      <c r="H387" s="8" t="inlineStr">
        <is>
          <t>FFKM masterbatch "FFKM D" 100 g</t>
        </is>
      </c>
      <c r="I387" s="8" t="n"/>
      <c r="J387" s="8" t="n">
        <v>100</v>
      </c>
      <c r="K387" s="8" t="n">
        <v>28</v>
      </c>
      <c r="L387" s="8" t="n">
        <v>1.5</v>
      </c>
      <c r="M387" s="8" t="n">
        <v>0</v>
      </c>
      <c r="N387" s="8" t="n">
        <v>0</v>
      </c>
      <c r="O387" s="8" t="n">
        <v>0</v>
      </c>
      <c r="P387" s="8" t="n">
        <v>0</v>
      </c>
      <c r="Q387" s="8" t="n">
        <v>0</v>
      </c>
      <c r="R387" s="8" t="n">
        <v>0</v>
      </c>
      <c r="S387" s="8" t="n"/>
      <c r="T387" s="8" t="n"/>
      <c r="U387" s="8" t="n"/>
      <c r="V387" s="8" t="n">
        <v>0.19</v>
      </c>
      <c r="W387" s="8" t="n">
        <v>0</v>
      </c>
      <c r="X387" s="8" t="n">
        <v>0</v>
      </c>
      <c r="Y387" s="8" t="inlineStr">
        <is>
          <t>FFKM D compound 100 + vulcanizing agent 0 + accelerator 0.15; silica = Aerosil R-972; carbon black N-550/N-990</t>
        </is>
      </c>
      <c r="Z387" s="8" t="n">
        <v>67</v>
      </c>
      <c r="AA387" s="8" t="n">
        <v>9.17</v>
      </c>
      <c r="AB387" s="8" t="n">
        <v>156.7</v>
      </c>
      <c r="AC387" s="8" t="n">
        <v>3.03</v>
      </c>
      <c r="AD387" s="8" t="n"/>
      <c r="AE387" s="8" t="n"/>
      <c r="AF387" s="8" t="n"/>
      <c r="AG387" s="8" t="n"/>
      <c r="AH387" s="8" t="inlineStr">
        <is>
          <t>parts per 100 g compound; kgf/cm2 converted x0.0980665</t>
        </is>
      </c>
      <c r="AI387"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all Table 3 specimens cracked. Samples 2 and 3 have identical listed recipes. ASTM D412 Die D.</t>
        </is>
      </c>
    </row>
    <row r="388">
      <c r="A388" s="8" t="inlineStr">
        <is>
          <t>KR101467101B1</t>
        </is>
      </c>
      <c r="B388" s="8" t="inlineStr">
        <is>
          <t>patent</t>
        </is>
      </c>
      <c r="C388" s="8" t="inlineStr">
        <is>
          <t>M&amp;E Co., Ltd. (주식회사 엠앤이)</t>
        </is>
      </c>
      <c r="D388" s="8" t="inlineStr">
        <is>
          <t>Compound for sealing (FFKM compound for semiconductor/LCD CVD equipment)</t>
        </is>
      </c>
      <c r="E388" s="8" t="inlineStr">
        <is>
          <t>https://patents.google.com/patent/KR101467101B1/en</t>
        </is>
      </c>
      <c r="F388" s="8" t="inlineStr">
        <is>
          <t>Comparative Example 1 (Table 3 sample 4)</t>
        </is>
      </c>
      <c r="G388" s="8" t="inlineStr">
        <is>
          <t>FFKM</t>
        </is>
      </c>
      <c r="H388" s="8" t="inlineStr">
        <is>
          <t>FFKM masterbatch "FFKM D" 100 g</t>
        </is>
      </c>
      <c r="I388" s="8" t="n"/>
      <c r="J388" s="8" t="n">
        <v>100</v>
      </c>
      <c r="K388" s="8" t="n">
        <v>28</v>
      </c>
      <c r="L388" s="8" t="n">
        <v>1.5</v>
      </c>
      <c r="M388" s="8" t="n">
        <v>0</v>
      </c>
      <c r="N388" s="8" t="n">
        <v>0</v>
      </c>
      <c r="O388" s="8" t="n">
        <v>0</v>
      </c>
      <c r="P388" s="8" t="n">
        <v>0</v>
      </c>
      <c r="Q388" s="8" t="n">
        <v>0</v>
      </c>
      <c r="R388" s="8" t="n">
        <v>0</v>
      </c>
      <c r="S388" s="8" t="n"/>
      <c r="T388" s="8" t="n"/>
      <c r="U388" s="8" t="n"/>
      <c r="V388" s="8" t="n">
        <v>2.59</v>
      </c>
      <c r="W388" s="8" t="n">
        <v>0</v>
      </c>
      <c r="X388" s="8" t="n">
        <v>0</v>
      </c>
      <c r="Y388" s="8" t="inlineStr">
        <is>
          <t>FFKM D compound 100 + vulcanizing agent 1 + accelerator 1; silica = Aerosil R-972; carbon black N-550/N-990</t>
        </is>
      </c>
      <c r="Z388" s="8" t="n">
        <v>67</v>
      </c>
      <c r="AA388" s="8" t="n">
        <v>8.16</v>
      </c>
      <c r="AB388" s="8" t="n">
        <v>141.6</v>
      </c>
      <c r="AC388" s="8" t="n">
        <v>3.32</v>
      </c>
      <c r="AD388" s="8" t="n"/>
      <c r="AE388" s="8" t="n"/>
      <c r="AF388" s="8" t="n"/>
      <c r="AG388" s="8" t="n"/>
      <c r="AH388" s="8" t="inlineStr">
        <is>
          <t>parts per 100 g compound; kgf/cm2 converted x0.0980665</t>
        </is>
      </c>
      <c r="AI388"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300C x 72h 25%: all Table 3 specimens cracked. ASTM D412 Die D.</t>
        </is>
      </c>
    </row>
    <row r="389">
      <c r="A389" s="8" t="inlineStr">
        <is>
          <t>KR101467101B1</t>
        </is>
      </c>
      <c r="B389" s="8" t="inlineStr">
        <is>
          <t>patent</t>
        </is>
      </c>
      <c r="C389" s="8" t="inlineStr">
        <is>
          <t>M&amp;E Co., Ltd. (주식회사 엠앤이)</t>
        </is>
      </c>
      <c r="D389" s="8" t="inlineStr">
        <is>
          <t>Compound for sealing (FFKM compound for semiconductor/LCD CVD equipment)</t>
        </is>
      </c>
      <c r="E389" s="8" t="inlineStr">
        <is>
          <t>https://patents.google.com/patent/KR101467101B1/en</t>
        </is>
      </c>
      <c r="F389" s="8" t="inlineStr">
        <is>
          <t>Example 2</t>
        </is>
      </c>
      <c r="G389" s="8" t="inlineStr">
        <is>
          <t>FFKM</t>
        </is>
      </c>
      <c r="H389" s="8" t="inlineStr">
        <is>
          <t>FFKM masterbatch blend "FFKM B" 100 g</t>
        </is>
      </c>
      <c r="I389" s="8" t="n"/>
      <c r="J389" s="8" t="n">
        <v>100</v>
      </c>
      <c r="K389" s="8" t="n">
        <v>15</v>
      </c>
      <c r="L389" s="8" t="n">
        <v>3.86</v>
      </c>
      <c r="M389" s="8" t="n">
        <v>0</v>
      </c>
      <c r="N389" s="8" t="n">
        <v>0</v>
      </c>
      <c r="O389" s="8" t="n">
        <v>0</v>
      </c>
      <c r="P389" s="8" t="n">
        <v>0</v>
      </c>
      <c r="Q389" s="8" t="n">
        <v>0</v>
      </c>
      <c r="R389" s="8" t="n">
        <v>0</v>
      </c>
      <c r="S389" s="8" t="n"/>
      <c r="T389" s="8" t="n"/>
      <c r="U389" s="8" t="n"/>
      <c r="V389" s="8" t="n">
        <v>7.05</v>
      </c>
      <c r="W389" s="8" t="n">
        <v>0</v>
      </c>
      <c r="X389" s="8" t="n">
        <v>0</v>
      </c>
      <c r="Y389" s="8" t="inlineStr">
        <is>
          <t>compound(s) 100 + vulcanizing agent 2.7 + Aerosil R-972 2 + accelerator 2; carbon black N-550</t>
        </is>
      </c>
      <c r="Z389" s="8" t="n">
        <v>71</v>
      </c>
      <c r="AA389" s="8" t="n">
        <v>10.97</v>
      </c>
      <c r="AB389" s="8" t="n">
        <v>214.1</v>
      </c>
      <c r="AC389" s="8" t="n">
        <v>2.56</v>
      </c>
      <c r="AD389" s="8" t="n">
        <v>22.7</v>
      </c>
      <c r="AE389" s="8" t="inlineStr">
        <is>
          <t>300C x 72h, 25% deformation (ASTM D395 B)</t>
        </is>
      </c>
      <c r="AF389" s="8" t="n">
        <v>6.2</v>
      </c>
      <c r="AG389" s="8" t="inlineStr">
        <is>
          <t>O2 plasma, chamber 200C, RF 1200 W, 200 sccm, 150 mTorr, 60 min</t>
        </is>
      </c>
      <c r="AH389" s="8" t="inlineStr">
        <is>
          <t>parts per 100 g compound; kgf/cm2 converted x0.0980665; CS %; plasma weight change %</t>
        </is>
      </c>
      <c r="AI389"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Plasma weight loss other gases: NF3 72.2%, CF4 13.1%, SF6 8.1% (avg of 3). ASTM D412 Die D. Tables 7-8 (blends of A/B/C/D with 6.5-13 parts vulcanizing agent, incl. Comparative Example 3) omitted because the gum content of that vulcanizing agent is unknown.</t>
        </is>
      </c>
    </row>
    <row r="390">
      <c r="A390" s="8" t="inlineStr">
        <is>
          <t>KR101467101B1</t>
        </is>
      </c>
      <c r="B390" s="8" t="inlineStr">
        <is>
          <t>patent</t>
        </is>
      </c>
      <c r="C390" s="8" t="inlineStr">
        <is>
          <t>M&amp;E Co., Ltd. (주식회사 엠앤이)</t>
        </is>
      </c>
      <c r="D390" s="8" t="inlineStr">
        <is>
          <t>Compound for sealing (FFKM compound for semiconductor/LCD CVD equipment)</t>
        </is>
      </c>
      <c r="E390" s="8" t="inlineStr">
        <is>
          <t>https://patents.google.com/patent/KR101467101B1/en</t>
        </is>
      </c>
      <c r="F390" s="8" t="inlineStr">
        <is>
          <t>Comparative Example 2</t>
        </is>
      </c>
      <c r="G390" s="8" t="inlineStr">
        <is>
          <t>FFKM</t>
        </is>
      </c>
      <c r="H390" s="8" t="inlineStr">
        <is>
          <t>FFKM masterbatch blend "FFKM D" 100 g</t>
        </is>
      </c>
      <c r="I390" s="8" t="n"/>
      <c r="J390" s="8" t="n">
        <v>100</v>
      </c>
      <c r="K390" s="8" t="n">
        <v>28</v>
      </c>
      <c r="L390" s="8" t="n">
        <v>4.09</v>
      </c>
      <c r="M390" s="8" t="n">
        <v>0</v>
      </c>
      <c r="N390" s="8" t="n">
        <v>0</v>
      </c>
      <c r="O390" s="8" t="n">
        <v>0</v>
      </c>
      <c r="P390" s="8" t="n">
        <v>0</v>
      </c>
      <c r="Q390" s="8" t="n">
        <v>0</v>
      </c>
      <c r="R390" s="8" t="n">
        <v>0</v>
      </c>
      <c r="S390" s="8" t="n"/>
      <c r="T390" s="8" t="n"/>
      <c r="U390" s="8" t="n"/>
      <c r="V390" s="8" t="n">
        <v>6.09</v>
      </c>
      <c r="W390" s="8" t="n">
        <v>0</v>
      </c>
      <c r="X390" s="8" t="n">
        <v>0</v>
      </c>
      <c r="Y390" s="8" t="inlineStr">
        <is>
          <t>compound(s) 100 + vulcanizing agent 2.7 + Aerosil R-972 2 + accelerator 2; carbon black N-550/N-990</t>
        </is>
      </c>
      <c r="Z390" s="8" t="n">
        <v>75</v>
      </c>
      <c r="AA390" s="8" t="n">
        <v>10.96</v>
      </c>
      <c r="AB390" s="8" t="n">
        <v>148.8</v>
      </c>
      <c r="AC390" s="8" t="n">
        <v>4.27</v>
      </c>
      <c r="AD390" s="8" t="n"/>
      <c r="AE390" s="8" t="n"/>
      <c r="AF390" s="8" t="n">
        <v>4.6</v>
      </c>
      <c r="AG390" s="8" t="inlineStr">
        <is>
          <t>O2 plasma, chamber 200C, RF 1200 W, 200 sccm, 150 mTorr, 60 min</t>
        </is>
      </c>
      <c r="AH390" s="8" t="inlineStr">
        <is>
          <t>parts per 100 g compound; kgf/cm2 converted x0.0980665; CS %; plasma weight change %</t>
        </is>
      </c>
      <c r="AI390"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CS specimen cracked. Plasma weight loss other gases: NF3 15.5%, CF4 12.0%, SF6 4.8% (avg of 3). ASTM D412 Die D. Tables 7-8 (blends of A/B/C/D with 6.5-13 parts vulcanizing agent, incl. Comparative Example 3) omitted because the gum content of that vulcanizing agent is unknown.</t>
        </is>
      </c>
    </row>
    <row r="391">
      <c r="A391" s="8" t="inlineStr">
        <is>
          <t>KR101467101B1</t>
        </is>
      </c>
      <c r="B391" s="8" t="inlineStr">
        <is>
          <t>patent</t>
        </is>
      </c>
      <c r="C391" s="8" t="inlineStr">
        <is>
          <t>M&amp;E Co., Ltd. (주식회사 엠앤이)</t>
        </is>
      </c>
      <c r="D391" s="8" t="inlineStr">
        <is>
          <t>Compound for sealing (FFKM compound for semiconductor/LCD CVD equipment)</t>
        </is>
      </c>
      <c r="E391" s="8" t="inlineStr">
        <is>
          <t>https://patents.google.com/patent/KR101467101B1/en</t>
        </is>
      </c>
      <c r="F391" s="8" t="inlineStr">
        <is>
          <t>Example 3</t>
        </is>
      </c>
      <c r="G391" s="8" t="inlineStr">
        <is>
          <t>FFKM</t>
        </is>
      </c>
      <c r="H391" s="8" t="inlineStr">
        <is>
          <t>FFKM masterbatch blend "FFKM B" 50 g + "FFKM D" 50 g</t>
        </is>
      </c>
      <c r="I391" s="8" t="n"/>
      <c r="J391" s="8" t="n">
        <v>100</v>
      </c>
      <c r="K391" s="8" t="n">
        <v>21.2</v>
      </c>
      <c r="L391" s="8" t="n">
        <v>3.97</v>
      </c>
      <c r="M391" s="8" t="n">
        <v>0</v>
      </c>
      <c r="N391" s="8" t="n">
        <v>0</v>
      </c>
      <c r="O391" s="8" t="n">
        <v>0</v>
      </c>
      <c r="P391" s="8" t="n">
        <v>0</v>
      </c>
      <c r="Q391" s="8" t="n">
        <v>0</v>
      </c>
      <c r="R391" s="8" t="n">
        <v>0</v>
      </c>
      <c r="S391" s="8" t="n"/>
      <c r="T391" s="8" t="n"/>
      <c r="U391" s="8" t="n"/>
      <c r="V391" s="8" t="n">
        <v>6.59</v>
      </c>
      <c r="W391" s="8" t="n">
        <v>0</v>
      </c>
      <c r="X391" s="8" t="n">
        <v>0</v>
      </c>
      <c r="Y391" s="8" t="inlineStr">
        <is>
          <t>compound(s) 100 + vulcanizing agent 2.7 + Aerosil R-972 2 + accelerator 2; carbon black N-550/N-990</t>
        </is>
      </c>
      <c r="Z391" s="8" t="n">
        <v>74</v>
      </c>
      <c r="AA391" s="8" t="n">
        <v>13.71</v>
      </c>
      <c r="AB391" s="8" t="n">
        <v>213.2</v>
      </c>
      <c r="AC391" s="8" t="n">
        <v>2.79</v>
      </c>
      <c r="AD391" s="8" t="n">
        <v>21.96</v>
      </c>
      <c r="AE391" s="8" t="inlineStr">
        <is>
          <t>300C x 72h, 25% deformation (ASTM D395 B)</t>
        </is>
      </c>
      <c r="AF391" s="8" t="n">
        <v>3.6</v>
      </c>
      <c r="AG391" s="8" t="inlineStr">
        <is>
          <t>O2 plasma, chamber 200C, RF 1200 W, 200 sccm, 150 mTorr, 60 min</t>
        </is>
      </c>
      <c r="AH391" s="8" t="inlineStr">
        <is>
          <t>parts per 100 g compound; kgf/cm2 converted x0.0980665; CS %; plasma weight change %</t>
        </is>
      </c>
      <c r="AI391" s="8" t="inlineStr">
        <is>
          <t>Formulations are blends of the patent's FFKM masterbatch compounds (Table 1): A = gum 100 + vulcanizing agent D 1.5 + Aerosil R-972 1.5 + N-550 15; B = gum 94 + liquid vulcanizing agent A 7.5 (contains 6 g gum) + R-972 1.5 + N-550 15; C = gum 94 + curatives E-18412 5.0/E-18600 2.5 (contain 6 g gum) + R-972 1.5 + TiO2 5.0; D = gum 100 + R-972 1.5 + N-550 3 + N-990 25. phr recomputed per 100 g total gum by arithmetic, assuming the separately added "vulcanizing agent"/"accelerator" contain no gum. Curative chemistries not identified (cure_system left empty); other_curative = masterbatch curative + added vulcanizing agent + accelerator (catalyst). Plasma weight loss other gases: NF3 18.6%, CF4 13.1%, SF6 5.0% (avg of 3). ASTM D412 Die D. Tables 7-8 (blends of A/B/C/D with 6.5-13 parts vulcanizing agent, incl. Comparative Example 3) omitted because the gum content of that vulcanizing agent is unknown.</t>
        </is>
      </c>
    </row>
    <row r="392">
      <c r="A392" s="8" t="inlineStr">
        <is>
          <t>KR102796110B1</t>
        </is>
      </c>
      <c r="B392" s="8" t="inlineStr">
        <is>
          <t>patent</t>
        </is>
      </c>
      <c r="C392" s="8" t="inlineStr">
        <is>
          <t>DYFLEX Co., Ltd. (디와이플렉스 주식회사)</t>
        </is>
      </c>
      <c r="D392" s="8" t="inlineStr">
        <is>
          <t>Fluororubber-based composition for sealing</t>
        </is>
      </c>
      <c r="E392" s="8" t="inlineStr">
        <is>
          <t>https://patents.google.com/patent/KR102796110B1/en</t>
        </is>
      </c>
      <c r="F392" s="8" t="inlineStr">
        <is>
          <t>Example 1</t>
        </is>
      </c>
      <c r="G392" s="8" t="inlineStr">
        <is>
          <t>FKM</t>
        </is>
      </c>
      <c r="H392" s="8" t="inlineStr">
        <is>
          <t>Solvay Tecnoflon VPL85540 (FKM, low-temperature grade)</t>
        </is>
      </c>
      <c r="I392" s="8" t="inlineStr">
        <is>
          <t>peroxide</t>
        </is>
      </c>
      <c r="J392" s="8" t="n">
        <v>100</v>
      </c>
      <c r="K392" s="8" t="n">
        <v>30</v>
      </c>
      <c r="L392" s="8" t="n">
        <v>0</v>
      </c>
      <c r="M392" s="8" t="n">
        <v>0</v>
      </c>
      <c r="N392" s="8" t="n">
        <v>0</v>
      </c>
      <c r="O392" s="8" t="n">
        <v>0</v>
      </c>
      <c r="P392" s="8" t="n">
        <v>0</v>
      </c>
      <c r="Q392" s="8" t="n">
        <v>30</v>
      </c>
      <c r="R392" s="8" t="n">
        <v>0</v>
      </c>
      <c r="S392" s="8" t="n">
        <v>3</v>
      </c>
      <c r="T392" s="8" t="n">
        <v>2</v>
      </c>
      <c r="U392" s="8" t="n">
        <v>0</v>
      </c>
      <c r="V392" s="8" t="n">
        <v>0</v>
      </c>
      <c r="W392" s="8" t="n">
        <v>5</v>
      </c>
      <c r="X392" s="8" t="n">
        <v>1.2</v>
      </c>
      <c r="Y392" s="8" t="inlineStr">
        <is>
          <t>CaSiO3 (TREMIN 283 600AST) 20; sodium aluminosilicate Tixolex 17 10; carbon black FEF N550; ZnO 5; TAIC-50 3 (50% active); Perhexa 25B-40 2 (40% active); Struktol HT-290 1.2</t>
        </is>
      </c>
      <c r="Z392" s="8" t="n">
        <v>88</v>
      </c>
      <c r="AA392" s="8" t="n">
        <v>17.4</v>
      </c>
      <c r="AB392" s="8" t="n">
        <v>155</v>
      </c>
      <c r="AC392" s="8" t="n">
        <v>12.3</v>
      </c>
      <c r="AD392" s="8" t="n"/>
      <c r="AE392" s="8" t="n"/>
      <c r="AF392" s="8" t="n"/>
      <c r="AG392" s="8" t="n"/>
      <c r="AH392" s="8" t="inlineStr">
        <is>
          <t>parts by weight; MPa; %</t>
        </is>
      </c>
      <c r="AI392" s="8" t="inlineStr">
        <is>
          <t>O-ring for vehicle high-pressure fuel injector (low temperature/high pressure), not semiconductor. Hardness IRHD 90; TR10 -40.6 C. Leak test at -40C: Example 1 passed 750 and 600 bar. KS M 6518 testing. No CS reported.</t>
        </is>
      </c>
    </row>
    <row r="393">
      <c r="A393" s="8" t="inlineStr">
        <is>
          <t>KR102796110B1</t>
        </is>
      </c>
      <c r="B393" s="8" t="inlineStr">
        <is>
          <t>patent</t>
        </is>
      </c>
      <c r="C393" s="8" t="inlineStr">
        <is>
          <t>DYFLEX Co., Ltd. (디와이플렉스 주식회사)</t>
        </is>
      </c>
      <c r="D393" s="8" t="inlineStr">
        <is>
          <t>Fluororubber-based composition for sealing</t>
        </is>
      </c>
      <c r="E393" s="8" t="inlineStr">
        <is>
          <t>https://patents.google.com/patent/KR102796110B1/en</t>
        </is>
      </c>
      <c r="F393" s="8" t="inlineStr">
        <is>
          <t>Comparative Example 1</t>
        </is>
      </c>
      <c r="G393" s="8" t="inlineStr">
        <is>
          <t>FKM</t>
        </is>
      </c>
      <c r="H393" s="8" t="inlineStr">
        <is>
          <t>Solvay Tecnoflon VPL85540 (FKM, low-temperature grade)</t>
        </is>
      </c>
      <c r="I393" s="8" t="inlineStr">
        <is>
          <t>peroxide</t>
        </is>
      </c>
      <c r="J393" s="8" t="n">
        <v>100</v>
      </c>
      <c r="K393" s="8" t="n">
        <v>30</v>
      </c>
      <c r="L393" s="8" t="n">
        <v>0</v>
      </c>
      <c r="M393" s="8" t="n">
        <v>0</v>
      </c>
      <c r="N393" s="8" t="n">
        <v>0</v>
      </c>
      <c r="O393" s="8" t="n">
        <v>0</v>
      </c>
      <c r="P393" s="8" t="n">
        <v>0</v>
      </c>
      <c r="Q393" s="8" t="n">
        <v>30</v>
      </c>
      <c r="R393" s="8" t="n">
        <v>0</v>
      </c>
      <c r="S393" s="8" t="n">
        <v>3</v>
      </c>
      <c r="T393" s="8" t="n">
        <v>2</v>
      </c>
      <c r="U393" s="8" t="n">
        <v>0</v>
      </c>
      <c r="V393" s="8" t="n">
        <v>0</v>
      </c>
      <c r="W393" s="8" t="n">
        <v>5</v>
      </c>
      <c r="X393" s="8" t="n">
        <v>1.2</v>
      </c>
      <c r="Y393" s="8" t="inlineStr">
        <is>
          <t>CaSiO3 (TREMIN 283 600AST) 0; sodium aluminosilicate Tixolex 17 30; carbon black FEF N550; ZnO 5; TAIC-50 3 (50% active); Perhexa 25B-40 2 (40% active); Struktol HT-290 1.2</t>
        </is>
      </c>
      <c r="Z393" s="8" t="n">
        <v>86</v>
      </c>
      <c r="AA393" s="8" t="n">
        <v>16.2</v>
      </c>
      <c r="AB393" s="8" t="n">
        <v>165</v>
      </c>
      <c r="AC393" s="8" t="n">
        <v>9.9</v>
      </c>
      <c r="AD393" s="8" t="n"/>
      <c r="AE393" s="8" t="n"/>
      <c r="AF393" s="8" t="n"/>
      <c r="AG393" s="8" t="n"/>
      <c r="AH393" s="8" t="inlineStr">
        <is>
          <t>parts by weight; MPa; %</t>
        </is>
      </c>
      <c r="AI393" s="8" t="inlineStr">
        <is>
          <t>O-ring for vehicle high-pressure fuel injector (low temperature/high pressure), not semiconductor. Hardness IRHD 88; TR10 -40.5 C. Leak test at -40C: Example 1 passed 750 and 600 bar. KS M 6518 testing. No CS reported.</t>
        </is>
      </c>
    </row>
    <row r="394">
      <c r="A394" s="8" t="inlineStr">
        <is>
          <t>KR102796110B1</t>
        </is>
      </c>
      <c r="B394" s="8" t="inlineStr">
        <is>
          <t>patent</t>
        </is>
      </c>
      <c r="C394" s="8" t="inlineStr">
        <is>
          <t>DYFLEX Co., Ltd. (디와이플렉스 주식회사)</t>
        </is>
      </c>
      <c r="D394" s="8" t="inlineStr">
        <is>
          <t>Fluororubber-based composition for sealing</t>
        </is>
      </c>
      <c r="E394" s="8" t="inlineStr">
        <is>
          <t>https://patents.google.com/patent/KR102796110B1/en</t>
        </is>
      </c>
      <c r="F394" s="8" t="inlineStr">
        <is>
          <t>Comparative Example 2</t>
        </is>
      </c>
      <c r="G394" s="8" t="inlineStr">
        <is>
          <t>FKM</t>
        </is>
      </c>
      <c r="H394" s="8" t="inlineStr">
        <is>
          <t>Solvay Tecnoflon VPL85540 (FKM, low-temperature grade)</t>
        </is>
      </c>
      <c r="I394" s="8" t="inlineStr">
        <is>
          <t>peroxide</t>
        </is>
      </c>
      <c r="J394" s="8" t="n">
        <v>100</v>
      </c>
      <c r="K394" s="8" t="n">
        <v>30</v>
      </c>
      <c r="L394" s="8" t="n">
        <v>0</v>
      </c>
      <c r="M394" s="8" t="n">
        <v>0</v>
      </c>
      <c r="N394" s="8" t="n">
        <v>0</v>
      </c>
      <c r="O394" s="8" t="n">
        <v>0</v>
      </c>
      <c r="P394" s="8" t="n">
        <v>0</v>
      </c>
      <c r="Q394" s="8" t="n">
        <v>30</v>
      </c>
      <c r="R394" s="8" t="n">
        <v>0</v>
      </c>
      <c r="S394" s="8" t="n">
        <v>3</v>
      </c>
      <c r="T394" s="8" t="n">
        <v>2</v>
      </c>
      <c r="U394" s="8" t="n">
        <v>0</v>
      </c>
      <c r="V394" s="8" t="n">
        <v>0</v>
      </c>
      <c r="W394" s="8" t="n">
        <v>5</v>
      </c>
      <c r="X394" s="8" t="n">
        <v>1.2</v>
      </c>
      <c r="Y394" s="8" t="inlineStr">
        <is>
          <t>CaSiO3 (TREMIN 283 600AST) 30; sodium aluminosilicate Tixolex 17 0; carbon black FEF N550; ZnO 5; TAIC-50 3 (50% active); Perhexa 25B-40 2 (40% active); Struktol HT-290 1.2</t>
        </is>
      </c>
      <c r="Z394" s="8" t="n">
        <v>83</v>
      </c>
      <c r="AA394" s="8" t="n">
        <v>14.2</v>
      </c>
      <c r="AB394" s="8" t="n">
        <v>175</v>
      </c>
      <c r="AC394" s="8" t="n">
        <v>7.8</v>
      </c>
      <c r="AD394" s="8" t="n"/>
      <c r="AE394" s="8" t="n"/>
      <c r="AF394" s="8" t="n"/>
      <c r="AG394" s="8" t="n"/>
      <c r="AH394" s="8" t="inlineStr">
        <is>
          <t>parts by weight; MPa; %</t>
        </is>
      </c>
      <c r="AI394" s="8" t="inlineStr">
        <is>
          <t>O-ring for vehicle high-pressure fuel injector (low temperature/high pressure), not semiconductor. Hardness IRHD 85; TR10 -40.4 C. Leak test at -40C: Example 1 passed 750 and 600 bar. KS M 6518 testing. No CS reported.</t>
        </is>
      </c>
    </row>
    <row r="395">
      <c r="A395" s="8" t="inlineStr">
        <is>
          <t>KR102796110B1</t>
        </is>
      </c>
      <c r="B395" s="8" t="inlineStr">
        <is>
          <t>patent</t>
        </is>
      </c>
      <c r="C395" s="8" t="inlineStr">
        <is>
          <t>DYFLEX Co., Ltd. (디와이플렉스 주식회사)</t>
        </is>
      </c>
      <c r="D395" s="8" t="inlineStr">
        <is>
          <t>Fluororubber-based composition for sealing</t>
        </is>
      </c>
      <c r="E395" s="8" t="inlineStr">
        <is>
          <t>https://patents.google.com/patent/KR102796110B1/en</t>
        </is>
      </c>
      <c r="F395" s="8" t="inlineStr">
        <is>
          <t>Comparative Example 3</t>
        </is>
      </c>
      <c r="G395" s="8" t="inlineStr">
        <is>
          <t>FKM</t>
        </is>
      </c>
      <c r="H395" s="8" t="inlineStr">
        <is>
          <t>Solvay Tecnoflon VPL85540 (FKM, low-temperature grade)</t>
        </is>
      </c>
      <c r="I395" s="8" t="inlineStr">
        <is>
          <t>peroxide</t>
        </is>
      </c>
      <c r="J395" s="8" t="n">
        <v>100</v>
      </c>
      <c r="K395" s="8" t="n">
        <v>20</v>
      </c>
      <c r="L395" s="8" t="n">
        <v>0</v>
      </c>
      <c r="M395" s="8" t="n">
        <v>0</v>
      </c>
      <c r="N395" s="8" t="n">
        <v>0</v>
      </c>
      <c r="O395" s="8" t="n">
        <v>0</v>
      </c>
      <c r="P395" s="8" t="n">
        <v>0</v>
      </c>
      <c r="Q395" s="8" t="n">
        <v>30</v>
      </c>
      <c r="R395" s="8" t="n">
        <v>0</v>
      </c>
      <c r="S395" s="8" t="n">
        <v>3</v>
      </c>
      <c r="T395" s="8" t="n">
        <v>2</v>
      </c>
      <c r="U395" s="8" t="n">
        <v>0</v>
      </c>
      <c r="V395" s="8" t="n">
        <v>0</v>
      </c>
      <c r="W395" s="8" t="n">
        <v>5</v>
      </c>
      <c r="X395" s="8" t="n">
        <v>1.2</v>
      </c>
      <c r="Y395" s="8" t="inlineStr">
        <is>
          <t>CaSiO3 (TREMIN 283 600AST) 20; sodium aluminosilicate Tixolex 17 10; carbon black FEF N550; ZnO 5; TAIC-50 3 (50% active); Perhexa 25B-40 2 (40% active); Struktol HT-290 1.2</t>
        </is>
      </c>
      <c r="Z395" s="8" t="n">
        <v>79</v>
      </c>
      <c r="AA395" s="8" t="n">
        <v>14</v>
      </c>
      <c r="AB395" s="8" t="n">
        <v>180</v>
      </c>
      <c r="AC395" s="8" t="n">
        <v>7.5</v>
      </c>
      <c r="AD395" s="8" t="n"/>
      <c r="AE395" s="8" t="n"/>
      <c r="AF395" s="8" t="n"/>
      <c r="AG395" s="8" t="n"/>
      <c r="AH395" s="8" t="inlineStr">
        <is>
          <t>parts by weight; MPa; %</t>
        </is>
      </c>
      <c r="AI395" s="8" t="inlineStr">
        <is>
          <t>O-ring for vehicle high-pressure fuel injector (low temperature/high pressure), not semiconductor. Hardness IRHD 82; TR10 -40.5 C. Leak test at -40C: Example 1 passed 750 and 600 bar. KS M 6518 testing. No CS reported.</t>
        </is>
      </c>
    </row>
    <row r="396">
      <c r="A396" s="8" t="inlineStr">
        <is>
          <t>KR102796110B1</t>
        </is>
      </c>
      <c r="B396" s="8" t="inlineStr">
        <is>
          <t>patent</t>
        </is>
      </c>
      <c r="C396" s="8" t="inlineStr">
        <is>
          <t>DYFLEX Co., Ltd. (디와이플렉스 주식회사)</t>
        </is>
      </c>
      <c r="D396" s="8" t="inlineStr">
        <is>
          <t>Fluororubber-based composition for sealing</t>
        </is>
      </c>
      <c r="E396" s="8" t="inlineStr">
        <is>
          <t>https://patents.google.com/patent/KR102796110B1/en</t>
        </is>
      </c>
      <c r="F396" s="8" t="inlineStr">
        <is>
          <t>Comparative Example 4</t>
        </is>
      </c>
      <c r="G396" s="8" t="inlineStr">
        <is>
          <t>FKM</t>
        </is>
      </c>
      <c r="H396" s="8" t="inlineStr">
        <is>
          <t>Solvay Tecnoflon PL958 (FKM)</t>
        </is>
      </c>
      <c r="I396" s="8" t="inlineStr">
        <is>
          <t>peroxide</t>
        </is>
      </c>
      <c r="J396" s="8" t="n">
        <v>100</v>
      </c>
      <c r="K396" s="8" t="n">
        <v>30</v>
      </c>
      <c r="L396" s="8" t="n">
        <v>0</v>
      </c>
      <c r="M396" s="8" t="n">
        <v>0</v>
      </c>
      <c r="N396" s="8" t="n">
        <v>0</v>
      </c>
      <c r="O396" s="8" t="n">
        <v>0</v>
      </c>
      <c r="P396" s="8" t="n">
        <v>0</v>
      </c>
      <c r="Q396" s="8" t="n">
        <v>30</v>
      </c>
      <c r="R396" s="8" t="n">
        <v>0</v>
      </c>
      <c r="S396" s="8" t="n">
        <v>3</v>
      </c>
      <c r="T396" s="8" t="n">
        <v>2</v>
      </c>
      <c r="U396" s="8" t="n">
        <v>0</v>
      </c>
      <c r="V396" s="8" t="n">
        <v>0</v>
      </c>
      <c r="W396" s="8" t="n">
        <v>5</v>
      </c>
      <c r="X396" s="8" t="n">
        <v>1.2</v>
      </c>
      <c r="Y396" s="8" t="inlineStr">
        <is>
          <t>CaSiO3 (TREMIN 283 600AST) 20; sodium aluminosilicate Tixolex 17 10; carbon black FEF N550; ZnO 5; TAIC-50 3 (50% active); Perhexa 25B-40 2 (40% active); Struktol HT-290 1.2</t>
        </is>
      </c>
      <c r="Z396" s="8" t="n">
        <v>92</v>
      </c>
      <c r="AA396" s="8" t="n">
        <v>22.1</v>
      </c>
      <c r="AB396" s="8" t="n">
        <v>182</v>
      </c>
      <c r="AC396" s="8" t="n">
        <v>16.1</v>
      </c>
      <c r="AD396" s="8" t="n"/>
      <c r="AE396" s="8" t="n"/>
      <c r="AF396" s="8" t="n"/>
      <c r="AG396" s="8" t="n"/>
      <c r="AH396" s="8" t="inlineStr">
        <is>
          <t>parts by weight; MPa; %</t>
        </is>
      </c>
      <c r="AI396" s="8" t="inlineStr">
        <is>
          <t>O-ring for vehicle high-pressure fuel injector (low temperature/high pressure), not semiconductor. Hardness IRHD 94; TR10 -24.3 C. Leak test at -40C: Example 1 passed 750 and 600 bar. KS M 6518 testing. No CS reported.</t>
        </is>
      </c>
    </row>
    <row r="397">
      <c r="A397" s="8" t="inlineStr">
        <is>
          <t>KR102324534B1</t>
        </is>
      </c>
      <c r="B397" s="8" t="inlineStr">
        <is>
          <t>patent</t>
        </is>
      </c>
      <c r="C397" s="8" t="inlineStr">
        <is>
          <t>SHPP Global Technologies B.V.</t>
        </is>
      </c>
      <c r="D397" s="8" t="inlineStr">
        <is>
          <t>Composite material comprising fluoroelastomer and polyimide, method for producing the composite material, and article comprising the composite material</t>
        </is>
      </c>
      <c r="E397" s="8" t="inlineStr">
        <is>
          <t>https://patents.google.com/patent/KR102324534B1/en</t>
        </is>
      </c>
      <c r="F397" s="8" t="inlineStr">
        <is>
          <t>Comparative Example 1</t>
        </is>
      </c>
      <c r="G397" s="8" t="inlineStr">
        <is>
          <t>FKM</t>
        </is>
      </c>
      <c r="H397" s="8" t="inlineStr">
        <is>
          <t>FKM terpolymer TFE/VDF/HFP (unspecified grade)</t>
        </is>
      </c>
      <c r="I397" s="8" t="inlineStr">
        <is>
          <t>bisphenol</t>
        </is>
      </c>
      <c r="J397" s="8" t="n">
        <v>100</v>
      </c>
      <c r="K397" s="8" t="n">
        <v>0</v>
      </c>
      <c r="L397" s="8" t="n">
        <v>0</v>
      </c>
      <c r="M397" s="8" t="n">
        <v>0</v>
      </c>
      <c r="N397" s="8" t="n">
        <v>0</v>
      </c>
      <c r="O397" s="8" t="n">
        <v>0</v>
      </c>
      <c r="P397" s="8" t="n">
        <v>0</v>
      </c>
      <c r="Q397" s="8" t="n">
        <v>0</v>
      </c>
      <c r="R397" s="8" t="n">
        <v>0</v>
      </c>
      <c r="S397" s="8" t="n">
        <v>0</v>
      </c>
      <c r="T397" s="8" t="n">
        <v>0</v>
      </c>
      <c r="U397" s="8" t="n">
        <v>0</v>
      </c>
      <c r="V397" s="8" t="n">
        <v>2.5</v>
      </c>
      <c r="W397" s="8" t="n"/>
      <c r="X397" s="8" t="n"/>
      <c r="Y397" s="8" t="inlineStr">
        <is>
          <t>bisphenol AF 2.5 phr (vulcanizing agent)</t>
        </is>
      </c>
      <c r="Z397" s="8" t="n">
        <v>73</v>
      </c>
      <c r="AA397" s="8" t="n">
        <v>15.22</v>
      </c>
      <c r="AB397" s="8" t="n">
        <v>223</v>
      </c>
      <c r="AC397" s="8" t="n">
        <v>6.79</v>
      </c>
      <c r="AD397" s="8" t="n"/>
      <c r="AE397" s="8" t="n"/>
      <c r="AF397" s="8" t="n"/>
      <c r="AG397" s="8" t="n"/>
      <c r="AH397" s="8" t="inlineStr">
        <is>
          <t>phr; MPa; %</t>
        </is>
      </c>
      <c r="AI397" s="8" t="inlineStr">
        <is>
          <t>Neat FKM reference. Only FKM + bisphenol AF listed (accelerator/acid acceptor not listed -&gt; left empty). Cure 170C x 10 min, post-cure 200C x 16h. Density 2.12. Automotive seal application.</t>
        </is>
      </c>
    </row>
    <row r="398">
      <c r="A398" s="8" t="inlineStr">
        <is>
          <t>KR102324534B1</t>
        </is>
      </c>
      <c r="B398" s="8" t="inlineStr">
        <is>
          <t>patent</t>
        </is>
      </c>
      <c r="C398" s="8" t="inlineStr">
        <is>
          <t>SHPP Global Technologies B.V.</t>
        </is>
      </c>
      <c r="D398" s="8" t="inlineStr">
        <is>
          <t>Composite material comprising fluoroelastomer and polyimide, method for producing the composite material, and article comprising the composite material</t>
        </is>
      </c>
      <c r="E398" s="8" t="inlineStr">
        <is>
          <t>https://patents.google.com/patent/KR102324534B1/en</t>
        </is>
      </c>
      <c r="F398" s="8" t="inlineStr">
        <is>
          <t>Example 2</t>
        </is>
      </c>
      <c r="G398" s="8" t="inlineStr">
        <is>
          <t>FKM</t>
        </is>
      </c>
      <c r="H398" s="8" t="inlineStr">
        <is>
          <t>FKM terpolymer TFE/VDF/HFP (unspecified grade)</t>
        </is>
      </c>
      <c r="I398" s="8" t="inlineStr">
        <is>
          <t>bisphenol</t>
        </is>
      </c>
      <c r="J398" s="8" t="n">
        <v>100</v>
      </c>
      <c r="K398" s="8" t="n">
        <v>0</v>
      </c>
      <c r="L398" s="8" t="n">
        <v>0</v>
      </c>
      <c r="M398" s="8" t="n">
        <v>0</v>
      </c>
      <c r="N398" s="8" t="n">
        <v>0</v>
      </c>
      <c r="O398" s="8" t="n">
        <v>0</v>
      </c>
      <c r="P398" s="8" t="n">
        <v>0</v>
      </c>
      <c r="Q398" s="8" t="n">
        <v>0</v>
      </c>
      <c r="R398" s="8" t="n">
        <v>10</v>
      </c>
      <c r="S398" s="8" t="n">
        <v>0</v>
      </c>
      <c r="T398" s="8" t="n">
        <v>0</v>
      </c>
      <c r="U398" s="8" t="n">
        <v>0</v>
      </c>
      <c r="V398" s="8" t="n">
        <v>2.5</v>
      </c>
      <c r="W398" s="8" t="n"/>
      <c r="X398" s="8" t="n"/>
      <c r="Y398" s="8" t="inlineStr">
        <is>
          <t>polyetherimide powder ULTEM 1000F3SP-1000 10 (organic); bisphenol AF 2.5</t>
        </is>
      </c>
      <c r="Z398" s="8" t="n">
        <v>81</v>
      </c>
      <c r="AA398" s="8" t="n">
        <v>16.28</v>
      </c>
      <c r="AB398" s="8" t="n">
        <v>193</v>
      </c>
      <c r="AC398" s="8" t="n">
        <v>9.09</v>
      </c>
      <c r="AD398" s="8" t="n"/>
      <c r="AE398" s="8" t="n"/>
      <c r="AF398" s="8" t="n"/>
      <c r="AG398" s="8" t="n"/>
      <c r="AH398" s="8" t="inlineStr">
        <is>
          <t>phr; MPa; %</t>
        </is>
      </c>
      <c r="AI398" s="8" t="inlineStr">
        <is>
          <t>FKM/PEI composite. Only FKM, PEI, bisphenol AF listed. Cure 170C x 10 min, post-cure 200C x 16h. Density 2.07. Automotive seal application.</t>
        </is>
      </c>
    </row>
    <row r="399">
      <c r="A399" s="8" t="inlineStr">
        <is>
          <t>KR102324534B1</t>
        </is>
      </c>
      <c r="B399" s="8" t="inlineStr">
        <is>
          <t>patent</t>
        </is>
      </c>
      <c r="C399" s="8" t="inlineStr">
        <is>
          <t>SHPP Global Technologies B.V.</t>
        </is>
      </c>
      <c r="D399" s="8" t="inlineStr">
        <is>
          <t>Composite material comprising fluoroelastomer and polyimide, method for producing the composite material, and article comprising the composite material</t>
        </is>
      </c>
      <c r="E399" s="8" t="inlineStr">
        <is>
          <t>https://patents.google.com/patent/KR102324534B1/en</t>
        </is>
      </c>
      <c r="F399" s="8" t="inlineStr">
        <is>
          <t>Comparative Example 3</t>
        </is>
      </c>
      <c r="G399" s="8" t="inlineStr">
        <is>
          <t>FKM</t>
        </is>
      </c>
      <c r="H399" s="8" t="inlineStr">
        <is>
          <t>DuPont Viton A401C (VDF/HFP precompound with curative) 80 + CG2602 FKM 20</t>
        </is>
      </c>
      <c r="I399" s="8" t="n"/>
      <c r="J399" s="8" t="n">
        <v>100</v>
      </c>
      <c r="K399" s="8" t="n">
        <v>0</v>
      </c>
      <c r="L399" s="8" t="n">
        <v>0</v>
      </c>
      <c r="M399" s="8" t="n">
        <v>0</v>
      </c>
      <c r="N399" s="8" t="n">
        <v>0</v>
      </c>
      <c r="O399" s="8" t="n">
        <v>0</v>
      </c>
      <c r="P399" s="8" t="n">
        <v>0</v>
      </c>
      <c r="Q399" s="8" t="n">
        <v>30</v>
      </c>
      <c r="R399" s="8" t="n">
        <v>0</v>
      </c>
      <c r="S399" s="8" t="n">
        <v>0</v>
      </c>
      <c r="T399" s="8" t="n">
        <v>0</v>
      </c>
      <c r="U399" s="8" t="n">
        <v>0</v>
      </c>
      <c r="V399" s="8" t="n"/>
      <c r="W399" s="8" t="n">
        <v>9</v>
      </c>
      <c r="X399" s="8" t="n">
        <v>1</v>
      </c>
      <c r="Y399" s="8" t="inlineStr">
        <is>
          <t>CaSiO3 600EST 30; MgO MA150 3 + Ca(OH)2 6 (acid acceptor 9); C-WAX 1</t>
        </is>
      </c>
      <c r="Z399" s="8" t="n">
        <v>71</v>
      </c>
      <c r="AA399" s="8" t="n">
        <v>12.41</v>
      </c>
      <c r="AB399" s="8" t="n">
        <v>197</v>
      </c>
      <c r="AC399" s="8" t="n">
        <v>7.04</v>
      </c>
      <c r="AD399" s="8" t="n">
        <v>23.02</v>
      </c>
      <c r="AE399" s="8" t="inlineStr">
        <is>
          <t>200C x 70h (method cited as ASTM D623; specimen not stated)</t>
        </is>
      </c>
      <c r="AF399" s="8" t="n"/>
      <c r="AG399" s="8" t="n"/>
      <c r="AH399" s="8" t="inlineStr">
        <is>
          <t>phr; MPa; % (table header for elongation mislabeled MPa)</t>
        </is>
      </c>
      <c r="AI399" s="8" t="inlineStr">
        <is>
          <t>Curative is pre-incorporated in Viton A401C precompound (type/amount not stated in doc; left empty). Automotive transmission seal application. Heat-aged (250C x 70h), fuel C and engine-oil immersion data also reported for CE3/Ex6/Ex7 (not recorded).</t>
        </is>
      </c>
    </row>
    <row r="400">
      <c r="A400" s="8" t="inlineStr">
        <is>
          <t>KR102324534B1</t>
        </is>
      </c>
      <c r="B400" s="8" t="inlineStr">
        <is>
          <t>patent</t>
        </is>
      </c>
      <c r="C400" s="8" t="inlineStr">
        <is>
          <t>SHPP Global Technologies B.V.</t>
        </is>
      </c>
      <c r="D400" s="8" t="inlineStr">
        <is>
          <t>Composite material comprising fluoroelastomer and polyimide, method for producing the composite material, and article comprising the composite material</t>
        </is>
      </c>
      <c r="E400" s="8" t="inlineStr">
        <is>
          <t>https://patents.google.com/patent/KR102324534B1/en</t>
        </is>
      </c>
      <c r="F400" s="8" t="inlineStr">
        <is>
          <t>Example 4</t>
        </is>
      </c>
      <c r="G400" s="8" t="inlineStr">
        <is>
          <t>FKM</t>
        </is>
      </c>
      <c r="H400" s="8" t="inlineStr">
        <is>
          <t>DuPont Viton A401C (VDF/HFP precompound with curative) 80 + CG2602 FKM 20</t>
        </is>
      </c>
      <c r="I400" s="8" t="n"/>
      <c r="J400" s="8" t="n">
        <v>100</v>
      </c>
      <c r="K400" s="8" t="n">
        <v>0</v>
      </c>
      <c r="L400" s="8" t="n">
        <v>0</v>
      </c>
      <c r="M400" s="8" t="n">
        <v>0</v>
      </c>
      <c r="N400" s="8" t="n">
        <v>0</v>
      </c>
      <c r="O400" s="8" t="n">
        <v>0</v>
      </c>
      <c r="P400" s="8" t="n">
        <v>0</v>
      </c>
      <c r="Q400" s="8" t="n">
        <v>20</v>
      </c>
      <c r="R400" s="8" t="n">
        <v>8</v>
      </c>
      <c r="S400" s="8" t="n">
        <v>0</v>
      </c>
      <c r="T400" s="8" t="n">
        <v>0</v>
      </c>
      <c r="U400" s="8" t="n">
        <v>0</v>
      </c>
      <c r="V400" s="8" t="n"/>
      <c r="W400" s="8" t="n">
        <v>9</v>
      </c>
      <c r="X400" s="8" t="n">
        <v>1</v>
      </c>
      <c r="Y400" s="8" t="inlineStr">
        <is>
          <t>CaSiO3 600EST 20; MgO MA150 3 + Ca(OH)2 6 (acid acceptor 9); C-WAX 1; PEI ULTEM 1000FP-1000 8</t>
        </is>
      </c>
      <c r="Z400" s="8" t="n">
        <v>73</v>
      </c>
      <c r="AA400" s="8" t="n">
        <v>11.71</v>
      </c>
      <c r="AB400" s="8" t="n">
        <v>256</v>
      </c>
      <c r="AC400" s="8" t="n">
        <v>5.82</v>
      </c>
      <c r="AD400" s="8" t="n">
        <v>28.78</v>
      </c>
      <c r="AE400" s="8" t="inlineStr">
        <is>
          <t>200C x 70h (method cited as ASTM D623; specimen not stated)</t>
        </is>
      </c>
      <c r="AF400" s="8" t="n"/>
      <c r="AG400" s="8" t="n"/>
      <c r="AH400" s="8" t="inlineStr">
        <is>
          <t>phr; MPa; % (table header for elongation mislabeled MPa)</t>
        </is>
      </c>
      <c r="AI400" s="8" t="inlineStr">
        <is>
          <t>Curative is pre-incorporated in Viton A401C precompound (type/amount not stated in doc; left empty). Automotive transmission seal application. Heat-aged (250C x 70h), fuel C and engine-oil immersion data also reported for CE3/Ex6/Ex7 (not recorded).</t>
        </is>
      </c>
    </row>
    <row r="401">
      <c r="A401" s="8" t="inlineStr">
        <is>
          <t>KR102324534B1</t>
        </is>
      </c>
      <c r="B401" s="8" t="inlineStr">
        <is>
          <t>patent</t>
        </is>
      </c>
      <c r="C401" s="8" t="inlineStr">
        <is>
          <t>SHPP Global Technologies B.V.</t>
        </is>
      </c>
      <c r="D401" s="8" t="inlineStr">
        <is>
          <t>Composite material comprising fluoroelastomer and polyimide, method for producing the composite material, and article comprising the composite material</t>
        </is>
      </c>
      <c r="E401" s="8" t="inlineStr">
        <is>
          <t>https://patents.google.com/patent/KR102324534B1/en</t>
        </is>
      </c>
      <c r="F401" s="8" t="inlineStr">
        <is>
          <t>Example 5</t>
        </is>
      </c>
      <c r="G401" s="8" t="inlineStr">
        <is>
          <t>FKM</t>
        </is>
      </c>
      <c r="H401" s="8" t="inlineStr">
        <is>
          <t>DuPont Viton A401C (VDF/HFP precompound with curative) 80 + CG2602 FKM 20</t>
        </is>
      </c>
      <c r="I401" s="8" t="n"/>
      <c r="J401" s="8" t="n">
        <v>100</v>
      </c>
      <c r="K401" s="8" t="n">
        <v>0</v>
      </c>
      <c r="L401" s="8" t="n">
        <v>0</v>
      </c>
      <c r="M401" s="8" t="n">
        <v>0</v>
      </c>
      <c r="N401" s="8" t="n">
        <v>0</v>
      </c>
      <c r="O401" s="8" t="n">
        <v>0</v>
      </c>
      <c r="P401" s="8" t="n">
        <v>0</v>
      </c>
      <c r="Q401" s="8" t="n">
        <v>20</v>
      </c>
      <c r="R401" s="8" t="n">
        <v>8</v>
      </c>
      <c r="S401" s="8" t="n">
        <v>0</v>
      </c>
      <c r="T401" s="8" t="n">
        <v>0</v>
      </c>
      <c r="U401" s="8" t="n">
        <v>0</v>
      </c>
      <c r="V401" s="8" t="n"/>
      <c r="W401" s="8" t="n">
        <v>9</v>
      </c>
      <c r="X401" s="8" t="n">
        <v>1</v>
      </c>
      <c r="Y401" s="8" t="inlineStr">
        <is>
          <t>CaSiO3 600EST 20; MgO MA150 3 + Ca(OH)2 6 (acid acceptor 9); C-WAX 1; PEI-siloxane STM1700FP 8</t>
        </is>
      </c>
      <c r="Z401" s="8" t="n">
        <v>73</v>
      </c>
      <c r="AA401" s="8" t="n">
        <v>13.7</v>
      </c>
      <c r="AB401" s="8" t="n">
        <v>255</v>
      </c>
      <c r="AC401" s="8" t="n">
        <v>5.81</v>
      </c>
      <c r="AD401" s="8" t="n">
        <v>43.88</v>
      </c>
      <c r="AE401" s="8" t="inlineStr">
        <is>
          <t>200C x 70h (method cited as ASTM D623; specimen not stated)</t>
        </is>
      </c>
      <c r="AF401" s="8" t="n"/>
      <c r="AG401" s="8" t="n"/>
      <c r="AH401" s="8" t="inlineStr">
        <is>
          <t>phr; MPa; % (table header for elongation mislabeled MPa)</t>
        </is>
      </c>
      <c r="AI401" s="8" t="inlineStr">
        <is>
          <t>Curative is pre-incorporated in Viton A401C precompound (type/amount not stated in doc; left empty). Automotive transmission seal application. Heat-aged (250C x 70h), fuel C and engine-oil immersion data also reported for CE3/Ex6/Ex7 (not recorded).</t>
        </is>
      </c>
    </row>
    <row r="402">
      <c r="A402" s="8" t="inlineStr">
        <is>
          <t>KR102324534B1</t>
        </is>
      </c>
      <c r="B402" s="8" t="inlineStr">
        <is>
          <t>patent</t>
        </is>
      </c>
      <c r="C402" s="8" t="inlineStr">
        <is>
          <t>SHPP Global Technologies B.V.</t>
        </is>
      </c>
      <c r="D402" s="8" t="inlineStr">
        <is>
          <t>Composite material comprising fluoroelastomer and polyimide, method for producing the composite material, and article comprising the composite material</t>
        </is>
      </c>
      <c r="E402" s="8" t="inlineStr">
        <is>
          <t>https://patents.google.com/patent/KR102324534B1/en</t>
        </is>
      </c>
      <c r="F402" s="8" t="inlineStr">
        <is>
          <t>Example 6</t>
        </is>
      </c>
      <c r="G402" s="8" t="inlineStr">
        <is>
          <t>FKM</t>
        </is>
      </c>
      <c r="H402" s="8" t="inlineStr">
        <is>
          <t>DuPont Viton A401C (VDF/HFP precompound with curative) 80 + CG2602 FKM 20</t>
        </is>
      </c>
      <c r="I402" s="8" t="n"/>
      <c r="J402" s="8" t="n">
        <v>100</v>
      </c>
      <c r="K402" s="8" t="n">
        <v>0</v>
      </c>
      <c r="L402" s="8" t="n">
        <v>0</v>
      </c>
      <c r="M402" s="8" t="n">
        <v>0</v>
      </c>
      <c r="N402" s="8" t="n">
        <v>0</v>
      </c>
      <c r="O402" s="8" t="n">
        <v>0</v>
      </c>
      <c r="P402" s="8" t="n">
        <v>0</v>
      </c>
      <c r="Q402" s="8" t="n">
        <v>30</v>
      </c>
      <c r="R402" s="8" t="n">
        <v>10</v>
      </c>
      <c r="S402" s="8" t="n">
        <v>0</v>
      </c>
      <c r="T402" s="8" t="n">
        <v>0</v>
      </c>
      <c r="U402" s="8" t="n">
        <v>0</v>
      </c>
      <c r="V402" s="8" t="n"/>
      <c r="W402" s="8" t="n">
        <v>9</v>
      </c>
      <c r="X402" s="8" t="n">
        <v>1</v>
      </c>
      <c r="Y402" s="8" t="inlineStr">
        <is>
          <t>CaSiO3 600EST 30; MgO MA150 3 + Ca(OH)2 6 (acid acceptor 9); C-WAX 1; PEI ULTEM 1000FP-1000 10</t>
        </is>
      </c>
      <c r="Z402" s="8" t="n">
        <v>76</v>
      </c>
      <c r="AA402" s="8" t="n">
        <v>14.79</v>
      </c>
      <c r="AB402" s="8" t="n">
        <v>192</v>
      </c>
      <c r="AC402" s="8" t="n">
        <v>8.449999999999999</v>
      </c>
      <c r="AD402" s="8" t="n">
        <v>31.88</v>
      </c>
      <c r="AE402" s="8" t="inlineStr">
        <is>
          <t>200C x 70h (method cited as ASTM D623; specimen not stated)</t>
        </is>
      </c>
      <c r="AF402" s="8" t="n"/>
      <c r="AG402" s="8" t="n"/>
      <c r="AH402" s="8" t="inlineStr">
        <is>
          <t>phr; MPa; % (table header for elongation mislabeled MPa)</t>
        </is>
      </c>
      <c r="AI402" s="8" t="inlineStr">
        <is>
          <t>Curative is pre-incorporated in Viton A401C precompound (type/amount not stated in doc; left empty). Automotive transmission seal application. Heat-aged (250C x 70h), fuel C and engine-oil immersion data also reported for CE3/Ex6/Ex7 (not recorded).</t>
        </is>
      </c>
    </row>
    <row r="403">
      <c r="A403" s="8" t="inlineStr">
        <is>
          <t>KR102324534B1</t>
        </is>
      </c>
      <c r="B403" s="8" t="inlineStr">
        <is>
          <t>patent</t>
        </is>
      </c>
      <c r="C403" s="8" t="inlineStr">
        <is>
          <t>SHPP Global Technologies B.V.</t>
        </is>
      </c>
      <c r="D403" s="8" t="inlineStr">
        <is>
          <t>Composite material comprising fluoroelastomer and polyimide, method for producing the composite material, and article comprising the composite material</t>
        </is>
      </c>
      <c r="E403" s="8" t="inlineStr">
        <is>
          <t>https://patents.google.com/patent/KR102324534B1/en</t>
        </is>
      </c>
      <c r="F403" s="8" t="inlineStr">
        <is>
          <t>Example 7</t>
        </is>
      </c>
      <c r="G403" s="8" t="inlineStr">
        <is>
          <t>FKM</t>
        </is>
      </c>
      <c r="H403" s="8" t="inlineStr">
        <is>
          <t>DuPont Viton A401C (VDF/HFP precompound with curative) 80 + CG2602 FKM 20</t>
        </is>
      </c>
      <c r="I403" s="8" t="n"/>
      <c r="J403" s="8" t="n">
        <v>100</v>
      </c>
      <c r="K403" s="8" t="n">
        <v>0</v>
      </c>
      <c r="L403" s="8" t="n">
        <v>0</v>
      </c>
      <c r="M403" s="8" t="n">
        <v>0</v>
      </c>
      <c r="N403" s="8" t="n">
        <v>0</v>
      </c>
      <c r="O403" s="8" t="n">
        <v>0</v>
      </c>
      <c r="P403" s="8" t="n">
        <v>0</v>
      </c>
      <c r="Q403" s="8" t="n">
        <v>20</v>
      </c>
      <c r="R403" s="8" t="n">
        <v>10</v>
      </c>
      <c r="S403" s="8" t="n">
        <v>0</v>
      </c>
      <c r="T403" s="8" t="n">
        <v>0</v>
      </c>
      <c r="U403" s="8" t="n">
        <v>0</v>
      </c>
      <c r="V403" s="8" t="n"/>
      <c r="W403" s="8" t="n">
        <v>9</v>
      </c>
      <c r="X403" s="8" t="n">
        <v>2</v>
      </c>
      <c r="Y403" s="8" t="inlineStr">
        <is>
          <t>CaSiO3 600EST 20; MgO MA150 3 + Ca(OH)2 6 (acid acceptor 9); C-WAX 2; PEI-siloxane STM1700FP 10</t>
        </is>
      </c>
      <c r="Z403" s="8" t="n">
        <v>73</v>
      </c>
      <c r="AA403" s="8" t="n">
        <v>10.39</v>
      </c>
      <c r="AB403" s="8" t="n">
        <v>212</v>
      </c>
      <c r="AC403" s="8" t="n">
        <v>6.26</v>
      </c>
      <c r="AD403" s="8" t="n">
        <v>40.43</v>
      </c>
      <c r="AE403" s="8" t="inlineStr">
        <is>
          <t>200C x 70h (method cited as ASTM D623; specimen not stated)</t>
        </is>
      </c>
      <c r="AF403" s="8" t="n"/>
      <c r="AG403" s="8" t="n"/>
      <c r="AH403" s="8" t="inlineStr">
        <is>
          <t>phr; MPa; % (table header for elongation mislabeled MPa)</t>
        </is>
      </c>
      <c r="AI403" s="8" t="inlineStr">
        <is>
          <t>Curative is pre-incorporated in Viton A401C precompound (type/amount not stated in doc; left empty). Automotive transmission seal application. Heat-aged (250C x 70h), fuel C and engine-oil immersion data also reported for CE3/Ex6/Ex7 (not recorded).</t>
        </is>
      </c>
    </row>
    <row r="404">
      <c r="A404" s="8" t="inlineStr">
        <is>
          <t>KR20130014651A</t>
        </is>
      </c>
      <c r="B404" s="8" t="inlineStr">
        <is>
          <t>patent</t>
        </is>
      </c>
      <c r="C404" s="8" t="inlineStr">
        <is>
          <t>Pyung Hwa Oil Seal Industry Co., Ltd. (평화오일씰공업주식회사)</t>
        </is>
      </c>
      <c r="D404" s="8" t="inlineStr">
        <is>
          <t>Rubber composition of FKM oil seal with improved wear resistance</t>
        </is>
      </c>
      <c r="E404" s="8" t="inlineStr">
        <is>
          <t>https://patents.google.com/patent/KR20130014651A/en</t>
        </is>
      </c>
      <c r="F404" s="8" t="inlineStr">
        <is>
          <t>Comparative Example</t>
        </is>
      </c>
      <c r="G404" s="8" t="inlineStr">
        <is>
          <t>FKM</t>
        </is>
      </c>
      <c r="H404" s="8" t="inlineStr">
        <is>
          <t>DuPont Viton A500 (VDF/HFP copolymer)</t>
        </is>
      </c>
      <c r="I404" s="8" t="inlineStr">
        <is>
          <t>bisphenol</t>
        </is>
      </c>
      <c r="J404" s="8" t="n">
        <v>100</v>
      </c>
      <c r="K404" s="8" t="n">
        <v>26</v>
      </c>
      <c r="L404" s="8" t="n">
        <v>19</v>
      </c>
      <c r="M404" s="8" t="n">
        <v>0</v>
      </c>
      <c r="N404" s="8" t="n">
        <v>0</v>
      </c>
      <c r="O404" s="8" t="n">
        <v>0</v>
      </c>
      <c r="P404" s="8" t="n">
        <v>0</v>
      </c>
      <c r="Q404" s="8" t="n">
        <v>14</v>
      </c>
      <c r="R404" s="8" t="n">
        <v>0</v>
      </c>
      <c r="S404" s="8" t="n">
        <v>0</v>
      </c>
      <c r="T404" s="8" t="n">
        <v>0</v>
      </c>
      <c r="U404" s="8" t="n">
        <v>0</v>
      </c>
      <c r="V404" s="8" t="n">
        <v>3</v>
      </c>
      <c r="W404" s="8" t="n">
        <v>9</v>
      </c>
      <c r="X404" s="8" t="n">
        <v>2</v>
      </c>
      <c r="Y404" s="8" t="inlineStr">
        <is>
          <t>N990 MT carbon black; silica Zeosil 155; potassium titanate K2O.6TiO2 (Tismo D) 14; Fe2O3 (Bayferrox 140M) 0; MgO 6 + Ca(OH)2 3; vegetable wax VPA No.2 2; VC#20 (onium accelerator masterbatch) 1 + VC#30 (bisphenol masterbatch) 2</t>
        </is>
      </c>
      <c r="Z404" s="8" t="n">
        <v>79</v>
      </c>
      <c r="AA404" s="8" t="n">
        <v>13.14</v>
      </c>
      <c r="AB404" s="8" t="n">
        <v>221</v>
      </c>
      <c r="AC404" s="8" t="n"/>
      <c r="AD404" s="8" t="n"/>
      <c r="AE404" s="8" t="n"/>
      <c r="AF404" s="8" t="n"/>
      <c r="AG404" s="8" t="n"/>
      <c r="AH404" s="8" t="inlineStr">
        <is>
          <t>parts by weight; tensile kgf/cm2 converted x0.0980665</t>
        </is>
      </c>
      <c r="AI404" s="8" t="inlineStr">
        <is>
          <t>Automotive oil seal (not semiconductor). KS M 6518. Taber wear rate 3.72% (CE) vs 1.53% (Ex). Curatives are DuPont masterbatches (active content not stated).</t>
        </is>
      </c>
    </row>
    <row r="405">
      <c r="A405" s="8" t="inlineStr">
        <is>
          <t>KR20130014651A</t>
        </is>
      </c>
      <c r="B405" s="8" t="inlineStr">
        <is>
          <t>patent</t>
        </is>
      </c>
      <c r="C405" s="8" t="inlineStr">
        <is>
          <t>Pyung Hwa Oil Seal Industry Co., Ltd. (평화오일씰공업주식회사)</t>
        </is>
      </c>
      <c r="D405" s="8" t="inlineStr">
        <is>
          <t>Rubber composition of FKM oil seal with improved wear resistance</t>
        </is>
      </c>
      <c r="E405" s="8" t="inlineStr">
        <is>
          <t>https://patents.google.com/patent/KR20130014651A/en</t>
        </is>
      </c>
      <c r="F405" s="8" t="inlineStr">
        <is>
          <t>Example</t>
        </is>
      </c>
      <c r="G405" s="8" t="inlineStr">
        <is>
          <t>FKM</t>
        </is>
      </c>
      <c r="H405" s="8" t="inlineStr">
        <is>
          <t>DuPont Viton A500 (VDF/HFP copolymer)</t>
        </is>
      </c>
      <c r="I405" s="8" t="inlineStr">
        <is>
          <t>bisphenol</t>
        </is>
      </c>
      <c r="J405" s="8" t="n">
        <v>100</v>
      </c>
      <c r="K405" s="8" t="n">
        <v>15</v>
      </c>
      <c r="L405" s="8" t="n">
        <v>0</v>
      </c>
      <c r="M405" s="8" t="n">
        <v>0</v>
      </c>
      <c r="N405" s="8" t="n">
        <v>0</v>
      </c>
      <c r="O405" s="8" t="n">
        <v>0</v>
      </c>
      <c r="P405" s="8" t="n">
        <v>0</v>
      </c>
      <c r="Q405" s="8" t="n">
        <v>35</v>
      </c>
      <c r="R405" s="8" t="n">
        <v>0</v>
      </c>
      <c r="S405" s="8" t="n">
        <v>0</v>
      </c>
      <c r="T405" s="8" t="n">
        <v>0</v>
      </c>
      <c r="U405" s="8" t="n">
        <v>0</v>
      </c>
      <c r="V405" s="8" t="n">
        <v>3</v>
      </c>
      <c r="W405" s="8" t="n">
        <v>9</v>
      </c>
      <c r="X405" s="8" t="n">
        <v>2</v>
      </c>
      <c r="Y405" s="8" t="inlineStr">
        <is>
          <t>N990 MT carbon black; silica Zeosil 155; potassium titanate K2O.6TiO2 (Tismo D) 0; Fe2O3 (Bayferrox 140M) 35; MgO 6 + Ca(OH)2 3; vegetable wax VPA No.2 2; VC#20 (onium accelerator masterbatch) 1 + VC#30 (bisphenol masterbatch) 2</t>
        </is>
      </c>
      <c r="Z405" s="8" t="n">
        <v>79</v>
      </c>
      <c r="AA405" s="8" t="n">
        <v>15</v>
      </c>
      <c r="AB405" s="8" t="n">
        <v>242</v>
      </c>
      <c r="AC405" s="8" t="n"/>
      <c r="AD405" s="8" t="n"/>
      <c r="AE405" s="8" t="n"/>
      <c r="AF405" s="8" t="n"/>
      <c r="AG405" s="8" t="n"/>
      <c r="AH405" s="8" t="inlineStr">
        <is>
          <t>parts by weight; tensile kgf/cm2 converted x0.0980665</t>
        </is>
      </c>
      <c r="AI405" s="8" t="inlineStr">
        <is>
          <t>Automotive oil seal (not semiconductor). KS M 6518. Taber wear rate 3.72% (CE) vs 1.53% (Ex). Curatives are DuPont masterbatches (active content not stated).</t>
        </is>
      </c>
    </row>
    <row r="406">
      <c r="A406" s="8" t="inlineStr">
        <is>
          <t>CN106633544B</t>
        </is>
      </c>
      <c r="B406" s="8" t="inlineStr">
        <is>
          <t>patent</t>
        </is>
      </c>
      <c r="C406" s="8" t="inlineStr">
        <is>
          <t>Shanghai Rushi Sealing Technology Co., Ltd. (上海如实密封科技有限公司)</t>
        </is>
      </c>
      <c r="D406" s="8" t="inlineStr">
        <is>
          <t>Fluororubber material for high-temperature high-pressure resistant sealing element and preparation method thereof</t>
        </is>
      </c>
      <c r="E406" s="8" t="inlineStr">
        <is>
          <t>https://patents.google.com/patent/CN106633544B/en</t>
        </is>
      </c>
      <c r="F406" s="8" t="inlineStr">
        <is>
          <t>No. 1</t>
        </is>
      </c>
      <c r="G406" s="8" t="inlineStr">
        <is>
          <t>FKM</t>
        </is>
      </c>
      <c r="H406" s="8" t="inlineStr">
        <is>
          <t>DuPont Viton GF (peroxide-curable FKM)</t>
        </is>
      </c>
      <c r="I406" s="8" t="inlineStr">
        <is>
          <t>peroxide</t>
        </is>
      </c>
      <c r="J406" s="8" t="n">
        <v>100</v>
      </c>
      <c r="K406" s="8" t="n">
        <v>30</v>
      </c>
      <c r="L406" s="8" t="n">
        <v>0</v>
      </c>
      <c r="M406" s="8" t="n">
        <v>0</v>
      </c>
      <c r="N406" s="8" t="n">
        <v>0</v>
      </c>
      <c r="O406" s="8" t="n">
        <v>0</v>
      </c>
      <c r="P406" s="8" t="n">
        <v>0</v>
      </c>
      <c r="Q406" s="8" t="n">
        <v>0</v>
      </c>
      <c r="R406" s="8" t="n">
        <v>0</v>
      </c>
      <c r="S406" s="8" t="n">
        <v>4</v>
      </c>
      <c r="T406" s="8" t="n">
        <v>1.5</v>
      </c>
      <c r="U406" s="8" t="n">
        <v>0</v>
      </c>
      <c r="V406" s="8" t="n">
        <v>0</v>
      </c>
      <c r="W406" s="8" t="n">
        <v>3</v>
      </c>
      <c r="X406" s="8" t="n">
        <v>1</v>
      </c>
      <c r="Y406" s="8" t="inlineStr">
        <is>
          <t>carbon nanotubes GTR 0 (in other_inorganic); N990 30; TAIC-S70 4 (70% active); Luperox 101XL-45 1.5 (45% active); ZnO META-Z102 3; Struktol HT290 1</t>
        </is>
      </c>
      <c r="Z406" s="8" t="n">
        <v>77</v>
      </c>
      <c r="AA406" s="8" t="n">
        <v>18.1</v>
      </c>
      <c r="AB406" s="8" t="n">
        <v>256</v>
      </c>
      <c r="AC406" s="8" t="n">
        <v>5</v>
      </c>
      <c r="AD406" s="8" t="n"/>
      <c r="AE406" s="8" t="n"/>
      <c r="AF406" s="8" t="n"/>
      <c r="AG406" s="8" t="n"/>
      <c r="AH406" s="8" t="inlineStr">
        <is>
          <t>parts by weight; MPa; %</t>
        </is>
      </c>
      <c r="AI406" s="8" t="inlineStr">
        <is>
          <t>Oil/gas HTHP seal (not semiconductor). Press 180C x 10 min, post-cure 200C x 12h; GB/T 531.1, GB/T 528. Nos. 5-8 (Viton GLT) omitted: their tables are images.</t>
        </is>
      </c>
    </row>
    <row r="407">
      <c r="A407" s="8" t="inlineStr">
        <is>
          <t>CN106633544B</t>
        </is>
      </c>
      <c r="B407" s="8" t="inlineStr">
        <is>
          <t>patent</t>
        </is>
      </c>
      <c r="C407" s="8" t="inlineStr">
        <is>
          <t>Shanghai Rushi Sealing Technology Co., Ltd. (上海如实密封科技有限公司)</t>
        </is>
      </c>
      <c r="D407" s="8" t="inlineStr">
        <is>
          <t>Fluororubber material for high-temperature high-pressure resistant sealing element and preparation method thereof</t>
        </is>
      </c>
      <c r="E407" s="8" t="inlineStr">
        <is>
          <t>https://patents.google.com/patent/CN106633544B/en</t>
        </is>
      </c>
      <c r="F407" s="8" t="inlineStr">
        <is>
          <t>No. 2</t>
        </is>
      </c>
      <c r="G407" s="8" t="inlineStr">
        <is>
          <t>FKM</t>
        </is>
      </c>
      <c r="H407" s="8" t="inlineStr">
        <is>
          <t>DuPont Viton GF (peroxide-curable FKM)</t>
        </is>
      </c>
      <c r="I407" s="8" t="inlineStr">
        <is>
          <t>peroxide</t>
        </is>
      </c>
      <c r="J407" s="8" t="n">
        <v>100</v>
      </c>
      <c r="K407" s="8" t="n">
        <v>25</v>
      </c>
      <c r="L407" s="8" t="n">
        <v>0</v>
      </c>
      <c r="M407" s="8" t="n">
        <v>0</v>
      </c>
      <c r="N407" s="8" t="n">
        <v>0</v>
      </c>
      <c r="O407" s="8" t="n">
        <v>0</v>
      </c>
      <c r="P407" s="8" t="n">
        <v>0</v>
      </c>
      <c r="Q407" s="8" t="n">
        <v>5</v>
      </c>
      <c r="R407" s="8" t="n">
        <v>0</v>
      </c>
      <c r="S407" s="8" t="n">
        <v>4</v>
      </c>
      <c r="T407" s="8" t="n">
        <v>1.5</v>
      </c>
      <c r="U407" s="8" t="n">
        <v>0</v>
      </c>
      <c r="V407" s="8" t="n">
        <v>0</v>
      </c>
      <c r="W407" s="8" t="n">
        <v>3</v>
      </c>
      <c r="X407" s="8" t="n">
        <v>1</v>
      </c>
      <c r="Y407" s="8" t="inlineStr">
        <is>
          <t>carbon nanotubes GTR 5 (in other_inorganic); N990 25; TAIC-S70 4 (70% active); Luperox 101XL-45 1.5 (45% active); ZnO META-Z102 3; Struktol HT290 1</t>
        </is>
      </c>
      <c r="Z407" s="8" t="n">
        <v>88</v>
      </c>
      <c r="AA407" s="8" t="n">
        <v>28.5</v>
      </c>
      <c r="AB407" s="8" t="n">
        <v>208</v>
      </c>
      <c r="AC407" s="8" t="n">
        <v>13.97</v>
      </c>
      <c r="AD407" s="8" t="n"/>
      <c r="AE407" s="8" t="n"/>
      <c r="AF407" s="8" t="n"/>
      <c r="AG407" s="8" t="n"/>
      <c r="AH407" s="8" t="inlineStr">
        <is>
          <t>parts by weight; MPa; %</t>
        </is>
      </c>
      <c r="AI407" s="8" t="inlineStr">
        <is>
          <t>Oil/gas HTHP seal (not semiconductor). Press 180C x 10 min, post-cure 200C x 12h; GB/T 531.1, GB/T 528. Nos. 5-8 (Viton GLT) omitted: their tables are images.</t>
        </is>
      </c>
    </row>
    <row r="408">
      <c r="A408" s="8" t="inlineStr">
        <is>
          <t>CN106633544B</t>
        </is>
      </c>
      <c r="B408" s="8" t="inlineStr">
        <is>
          <t>patent</t>
        </is>
      </c>
      <c r="C408" s="8" t="inlineStr">
        <is>
          <t>Shanghai Rushi Sealing Technology Co., Ltd. (上海如实密封科技有限公司)</t>
        </is>
      </c>
      <c r="D408" s="8" t="inlineStr">
        <is>
          <t>Fluororubber material for high-temperature high-pressure resistant sealing element and preparation method thereof</t>
        </is>
      </c>
      <c r="E408" s="8" t="inlineStr">
        <is>
          <t>https://patents.google.com/patent/CN106633544B/en</t>
        </is>
      </c>
      <c r="F408" s="8" t="inlineStr">
        <is>
          <t>No. 3</t>
        </is>
      </c>
      <c r="G408" s="8" t="inlineStr">
        <is>
          <t>FKM</t>
        </is>
      </c>
      <c r="H408" s="8" t="inlineStr">
        <is>
          <t>DuPont Viton GF (peroxide-curable FKM)</t>
        </is>
      </c>
      <c r="I408" s="8" t="inlineStr">
        <is>
          <t>peroxide</t>
        </is>
      </c>
      <c r="J408" s="8" t="n">
        <v>100</v>
      </c>
      <c r="K408" s="8" t="n">
        <v>20</v>
      </c>
      <c r="L408" s="8" t="n">
        <v>0</v>
      </c>
      <c r="M408" s="8" t="n">
        <v>0</v>
      </c>
      <c r="N408" s="8" t="n">
        <v>0</v>
      </c>
      <c r="O408" s="8" t="n">
        <v>0</v>
      </c>
      <c r="P408" s="8" t="n">
        <v>0</v>
      </c>
      <c r="Q408" s="8" t="n">
        <v>10</v>
      </c>
      <c r="R408" s="8" t="n">
        <v>0</v>
      </c>
      <c r="S408" s="8" t="n">
        <v>4</v>
      </c>
      <c r="T408" s="8" t="n">
        <v>1.5</v>
      </c>
      <c r="U408" s="8" t="n">
        <v>0</v>
      </c>
      <c r="V408" s="8" t="n">
        <v>0</v>
      </c>
      <c r="W408" s="8" t="n">
        <v>3</v>
      </c>
      <c r="X408" s="8" t="n">
        <v>1</v>
      </c>
      <c r="Y408" s="8" t="inlineStr">
        <is>
          <t>carbon nanotubes GTR 10 (in other_inorganic); N990 20; TAIC-S70 4 (70% active); Luperox 101XL-45 1.5 (45% active); ZnO META-Z102 3; Struktol HT290 1</t>
        </is>
      </c>
      <c r="Z408" s="8" t="n">
        <v>94</v>
      </c>
      <c r="AA408" s="8" t="n">
        <v>34.1</v>
      </c>
      <c r="AB408" s="8" t="n">
        <v>179</v>
      </c>
      <c r="AC408" s="8" t="n">
        <v>21.69</v>
      </c>
      <c r="AD408" s="8" t="n"/>
      <c r="AE408" s="8" t="n"/>
      <c r="AF408" s="8" t="n"/>
      <c r="AG408" s="8" t="n"/>
      <c r="AH408" s="8" t="inlineStr">
        <is>
          <t>parts by weight; MPa; %</t>
        </is>
      </c>
      <c r="AI408" s="8" t="inlineStr">
        <is>
          <t>Oil/gas HTHP seal (not semiconductor). Press 180C x 10 min, post-cure 200C x 12h; GB/T 531.1, GB/T 528. Nos. 5-8 (Viton GLT) omitted: their tables are images.</t>
        </is>
      </c>
    </row>
    <row r="409">
      <c r="A409" s="8" t="inlineStr">
        <is>
          <t>CN106633544B</t>
        </is>
      </c>
      <c r="B409" s="8" t="inlineStr">
        <is>
          <t>patent</t>
        </is>
      </c>
      <c r="C409" s="8" t="inlineStr">
        <is>
          <t>Shanghai Rushi Sealing Technology Co., Ltd. (上海如实密封科技有限公司)</t>
        </is>
      </c>
      <c r="D409" s="8" t="inlineStr">
        <is>
          <t>Fluororubber material for high-temperature high-pressure resistant sealing element and preparation method thereof</t>
        </is>
      </c>
      <c r="E409" s="8" t="inlineStr">
        <is>
          <t>https://patents.google.com/patent/CN106633544B/en</t>
        </is>
      </c>
      <c r="F409" s="8" t="inlineStr">
        <is>
          <t>No. 4</t>
        </is>
      </c>
      <c r="G409" s="8" t="inlineStr">
        <is>
          <t>FKM</t>
        </is>
      </c>
      <c r="H409" s="8" t="inlineStr">
        <is>
          <t>DuPont Viton GF (peroxide-curable FKM)</t>
        </is>
      </c>
      <c r="I409" s="8" t="inlineStr">
        <is>
          <t>peroxide</t>
        </is>
      </c>
      <c r="J409" s="8" t="n">
        <v>100</v>
      </c>
      <c r="K409" s="8" t="n">
        <v>15</v>
      </c>
      <c r="L409" s="8" t="n">
        <v>0</v>
      </c>
      <c r="M409" s="8" t="n">
        <v>0</v>
      </c>
      <c r="N409" s="8" t="n">
        <v>0</v>
      </c>
      <c r="O409" s="8" t="n">
        <v>0</v>
      </c>
      <c r="P409" s="8" t="n">
        <v>0</v>
      </c>
      <c r="Q409" s="8" t="n">
        <v>15</v>
      </c>
      <c r="R409" s="8" t="n">
        <v>0</v>
      </c>
      <c r="S409" s="8" t="n">
        <v>4</v>
      </c>
      <c r="T409" s="8" t="n">
        <v>1.5</v>
      </c>
      <c r="U409" s="8" t="n">
        <v>0</v>
      </c>
      <c r="V409" s="8" t="n">
        <v>0</v>
      </c>
      <c r="W409" s="8" t="n">
        <v>3</v>
      </c>
      <c r="X409" s="8" t="n">
        <v>1</v>
      </c>
      <c r="Y409" s="8" t="inlineStr">
        <is>
          <t>carbon nanotubes GTR 15 (in other_inorganic); N990 15; TAIC-S70 4 (70% active); Luperox 101XL-45 1.5 (45% active); ZnO META-Z102 3; Struktol HT290 1</t>
        </is>
      </c>
      <c r="Z409" s="8" t="n">
        <v>98</v>
      </c>
      <c r="AA409" s="8" t="n"/>
      <c r="AB409" s="8" t="n"/>
      <c r="AC409" s="8" t="n"/>
      <c r="AD409" s="8" t="n"/>
      <c r="AE409" s="8" t="n"/>
      <c r="AF409" s="8" t="n"/>
      <c r="AG409" s="8" t="n"/>
      <c r="AH409" s="8" t="inlineStr">
        <is>
          <t>parts by weight; MPa; %</t>
        </is>
      </c>
      <c r="AI409" s="8" t="inlineStr">
        <is>
          <t>Oil/gas HTHP seal (not semiconductor). Press 180C x 10 min, post-cure 200C x 12h; GB/T 531.1, GB/T 528. No. 4: only hardness reported (too brittle; other cells blank). Nos. 5-8 (Viton GLT) omitted: their tables are images.</t>
        </is>
      </c>
    </row>
    <row r="410">
      <c r="A410" s="8" t="inlineStr">
        <is>
          <t>CN106633544B</t>
        </is>
      </c>
      <c r="B410" s="8" t="inlineStr">
        <is>
          <t>patent</t>
        </is>
      </c>
      <c r="C410" s="8" t="inlineStr">
        <is>
          <t>Shanghai Rushi Sealing Technology Co., Ltd. (上海如实密封科技有限公司)</t>
        </is>
      </c>
      <c r="D410" s="8" t="inlineStr">
        <is>
          <t>Fluororubber material for high-temperature high-pressure resistant sealing element and preparation method thereof</t>
        </is>
      </c>
      <c r="E410" s="8" t="inlineStr">
        <is>
          <t>https://patents.google.com/patent/CN106633544B/en</t>
        </is>
      </c>
      <c r="F410" s="8" t="inlineStr">
        <is>
          <t>No. 9</t>
        </is>
      </c>
      <c r="G410" s="8" t="inlineStr">
        <is>
          <t>FKM</t>
        </is>
      </c>
      <c r="H410" s="8" t="inlineStr">
        <is>
          <t>DuPont Viton AHV (bisphenol-curable FKM)</t>
        </is>
      </c>
      <c r="I410" s="8" t="inlineStr">
        <is>
          <t>bisphenol</t>
        </is>
      </c>
      <c r="J410" s="8" t="n">
        <v>100</v>
      </c>
      <c r="K410" s="8" t="n">
        <v>40</v>
      </c>
      <c r="L410" s="8" t="n">
        <v>0</v>
      </c>
      <c r="M410" s="8" t="n">
        <v>0</v>
      </c>
      <c r="N410" s="8" t="n">
        <v>0</v>
      </c>
      <c r="O410" s="8" t="n">
        <v>0</v>
      </c>
      <c r="P410" s="8" t="n">
        <v>0</v>
      </c>
      <c r="Q410" s="8" t="n">
        <v>0</v>
      </c>
      <c r="R410" s="8" t="n">
        <v>0</v>
      </c>
      <c r="S410" s="8" t="n">
        <v>0</v>
      </c>
      <c r="T410" s="8" t="n">
        <v>0</v>
      </c>
      <c r="U410" s="8" t="n">
        <v>0</v>
      </c>
      <c r="V410" s="8" t="n">
        <v>8</v>
      </c>
      <c r="W410" s="8" t="n">
        <v>9</v>
      </c>
      <c r="X410" s="8" t="n">
        <v>2</v>
      </c>
      <c r="Y410" s="8" t="inlineStr">
        <is>
          <t>carbon nanotubes GTR 0 (in other_inorganic); N990 25 + N774 15; Ca(OH)2 NICC5000 6 + MgO MA150 3; bisphenol AF masterbatch AF50 6 (50% active) + BTPPC accelerator P33 2 (33% active); carnauba wax 1 + WS280 1</t>
        </is>
      </c>
      <c r="Z410" s="8" t="n">
        <v>93</v>
      </c>
      <c r="AA410" s="8" t="n">
        <v>21.8</v>
      </c>
      <c r="AB410" s="8" t="n">
        <v>72.8</v>
      </c>
      <c r="AC410" s="8" t="n"/>
      <c r="AD410" s="8" t="n"/>
      <c r="AE410" s="8" t="n"/>
      <c r="AF410" s="8" t="n"/>
      <c r="AG410" s="8" t="n"/>
      <c r="AH410" s="8" t="inlineStr">
        <is>
          <t>parts by weight; MPa; %</t>
        </is>
      </c>
      <c r="AI410" s="8" t="inlineStr">
        <is>
          <t xml:space="preserve">Oil/gas HTHP seal (not semiconductor). Press 180C x 10 min, post-cure 200C x 12h. 100% modulus reported as 0.00 (elongation &lt;100%) -&gt; left empty. </t>
        </is>
      </c>
    </row>
    <row r="411">
      <c r="A411" s="8" t="inlineStr">
        <is>
          <t>CN106633544B</t>
        </is>
      </c>
      <c r="B411" s="8" t="inlineStr">
        <is>
          <t>patent</t>
        </is>
      </c>
      <c r="C411" s="8" t="inlineStr">
        <is>
          <t>Shanghai Rushi Sealing Technology Co., Ltd. (上海如实密封科技有限公司)</t>
        </is>
      </c>
      <c r="D411" s="8" t="inlineStr">
        <is>
          <t>Fluororubber material for high-temperature high-pressure resistant sealing element and preparation method thereof</t>
        </is>
      </c>
      <c r="E411" s="8" t="inlineStr">
        <is>
          <t>https://patents.google.com/patent/CN106633544B/en</t>
        </is>
      </c>
      <c r="F411" s="8" t="inlineStr">
        <is>
          <t>No. 10</t>
        </is>
      </c>
      <c r="G411" s="8" t="inlineStr">
        <is>
          <t>FKM</t>
        </is>
      </c>
      <c r="H411" s="8" t="inlineStr">
        <is>
          <t>DuPont Viton AHV (bisphenol-curable FKM)</t>
        </is>
      </c>
      <c r="I411" s="8" t="inlineStr">
        <is>
          <t>bisphenol</t>
        </is>
      </c>
      <c r="J411" s="8" t="n">
        <v>100</v>
      </c>
      <c r="K411" s="8" t="n">
        <v>35</v>
      </c>
      <c r="L411" s="8" t="n">
        <v>0</v>
      </c>
      <c r="M411" s="8" t="n">
        <v>0</v>
      </c>
      <c r="N411" s="8" t="n">
        <v>0</v>
      </c>
      <c r="O411" s="8" t="n">
        <v>0</v>
      </c>
      <c r="P411" s="8" t="n">
        <v>0</v>
      </c>
      <c r="Q411" s="8" t="n">
        <v>5</v>
      </c>
      <c r="R411" s="8" t="n">
        <v>0</v>
      </c>
      <c r="S411" s="8" t="n">
        <v>0</v>
      </c>
      <c r="T411" s="8" t="n">
        <v>0</v>
      </c>
      <c r="U411" s="8" t="n">
        <v>0</v>
      </c>
      <c r="V411" s="8" t="n">
        <v>8</v>
      </c>
      <c r="W411" s="8" t="n">
        <v>9</v>
      </c>
      <c r="X411" s="8" t="n">
        <v>2</v>
      </c>
      <c r="Y411" s="8" t="inlineStr">
        <is>
          <t>carbon nanotubes GTR 5 (in other_inorganic); N990 20 + N774 15; Ca(OH)2 NICC5000 6 + MgO MA150 3; bisphenol AF masterbatch AF50 6 (50% active) + BTPPC accelerator P33 2 (33% active); carnauba wax 1 + WS280 1</t>
        </is>
      </c>
      <c r="Z411" s="8" t="n">
        <v>94</v>
      </c>
      <c r="AA411" s="8" t="n">
        <v>21</v>
      </c>
      <c r="AB411" s="8" t="n">
        <v>73</v>
      </c>
      <c r="AC411" s="8" t="n"/>
      <c r="AD411" s="8" t="n"/>
      <c r="AE411" s="8" t="n"/>
      <c r="AF411" s="8" t="n"/>
      <c r="AG411" s="8" t="n"/>
      <c r="AH411" s="8" t="inlineStr">
        <is>
          <t>parts by weight; MPa; %</t>
        </is>
      </c>
      <c r="AI411" s="8" t="inlineStr">
        <is>
          <t xml:space="preserve">Oil/gas HTHP seal (not semiconductor). Press 180C x 10 min, post-cure 200C x 12h. 100% modulus reported as 0.00 (elongation &lt;100%) -&gt; left empty. </t>
        </is>
      </c>
    </row>
    <row r="412">
      <c r="A412" s="8" t="inlineStr">
        <is>
          <t>CN106633544B</t>
        </is>
      </c>
      <c r="B412" s="8" t="inlineStr">
        <is>
          <t>patent</t>
        </is>
      </c>
      <c r="C412" s="8" t="inlineStr">
        <is>
          <t>Shanghai Rushi Sealing Technology Co., Ltd. (上海如实密封科技有限公司)</t>
        </is>
      </c>
      <c r="D412" s="8" t="inlineStr">
        <is>
          <t>Fluororubber material for high-temperature high-pressure resistant sealing element and preparation method thereof</t>
        </is>
      </c>
      <c r="E412" s="8" t="inlineStr">
        <is>
          <t>https://patents.google.com/patent/CN106633544B/en</t>
        </is>
      </c>
      <c r="F412" s="8" t="inlineStr">
        <is>
          <t>No. 11</t>
        </is>
      </c>
      <c r="G412" s="8" t="inlineStr">
        <is>
          <t>FKM</t>
        </is>
      </c>
      <c r="H412" s="8" t="inlineStr">
        <is>
          <t>DuPont Viton AHV (bisphenol-curable FKM)</t>
        </is>
      </c>
      <c r="I412" s="8" t="inlineStr">
        <is>
          <t>bisphenol</t>
        </is>
      </c>
      <c r="J412" s="8" t="n">
        <v>100</v>
      </c>
      <c r="K412" s="8" t="n">
        <v>30</v>
      </c>
      <c r="L412" s="8" t="n">
        <v>0</v>
      </c>
      <c r="M412" s="8" t="n">
        <v>0</v>
      </c>
      <c r="N412" s="8" t="n">
        <v>0</v>
      </c>
      <c r="O412" s="8" t="n">
        <v>0</v>
      </c>
      <c r="P412" s="8" t="n">
        <v>0</v>
      </c>
      <c r="Q412" s="8" t="n">
        <v>10</v>
      </c>
      <c r="R412" s="8" t="n">
        <v>0</v>
      </c>
      <c r="S412" s="8" t="n">
        <v>0</v>
      </c>
      <c r="T412" s="8" t="n">
        <v>0</v>
      </c>
      <c r="U412" s="8" t="n">
        <v>0</v>
      </c>
      <c r="V412" s="8" t="n">
        <v>8</v>
      </c>
      <c r="W412" s="8" t="n">
        <v>9</v>
      </c>
      <c r="X412" s="8" t="n">
        <v>2</v>
      </c>
      <c r="Y412" s="8" t="inlineStr">
        <is>
          <t>carbon nanotubes GTR 10 (in other_inorganic); N990 15 + N774 15; Ca(OH)2 NICC5000 6 + MgO MA150 3; bisphenol AF masterbatch AF50 6 (50% active) + BTPPC accelerator P33 2 (33% active); carnauba wax 1 + WS280 1</t>
        </is>
      </c>
      <c r="Z412" s="8" t="n">
        <v>97</v>
      </c>
      <c r="AA412" s="8" t="n">
        <v>21.5</v>
      </c>
      <c r="AB412" s="8" t="n">
        <v>51.8</v>
      </c>
      <c r="AC412" s="8" t="n"/>
      <c r="AD412" s="8" t="n"/>
      <c r="AE412" s="8" t="n"/>
      <c r="AF412" s="8" t="n"/>
      <c r="AG412" s="8" t="n"/>
      <c r="AH412" s="8" t="inlineStr">
        <is>
          <t>parts by weight; MPa; %</t>
        </is>
      </c>
      <c r="AI412" s="8" t="inlineStr">
        <is>
          <t xml:space="preserve">Oil/gas HTHP seal (not semiconductor). Press 180C x 10 min, post-cure 200C x 12h. 100% modulus reported as 0.00 (elongation &lt;100%) -&gt; left empty. </t>
        </is>
      </c>
    </row>
    <row r="413">
      <c r="A413" s="8" t="inlineStr">
        <is>
          <t>CN106633544B</t>
        </is>
      </c>
      <c r="B413" s="8" t="inlineStr">
        <is>
          <t>patent</t>
        </is>
      </c>
      <c r="C413" s="8" t="inlineStr">
        <is>
          <t>Shanghai Rushi Sealing Technology Co., Ltd. (上海如实密封科技有限公司)</t>
        </is>
      </c>
      <c r="D413" s="8" t="inlineStr">
        <is>
          <t>Fluororubber material for high-temperature high-pressure resistant sealing element and preparation method thereof</t>
        </is>
      </c>
      <c r="E413" s="8" t="inlineStr">
        <is>
          <t>https://patents.google.com/patent/CN106633544B/en</t>
        </is>
      </c>
      <c r="F413" s="8" t="inlineStr">
        <is>
          <t>No. 12</t>
        </is>
      </c>
      <c r="G413" s="8" t="inlineStr">
        <is>
          <t>FKM</t>
        </is>
      </c>
      <c r="H413" s="8" t="inlineStr">
        <is>
          <t>DuPont Viton AHV (bisphenol-curable FKM)</t>
        </is>
      </c>
      <c r="I413" s="8" t="inlineStr">
        <is>
          <t>bisphenol</t>
        </is>
      </c>
      <c r="J413" s="8" t="n">
        <v>100</v>
      </c>
      <c r="K413" s="8" t="n">
        <v>25</v>
      </c>
      <c r="L413" s="8" t="n">
        <v>0</v>
      </c>
      <c r="M413" s="8" t="n">
        <v>0</v>
      </c>
      <c r="N413" s="8" t="n">
        <v>0</v>
      </c>
      <c r="O413" s="8" t="n">
        <v>0</v>
      </c>
      <c r="P413" s="8" t="n">
        <v>0</v>
      </c>
      <c r="Q413" s="8" t="n">
        <v>15</v>
      </c>
      <c r="R413" s="8" t="n">
        <v>0</v>
      </c>
      <c r="S413" s="8" t="n">
        <v>0</v>
      </c>
      <c r="T413" s="8" t="n">
        <v>0</v>
      </c>
      <c r="U413" s="8" t="n">
        <v>0</v>
      </c>
      <c r="V413" s="8" t="n">
        <v>8</v>
      </c>
      <c r="W413" s="8" t="n">
        <v>9</v>
      </c>
      <c r="X413" s="8" t="n">
        <v>2</v>
      </c>
      <c r="Y413" s="8" t="inlineStr">
        <is>
          <t>carbon nanotubes GTR 15 (in other_inorganic); N990 10 + N774 15; Ca(OH)2 NICC5000 6 + MgO MA150 3; bisphenol AF masterbatch AF50 6 (50% active) + BTPPC accelerator P33 2 (33% active); carnauba wax 1 + WS280 1</t>
        </is>
      </c>
      <c r="Z413" s="8" t="n">
        <v>98</v>
      </c>
      <c r="AA413" s="8" t="n"/>
      <c r="AB413" s="8" t="n"/>
      <c r="AC413" s="8" t="n"/>
      <c r="AD413" s="8" t="n"/>
      <c r="AE413" s="8" t="n"/>
      <c r="AF413" s="8" t="n"/>
      <c r="AG413" s="8" t="n"/>
      <c r="AH413" s="8" t="inlineStr">
        <is>
          <t>parts by weight; MPa; %</t>
        </is>
      </c>
      <c r="AI413" s="8" t="inlineStr">
        <is>
          <t xml:space="preserve">Oil/gas HTHP seal (not semiconductor). Press 180C x 10 min, post-cure 200C x 12h. 100% modulus reported as 0.00 (elongation &lt;100%) -&gt; left empty. No. 12: only hardness reported. </t>
        </is>
      </c>
    </row>
  </sheetData>
  <autoFilter ref="A1:AI4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33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22" customWidth="1" min="4" max="4"/>
    <col width="14" customWidth="1" min="5" max="5"/>
    <col width="26" customWidth="1" min="6" max="6"/>
    <col width="13" customWidth="1" min="7" max="7"/>
    <col width="13" customWidth="1" min="8" max="8"/>
    <col width="18" customWidth="1" min="9" max="9"/>
    <col width="12" customWidth="1" min="10" max="10"/>
    <col width="13" customWidth="1" min="11" max="11"/>
    <col width="20" customWidth="1" min="12" max="12"/>
    <col width="20" customWidth="1" min="13" max="13"/>
    <col width="17" customWidth="1" min="14" max="14"/>
    <col width="28" customWidth="1" min="15" max="15"/>
    <col width="22" customWidth="1" min="16" max="16"/>
    <col width="13" customWidth="1" min="17" max="17"/>
    <col width="14" customWidth="1" min="18" max="18"/>
    <col width="22" customWidth="1" min="19" max="19"/>
    <col width="20" customWidth="1" min="20" max="20"/>
    <col width="19" customWidth="1" min="21" max="21"/>
    <col width="20" customWidth="1" min="22" max="22"/>
    <col width="17" customWidth="1" min="23" max="23"/>
    <col width="13" customWidth="1" min="24" max="24"/>
    <col width="16" customWidth="1" min="25" max="25"/>
    <col width="10" customWidth="1" min="26" max="26"/>
    <col width="21" customWidth="1" min="27" max="27"/>
    <col width="30" customWidth="1" min="28" max="28"/>
    <col width="11" customWidth="1" min="29" max="29"/>
    <col width="18" customWidth="1" min="30" max="30"/>
    <col width="22" customWidth="1" min="31" max="31"/>
    <col width="18" customWidth="1" min="32" max="32"/>
    <col width="21" customWidth="1" min="33" max="33"/>
    <col width="15" customWidth="1" min="34" max="34"/>
    <col width="26" customWidth="1" min="35" max="35"/>
  </cols>
  <sheetData>
    <row r="1" ht="30" customHeight="1">
      <c r="A1" s="6" t="inlineStr">
        <is>
          <t>row_id</t>
        </is>
      </c>
      <c r="B1" s="6" t="inlineStr">
        <is>
          <t>source_id</t>
        </is>
      </c>
      <c r="C1" s="6" t="inlineStr">
        <is>
          <t>assignee</t>
        </is>
      </c>
      <c r="D1" s="6" t="inlineStr">
        <is>
          <t>example_label</t>
        </is>
      </c>
      <c r="E1" s="6" t="inlineStr">
        <is>
          <t>polymer_type</t>
        </is>
      </c>
      <c r="F1" s="6" t="inlineStr">
        <is>
          <t>polymer_grade</t>
        </is>
      </c>
      <c r="G1" s="6" t="inlineStr">
        <is>
          <t>cure_system</t>
        </is>
      </c>
      <c r="H1" s="6" t="inlineStr">
        <is>
          <t>polymer_phr</t>
        </is>
      </c>
      <c r="I1" s="6" t="inlineStr">
        <is>
          <t>carbon_black_phr</t>
        </is>
      </c>
      <c r="J1" s="6" t="inlineStr">
        <is>
          <t>silica_phr</t>
        </is>
      </c>
      <c r="K1" s="6" t="inlineStr">
        <is>
          <t>alumina_phr</t>
        </is>
      </c>
      <c r="L1" s="6" t="inlineStr">
        <is>
          <t>barium_sulfate_phr</t>
        </is>
      </c>
      <c r="M1" s="6" t="inlineStr">
        <is>
          <t>titanium_oxide_phr</t>
        </is>
      </c>
      <c r="N1" s="6" t="inlineStr">
        <is>
          <t>fluororesin_phr</t>
        </is>
      </c>
      <c r="O1" s="6" t="inlineStr">
        <is>
          <t>other_inorganic_filler_phr</t>
        </is>
      </c>
      <c r="P1" s="6" t="inlineStr">
        <is>
          <t>organic_additive_phr</t>
        </is>
      </c>
      <c r="Q1" s="6" t="inlineStr">
        <is>
          <t>coagent_phr</t>
        </is>
      </c>
      <c r="R1" s="6" t="inlineStr">
        <is>
          <t>peroxide_phr</t>
        </is>
      </c>
      <c r="S1" s="6" t="inlineStr">
        <is>
          <t>nitrile_curative_phr</t>
        </is>
      </c>
      <c r="T1" s="6" t="inlineStr">
        <is>
          <t>other_curative_phr</t>
        </is>
      </c>
      <c r="U1" s="6" t="inlineStr">
        <is>
          <t>acid_acceptor_phr</t>
        </is>
      </c>
      <c r="V1" s="6" t="inlineStr">
        <is>
          <t>processing_aid_phr</t>
        </is>
      </c>
      <c r="W1" s="6" t="inlineStr">
        <is>
          <t>hardness_shoreA</t>
        </is>
      </c>
      <c r="X1" s="6" t="inlineStr">
        <is>
          <t>tensile_MPa</t>
        </is>
      </c>
      <c r="Y1" s="6" t="inlineStr">
        <is>
          <t>elongation_pct</t>
        </is>
      </c>
      <c r="Z1" s="6" t="inlineStr">
        <is>
          <t>m100_MPa</t>
        </is>
      </c>
      <c r="AA1" s="6" t="inlineStr">
        <is>
          <t>compression_set_pct</t>
        </is>
      </c>
      <c r="AB1" s="6" t="inlineStr">
        <is>
          <t>cs_condition</t>
        </is>
      </c>
      <c r="AC1" s="6" t="inlineStr">
        <is>
          <t>cs_temp_C</t>
        </is>
      </c>
      <c r="AD1" s="6" t="inlineStr">
        <is>
          <t>total_filler_phr</t>
        </is>
      </c>
      <c r="AE1" s="6" t="inlineStr">
        <is>
          <t>used_hardness_shoreA</t>
        </is>
      </c>
      <c r="AF1" s="6" t="inlineStr">
        <is>
          <t>used_tensile_MPa</t>
        </is>
      </c>
      <c r="AG1" s="6" t="inlineStr">
        <is>
          <t>used_elongation_pct</t>
        </is>
      </c>
      <c r="AH1" s="6" t="inlineStr">
        <is>
          <t>used_m100_MPa</t>
        </is>
      </c>
      <c r="AI1" s="6" t="inlineStr">
        <is>
          <t>used_compression_set_pct</t>
        </is>
      </c>
    </row>
    <row r="2">
      <c r="A2" s="4" t="inlineStr">
        <is>
          <t>G001</t>
        </is>
      </c>
      <c r="B2" s="8" t="inlineStr">
        <is>
          <t>US7678858B2</t>
        </is>
      </c>
      <c r="C2" s="8" t="inlineStr">
        <is>
          <t>Daikin Industries, Ltd.</t>
        </is>
      </c>
      <c r="D2" s="8" t="inlineStr">
        <is>
          <t>Example 1</t>
        </is>
      </c>
      <c r="E2" s="8" t="inlineStr">
        <is>
          <t>FFKM</t>
        </is>
      </c>
      <c r="F2" s="8" t="inlineStr">
        <is>
          <t>DAI-EL PERFLO GA-105 (TFE/perfluoro(alkyl vinyl ether), iodine cure site)</t>
        </is>
      </c>
      <c r="G2" s="8" t="inlineStr">
        <is>
          <t>peroxide</t>
        </is>
      </c>
      <c r="H2" s="8" t="n">
        <v>100</v>
      </c>
      <c r="I2" s="8" t="n">
        <v>0</v>
      </c>
      <c r="J2" s="8" t="n">
        <v>0</v>
      </c>
      <c r="K2" s="8" t="n">
        <v>15</v>
      </c>
      <c r="L2" s="8" t="n">
        <v>0</v>
      </c>
      <c r="M2" s="8" t="n">
        <v>0</v>
      </c>
      <c r="N2" s="8" t="n">
        <v>0</v>
      </c>
      <c r="O2" s="8" t="n">
        <v>0</v>
      </c>
      <c r="P2" s="8" t="n">
        <v>2</v>
      </c>
      <c r="Q2" s="8" t="n">
        <v>2</v>
      </c>
      <c r="R2" s="8" t="n">
        <v>1</v>
      </c>
      <c r="S2" s="8" t="n">
        <v>0</v>
      </c>
      <c r="T2" s="8" t="n">
        <v>0</v>
      </c>
      <c r="U2" s="8" t="n">
        <v>0</v>
      </c>
      <c r="V2" s="8" t="n">
        <v>0</v>
      </c>
      <c r="W2" s="8" t="n">
        <v>78</v>
      </c>
      <c r="X2" s="8" t="n">
        <v>24.52</v>
      </c>
      <c r="Y2" s="8" t="n">
        <v>170</v>
      </c>
      <c r="Z2" s="8" t="n">
        <v>9.02</v>
      </c>
      <c r="AA2" s="8" t="n">
        <v>21</v>
      </c>
      <c r="AB2" s="8" t="inlineStr">
        <is>
          <t>200C x 70h, 25% compression, P-24 O-ring (JIS K6301)</t>
        </is>
      </c>
      <c r="AC2" s="4" t="n">
        <v>200</v>
      </c>
      <c r="AD2" s="4">
        <f>I2+J2+K2+L2+M2+N2+O2+P2</f>
        <v/>
      </c>
      <c r="AE2" s="4" t="n">
        <v>1</v>
      </c>
      <c r="AF2" s="4" t="n">
        <v>1</v>
      </c>
      <c r="AG2" s="4" t="n">
        <v>1</v>
      </c>
      <c r="AH2" s="4" t="n">
        <v>1</v>
      </c>
      <c r="AI2" s="4" t="n">
        <v>1</v>
      </c>
    </row>
    <row r="3">
      <c r="A3" s="4" t="inlineStr">
        <is>
          <t>G002</t>
        </is>
      </c>
      <c r="B3" s="8" t="inlineStr">
        <is>
          <t>US7678858B2</t>
        </is>
      </c>
      <c r="C3" s="8" t="inlineStr">
        <is>
          <t>Daikin Industries, Ltd.</t>
        </is>
      </c>
      <c r="D3" s="8" t="inlineStr">
        <is>
          <t>Example 2</t>
        </is>
      </c>
      <c r="E3" s="8" t="inlineStr">
        <is>
          <t>FFKM</t>
        </is>
      </c>
      <c r="F3" s="8" t="inlineStr">
        <is>
          <t>DAI-EL PERFLO GA-105 (TFE/perfluoro(alkyl vinyl ether), iodine cure site)</t>
        </is>
      </c>
      <c r="G3" s="8" t="inlineStr">
        <is>
          <t>peroxide</t>
        </is>
      </c>
      <c r="H3" s="8" t="n">
        <v>100</v>
      </c>
      <c r="I3" s="8" t="n">
        <v>0</v>
      </c>
      <c r="J3" s="8" t="n">
        <v>0</v>
      </c>
      <c r="K3" s="8" t="n">
        <v>15</v>
      </c>
      <c r="L3" s="8" t="n">
        <v>0</v>
      </c>
      <c r="M3" s="8" t="n">
        <v>0</v>
      </c>
      <c r="N3" s="8" t="n">
        <v>0</v>
      </c>
      <c r="O3" s="8" t="n">
        <v>0</v>
      </c>
      <c r="P3" s="8" t="n">
        <v>2</v>
      </c>
      <c r="Q3" s="8" t="n">
        <v>2</v>
      </c>
      <c r="R3" s="8" t="n">
        <v>1</v>
      </c>
      <c r="S3" s="8" t="n">
        <v>0</v>
      </c>
      <c r="T3" s="8" t="n">
        <v>0</v>
      </c>
      <c r="U3" s="8" t="n">
        <v>0</v>
      </c>
      <c r="V3" s="8" t="n">
        <v>0</v>
      </c>
      <c r="W3" s="8" t="n">
        <v>79</v>
      </c>
      <c r="X3" s="8" t="n">
        <v>26.18</v>
      </c>
      <c r="Y3" s="8" t="n">
        <v>170</v>
      </c>
      <c r="Z3" s="8" t="n">
        <v>9.32</v>
      </c>
      <c r="AA3" s="8" t="n">
        <v>22</v>
      </c>
      <c r="AB3" s="8" t="inlineStr">
        <is>
          <t>200C x 70h, 25% compression, P-24 O-ring (JIS K6301)</t>
        </is>
      </c>
      <c r="AC3" s="4" t="n">
        <v>200</v>
      </c>
      <c r="AD3" s="4">
        <f>I3+J3+K3+L3+M3+N3+O3+P3</f>
        <v/>
      </c>
      <c r="AE3" s="4" t="n">
        <v>1</v>
      </c>
      <c r="AF3" s="4" t="n">
        <v>1</v>
      </c>
      <c r="AG3" s="4" t="n">
        <v>1</v>
      </c>
      <c r="AH3" s="4" t="n">
        <v>1</v>
      </c>
      <c r="AI3" s="4" t="n">
        <v>1</v>
      </c>
    </row>
    <row r="4">
      <c r="A4" s="4" t="inlineStr">
        <is>
          <t>G003</t>
        </is>
      </c>
      <c r="B4" s="8" t="inlineStr">
        <is>
          <t>US7678858B2</t>
        </is>
      </c>
      <c r="C4" s="8" t="inlineStr">
        <is>
          <t>Daikin Industries, Ltd.</t>
        </is>
      </c>
      <c r="D4" s="8" t="inlineStr">
        <is>
          <t>Example 3</t>
        </is>
      </c>
      <c r="E4" s="8" t="inlineStr">
        <is>
          <t>FFKM</t>
        </is>
      </c>
      <c r="F4" s="8" t="inlineStr">
        <is>
          <t>DAI-EL PERFLO GA-105 (TFE/perfluoro(alkyl vinyl ether), iodine cure site)</t>
        </is>
      </c>
      <c r="G4" s="8" t="inlineStr">
        <is>
          <t>peroxide</t>
        </is>
      </c>
      <c r="H4" s="8" t="n">
        <v>100</v>
      </c>
      <c r="I4" s="8" t="n">
        <v>0</v>
      </c>
      <c r="J4" s="8" t="n">
        <v>0</v>
      </c>
      <c r="K4" s="8" t="n">
        <v>15</v>
      </c>
      <c r="L4" s="8" t="n">
        <v>0</v>
      </c>
      <c r="M4" s="8" t="n">
        <v>0</v>
      </c>
      <c r="N4" s="8" t="n">
        <v>0</v>
      </c>
      <c r="O4" s="8" t="n">
        <v>0</v>
      </c>
      <c r="P4" s="8" t="n">
        <v>2</v>
      </c>
      <c r="Q4" s="8" t="n">
        <v>2</v>
      </c>
      <c r="R4" s="8" t="n">
        <v>1</v>
      </c>
      <c r="S4" s="8" t="n">
        <v>0</v>
      </c>
      <c r="T4" s="8" t="n">
        <v>0</v>
      </c>
      <c r="U4" s="8" t="n">
        <v>0</v>
      </c>
      <c r="V4" s="8" t="n">
        <v>0</v>
      </c>
      <c r="W4" s="8" t="n">
        <v>78</v>
      </c>
      <c r="X4" s="8" t="n">
        <v>24.91</v>
      </c>
      <c r="Y4" s="8" t="n">
        <v>170</v>
      </c>
      <c r="Z4" s="8" t="n">
        <v>9.119999999999999</v>
      </c>
      <c r="AA4" s="8" t="n">
        <v>21</v>
      </c>
      <c r="AB4" s="8" t="inlineStr">
        <is>
          <t>200C x 70h, 25% compression, P-24 O-ring (JIS K6301)</t>
        </is>
      </c>
      <c r="AC4" s="4" t="n">
        <v>200</v>
      </c>
      <c r="AD4" s="4">
        <f>I4+J4+K4+L4+M4+N4+O4+P4</f>
        <v/>
      </c>
      <c r="AE4" s="4" t="n">
        <v>1</v>
      </c>
      <c r="AF4" s="4" t="n">
        <v>1</v>
      </c>
      <c r="AG4" s="4" t="n">
        <v>1</v>
      </c>
      <c r="AH4" s="4" t="n">
        <v>1</v>
      </c>
      <c r="AI4" s="4" t="n">
        <v>1</v>
      </c>
    </row>
    <row r="5">
      <c r="A5" s="4" t="inlineStr">
        <is>
          <t>G004</t>
        </is>
      </c>
      <c r="B5" s="8" t="inlineStr">
        <is>
          <t>US7678858B2</t>
        </is>
      </c>
      <c r="C5" s="8" t="inlineStr">
        <is>
          <t>Daikin Industries, Ltd.</t>
        </is>
      </c>
      <c r="D5" s="8" t="inlineStr">
        <is>
          <t>Example 4</t>
        </is>
      </c>
      <c r="E5" s="8" t="inlineStr">
        <is>
          <t>FFKM</t>
        </is>
      </c>
      <c r="F5" s="8" t="inlineStr">
        <is>
          <t>DAI-EL PERFLO GA-105 (TFE/perfluoro(alkyl vinyl ether), iodine cure site)</t>
        </is>
      </c>
      <c r="G5" s="8" t="inlineStr">
        <is>
          <t>peroxide</t>
        </is>
      </c>
      <c r="H5" s="8" t="n">
        <v>100</v>
      </c>
      <c r="I5" s="8" t="n">
        <v>0</v>
      </c>
      <c r="J5" s="8" t="n">
        <v>0</v>
      </c>
      <c r="K5" s="8" t="n">
        <v>15</v>
      </c>
      <c r="L5" s="8" t="n">
        <v>0</v>
      </c>
      <c r="M5" s="8" t="n">
        <v>0</v>
      </c>
      <c r="N5" s="8" t="n">
        <v>0</v>
      </c>
      <c r="O5" s="8" t="n">
        <v>0</v>
      </c>
      <c r="P5" s="8" t="n">
        <v>2</v>
      </c>
      <c r="Q5" s="8" t="n">
        <v>2</v>
      </c>
      <c r="R5" s="8" t="n">
        <v>1</v>
      </c>
      <c r="S5" s="8" t="n">
        <v>0</v>
      </c>
      <c r="T5" s="8" t="n">
        <v>0</v>
      </c>
      <c r="U5" s="8" t="n">
        <v>0</v>
      </c>
      <c r="V5" s="8" t="n">
        <v>0</v>
      </c>
      <c r="W5" s="8" t="n">
        <v>79</v>
      </c>
      <c r="X5" s="8" t="n">
        <v>23.54</v>
      </c>
      <c r="Y5" s="8" t="n">
        <v>170</v>
      </c>
      <c r="Z5" s="8" t="n">
        <v>9.32</v>
      </c>
      <c r="AA5" s="8" t="n">
        <v>21</v>
      </c>
      <c r="AB5" s="8" t="inlineStr">
        <is>
          <t>200C x 70h, 25% compression, P-24 O-ring (JIS K6301)</t>
        </is>
      </c>
      <c r="AC5" s="4" t="n">
        <v>200</v>
      </c>
      <c r="AD5" s="4">
        <f>I5+J5+K5+L5+M5+N5+O5+P5</f>
        <v/>
      </c>
      <c r="AE5" s="4" t="n">
        <v>1</v>
      </c>
      <c r="AF5" s="4" t="n">
        <v>1</v>
      </c>
      <c r="AG5" s="4" t="n">
        <v>1</v>
      </c>
      <c r="AH5" s="4" t="n">
        <v>1</v>
      </c>
      <c r="AI5" s="4" t="n">
        <v>1</v>
      </c>
    </row>
    <row r="6">
      <c r="A6" s="4" t="inlineStr">
        <is>
          <t>G005</t>
        </is>
      </c>
      <c r="B6" s="8" t="inlineStr">
        <is>
          <t>US7678858B2</t>
        </is>
      </c>
      <c r="C6" s="8" t="inlineStr">
        <is>
          <t>Daikin Industries, Ltd.</t>
        </is>
      </c>
      <c r="D6" s="8" t="inlineStr">
        <is>
          <t>Example 5</t>
        </is>
      </c>
      <c r="E6" s="8" t="inlineStr">
        <is>
          <t>FFKM</t>
        </is>
      </c>
      <c r="F6" s="8" t="inlineStr">
        <is>
          <t>DAI-EL PERFLO GA-105 (TFE/perfluoro(alkyl vinyl ether), iodine cure site)</t>
        </is>
      </c>
      <c r="G6" s="8" t="inlineStr">
        <is>
          <t>peroxide</t>
        </is>
      </c>
      <c r="H6" s="8" t="n">
        <v>100</v>
      </c>
      <c r="I6" s="8" t="n">
        <v>0</v>
      </c>
      <c r="J6" s="8" t="n">
        <v>0</v>
      </c>
      <c r="K6" s="8" t="n">
        <v>15</v>
      </c>
      <c r="L6" s="8" t="n">
        <v>0</v>
      </c>
      <c r="M6" s="8" t="n">
        <v>0</v>
      </c>
      <c r="N6" s="8" t="n">
        <v>0</v>
      </c>
      <c r="O6" s="8" t="n">
        <v>0</v>
      </c>
      <c r="P6" s="8" t="n">
        <v>2</v>
      </c>
      <c r="Q6" s="8" t="n">
        <v>2</v>
      </c>
      <c r="R6" s="8" t="n">
        <v>1</v>
      </c>
      <c r="S6" s="8" t="n">
        <v>0</v>
      </c>
      <c r="T6" s="8" t="n">
        <v>0</v>
      </c>
      <c r="U6" s="8" t="n">
        <v>0</v>
      </c>
      <c r="V6" s="8" t="n">
        <v>0</v>
      </c>
      <c r="W6" s="8" t="n">
        <v>78</v>
      </c>
      <c r="X6" s="8" t="n">
        <v>23.24</v>
      </c>
      <c r="Y6" s="8" t="n">
        <v>170</v>
      </c>
      <c r="Z6" s="8" t="n">
        <v>9.119999999999999</v>
      </c>
      <c r="AA6" s="8" t="n">
        <v>23</v>
      </c>
      <c r="AB6" s="8" t="inlineStr">
        <is>
          <t>200C x 70h, 25% compression, P-24 O-ring (JIS K6301)</t>
        </is>
      </c>
      <c r="AC6" s="4" t="n">
        <v>200</v>
      </c>
      <c r="AD6" s="4">
        <f>I6+J6+K6+L6+M6+N6+O6+P6</f>
        <v/>
      </c>
      <c r="AE6" s="4" t="n">
        <v>1</v>
      </c>
      <c r="AF6" s="4" t="n">
        <v>1</v>
      </c>
      <c r="AG6" s="4" t="n">
        <v>1</v>
      </c>
      <c r="AH6" s="4" t="n">
        <v>1</v>
      </c>
      <c r="AI6" s="4" t="n">
        <v>1</v>
      </c>
    </row>
    <row r="7">
      <c r="A7" s="4" t="inlineStr">
        <is>
          <t>G006</t>
        </is>
      </c>
      <c r="B7" s="8" t="inlineStr">
        <is>
          <t>US7678858B2</t>
        </is>
      </c>
      <c r="C7" s="8" t="inlineStr">
        <is>
          <t>Daikin Industries, Ltd.</t>
        </is>
      </c>
      <c r="D7" s="8" t="inlineStr">
        <is>
          <t>Example 6</t>
        </is>
      </c>
      <c r="E7" s="8" t="inlineStr">
        <is>
          <t>FFKM</t>
        </is>
      </c>
      <c r="F7" s="8" t="inlineStr">
        <is>
          <t>DAI-EL PERFLO GA-105 (TFE/perfluoro(alkyl vinyl ether), iodine cure site)</t>
        </is>
      </c>
      <c r="G7" s="8" t="inlineStr">
        <is>
          <t>peroxide</t>
        </is>
      </c>
      <c r="H7" s="8" t="n">
        <v>100</v>
      </c>
      <c r="I7" s="8" t="n">
        <v>0</v>
      </c>
      <c r="J7" s="8" t="n">
        <v>0</v>
      </c>
      <c r="K7" s="8" t="n">
        <v>15</v>
      </c>
      <c r="L7" s="8" t="n">
        <v>0</v>
      </c>
      <c r="M7" s="8" t="n">
        <v>0</v>
      </c>
      <c r="N7" s="8" t="n">
        <v>0</v>
      </c>
      <c r="O7" s="8" t="n">
        <v>0</v>
      </c>
      <c r="P7" s="8" t="n">
        <v>2</v>
      </c>
      <c r="Q7" s="8" t="n">
        <v>2</v>
      </c>
      <c r="R7" s="8" t="n">
        <v>1</v>
      </c>
      <c r="S7" s="8" t="n">
        <v>0</v>
      </c>
      <c r="T7" s="8" t="n">
        <v>0</v>
      </c>
      <c r="U7" s="8" t="n">
        <v>0</v>
      </c>
      <c r="V7" s="8" t="n">
        <v>0</v>
      </c>
      <c r="W7" s="8" t="n">
        <v>78</v>
      </c>
      <c r="X7" s="8" t="n">
        <v>23.63</v>
      </c>
      <c r="Y7" s="8" t="n">
        <v>170</v>
      </c>
      <c r="Z7" s="8" t="n">
        <v>8.34</v>
      </c>
      <c r="AA7" s="8" t="n">
        <v>28</v>
      </c>
      <c r="AB7" s="8" t="inlineStr">
        <is>
          <t>200C x 70h, 25% compression, P-24 O-ring (JIS K6301)</t>
        </is>
      </c>
      <c r="AC7" s="4" t="n">
        <v>200</v>
      </c>
      <c r="AD7" s="4">
        <f>I7+J7+K7+L7+M7+N7+O7+P7</f>
        <v/>
      </c>
      <c r="AE7" s="4" t="n">
        <v>1</v>
      </c>
      <c r="AF7" s="4" t="n">
        <v>1</v>
      </c>
      <c r="AG7" s="4" t="n">
        <v>1</v>
      </c>
      <c r="AH7" s="4" t="n">
        <v>1</v>
      </c>
      <c r="AI7" s="4" t="n">
        <v>1</v>
      </c>
    </row>
    <row r="8">
      <c r="A8" s="4" t="inlineStr">
        <is>
          <t>G007</t>
        </is>
      </c>
      <c r="B8" s="8" t="inlineStr">
        <is>
          <t>US7678858B2</t>
        </is>
      </c>
      <c r="C8" s="8" t="inlineStr">
        <is>
          <t>Daikin Industries, Ltd.</t>
        </is>
      </c>
      <c r="D8" s="8" t="inlineStr">
        <is>
          <t>Example 7</t>
        </is>
      </c>
      <c r="E8" s="8" t="inlineStr">
        <is>
          <t>FFKM</t>
        </is>
      </c>
      <c r="F8" s="8" t="inlineStr">
        <is>
          <t>DAI-EL PERFLO GA-105 (TFE/perfluoro(alkyl vinyl ether), iodine cure site)</t>
        </is>
      </c>
      <c r="G8" s="8" t="inlineStr">
        <is>
          <t>peroxide</t>
        </is>
      </c>
      <c r="H8" s="8" t="n">
        <v>100</v>
      </c>
      <c r="I8" s="8" t="n">
        <v>0</v>
      </c>
      <c r="J8" s="8" t="n">
        <v>0</v>
      </c>
      <c r="K8" s="8" t="n">
        <v>15</v>
      </c>
      <c r="L8" s="8" t="n">
        <v>0</v>
      </c>
      <c r="M8" s="8" t="n">
        <v>0</v>
      </c>
      <c r="N8" s="8" t="n">
        <v>0</v>
      </c>
      <c r="O8" s="8" t="n">
        <v>0</v>
      </c>
      <c r="P8" s="8" t="n">
        <v>2</v>
      </c>
      <c r="Q8" s="8" t="n">
        <v>2</v>
      </c>
      <c r="R8" s="8" t="n">
        <v>1</v>
      </c>
      <c r="S8" s="8" t="n">
        <v>0</v>
      </c>
      <c r="T8" s="8" t="n">
        <v>0</v>
      </c>
      <c r="U8" s="8" t="n">
        <v>0</v>
      </c>
      <c r="V8" s="8" t="n">
        <v>0</v>
      </c>
      <c r="W8" s="8" t="n">
        <v>79</v>
      </c>
      <c r="X8" s="8" t="n">
        <v>25.11</v>
      </c>
      <c r="Y8" s="8" t="n">
        <v>200</v>
      </c>
      <c r="Z8" s="8" t="n">
        <v>5.98</v>
      </c>
      <c r="AA8" s="8" t="n">
        <v>48</v>
      </c>
      <c r="AB8" s="8" t="inlineStr">
        <is>
          <t>200C x 70h, 25% compression, P-24 O-ring (JIS K6301)</t>
        </is>
      </c>
      <c r="AC8" s="4" t="n">
        <v>200</v>
      </c>
      <c r="AD8" s="4">
        <f>I8+J8+K8+L8+M8+N8+O8+P8</f>
        <v/>
      </c>
      <c r="AE8" s="4" t="n">
        <v>1</v>
      </c>
      <c r="AF8" s="4" t="n">
        <v>1</v>
      </c>
      <c r="AG8" s="4" t="n">
        <v>1</v>
      </c>
      <c r="AH8" s="4" t="n">
        <v>1</v>
      </c>
      <c r="AI8" s="4" t="n">
        <v>1</v>
      </c>
    </row>
    <row r="9">
      <c r="A9" s="4" t="inlineStr">
        <is>
          <t>G008</t>
        </is>
      </c>
      <c r="B9" s="8" t="inlineStr">
        <is>
          <t>US7678858B2</t>
        </is>
      </c>
      <c r="C9" s="8" t="inlineStr">
        <is>
          <t>Daikin Industries, Ltd.</t>
        </is>
      </c>
      <c r="D9" s="8" t="inlineStr">
        <is>
          <t>Example 8</t>
        </is>
      </c>
      <c r="E9" s="8" t="inlineStr">
        <is>
          <t>FFKM</t>
        </is>
      </c>
      <c r="F9" s="8" t="inlineStr">
        <is>
          <t>DAI-EL PERFLO GA-105 (TFE/perfluoro(alkyl vinyl ether), iodine cure site)</t>
        </is>
      </c>
      <c r="G9" s="8" t="inlineStr">
        <is>
          <t>peroxide</t>
        </is>
      </c>
      <c r="H9" s="8" t="n">
        <v>100</v>
      </c>
      <c r="I9" s="8" t="n">
        <v>0</v>
      </c>
      <c r="J9" s="8" t="n">
        <v>0</v>
      </c>
      <c r="K9" s="8" t="n">
        <v>15</v>
      </c>
      <c r="L9" s="8" t="n">
        <v>0</v>
      </c>
      <c r="M9" s="8" t="n">
        <v>0</v>
      </c>
      <c r="N9" s="8" t="n">
        <v>0</v>
      </c>
      <c r="O9" s="8" t="n">
        <v>0</v>
      </c>
      <c r="P9" s="8" t="n">
        <v>2</v>
      </c>
      <c r="Q9" s="8" t="n">
        <v>2</v>
      </c>
      <c r="R9" s="8" t="n">
        <v>1</v>
      </c>
      <c r="S9" s="8" t="n">
        <v>0</v>
      </c>
      <c r="T9" s="8" t="n">
        <v>0</v>
      </c>
      <c r="U9" s="8" t="n">
        <v>0</v>
      </c>
      <c r="V9" s="8" t="n">
        <v>0</v>
      </c>
      <c r="W9" s="8" t="n">
        <v>78</v>
      </c>
      <c r="X9" s="8" t="n">
        <v>24.71</v>
      </c>
      <c r="Y9" s="8" t="n">
        <v>190</v>
      </c>
      <c r="Z9" s="8" t="n">
        <v>6.96</v>
      </c>
      <c r="AA9" s="8" t="n">
        <v>45</v>
      </c>
      <c r="AB9" s="8" t="inlineStr">
        <is>
          <t>200C x 70h, 25% compression, P-24 O-ring (JIS K6301)</t>
        </is>
      </c>
      <c r="AC9" s="4" t="n">
        <v>200</v>
      </c>
      <c r="AD9" s="4">
        <f>I9+J9+K9+L9+M9+N9+O9+P9</f>
        <v/>
      </c>
      <c r="AE9" s="4" t="n">
        <v>1</v>
      </c>
      <c r="AF9" s="4" t="n">
        <v>1</v>
      </c>
      <c r="AG9" s="4" t="n">
        <v>1</v>
      </c>
      <c r="AH9" s="4" t="n">
        <v>1</v>
      </c>
      <c r="AI9" s="4" t="n">
        <v>1</v>
      </c>
    </row>
    <row r="10">
      <c r="A10" s="4" t="inlineStr">
        <is>
          <t>G009</t>
        </is>
      </c>
      <c r="B10" s="8" t="inlineStr">
        <is>
          <t>US7678858B2</t>
        </is>
      </c>
      <c r="C10" s="8" t="inlineStr">
        <is>
          <t>Daikin Industries, Ltd.</t>
        </is>
      </c>
      <c r="D10" s="8" t="inlineStr">
        <is>
          <t>Example 9</t>
        </is>
      </c>
      <c r="E10" s="8" t="inlineStr">
        <is>
          <t>FFKM</t>
        </is>
      </c>
      <c r="F10" s="8" t="inlineStr">
        <is>
          <t>DAI-EL PERFLO GA-105 (TFE/perfluoro(alkyl vinyl ether), iodine cure site)</t>
        </is>
      </c>
      <c r="G10" s="8" t="inlineStr">
        <is>
          <t>peroxide</t>
        </is>
      </c>
      <c r="H10" s="8" t="n">
        <v>100</v>
      </c>
      <c r="I10" s="8" t="n">
        <v>0</v>
      </c>
      <c r="J10" s="8" t="n">
        <v>0</v>
      </c>
      <c r="K10" s="8" t="n">
        <v>15</v>
      </c>
      <c r="L10" s="8" t="n">
        <v>0</v>
      </c>
      <c r="M10" s="8" t="n">
        <v>0</v>
      </c>
      <c r="N10" s="8" t="n">
        <v>0</v>
      </c>
      <c r="O10" s="8" t="n">
        <v>0</v>
      </c>
      <c r="P10" s="8" t="n">
        <v>2</v>
      </c>
      <c r="Q10" s="8" t="n">
        <v>2</v>
      </c>
      <c r="R10" s="8" t="n">
        <v>1</v>
      </c>
      <c r="S10" s="8" t="n">
        <v>0</v>
      </c>
      <c r="T10" s="8" t="n">
        <v>0</v>
      </c>
      <c r="U10" s="8" t="n">
        <v>0</v>
      </c>
      <c r="V10" s="8" t="n">
        <v>0</v>
      </c>
      <c r="W10" s="8" t="n">
        <v>80</v>
      </c>
      <c r="X10" s="8" t="n">
        <v>23.14</v>
      </c>
      <c r="Y10" s="8" t="n">
        <v>170</v>
      </c>
      <c r="Z10" s="8" t="n">
        <v>8.92</v>
      </c>
      <c r="AA10" s="8" t="n">
        <v>28</v>
      </c>
      <c r="AB10" s="8" t="inlineStr">
        <is>
          <t>200C x 70h, 25% compression, P-24 O-ring (JIS K6301)</t>
        </is>
      </c>
      <c r="AC10" s="4" t="n">
        <v>200</v>
      </c>
      <c r="AD10" s="4">
        <f>I10+J10+K10+L10+M10+N10+O10+P10</f>
        <v/>
      </c>
      <c r="AE10" s="4" t="n">
        <v>1</v>
      </c>
      <c r="AF10" s="4" t="n">
        <v>1</v>
      </c>
      <c r="AG10" s="4" t="n">
        <v>1</v>
      </c>
      <c r="AH10" s="4" t="n">
        <v>1</v>
      </c>
      <c r="AI10" s="4" t="n">
        <v>1</v>
      </c>
    </row>
    <row r="11">
      <c r="A11" s="4" t="inlineStr">
        <is>
          <t>G010</t>
        </is>
      </c>
      <c r="B11" s="8" t="inlineStr">
        <is>
          <t>US7678858B2</t>
        </is>
      </c>
      <c r="C11" s="8" t="inlineStr">
        <is>
          <t>Daikin Industries, Ltd.</t>
        </is>
      </c>
      <c r="D11" s="8" t="inlineStr">
        <is>
          <t>Comparative Example 1</t>
        </is>
      </c>
      <c r="E11" s="8" t="inlineStr">
        <is>
          <t>FFKM</t>
        </is>
      </c>
      <c r="F11" s="8" t="inlineStr">
        <is>
          <t>DAI-EL PERFLO GA-105 (TFE/perfluoro(alkyl vinyl ether), iodine cure site)</t>
        </is>
      </c>
      <c r="G11" s="8" t="inlineStr">
        <is>
          <t>peroxide</t>
        </is>
      </c>
      <c r="H11" s="8" t="n">
        <v>100</v>
      </c>
      <c r="I11" s="8" t="n">
        <v>0</v>
      </c>
      <c r="J11" s="8" t="n">
        <v>0</v>
      </c>
      <c r="K11" s="8" t="n">
        <v>15</v>
      </c>
      <c r="L11" s="8" t="n">
        <v>0</v>
      </c>
      <c r="M11" s="8" t="n">
        <v>0</v>
      </c>
      <c r="N11" s="8" t="n">
        <v>0</v>
      </c>
      <c r="O11" s="8" t="n">
        <v>0</v>
      </c>
      <c r="P11" s="8" t="n">
        <v>0</v>
      </c>
      <c r="Q11" s="8" t="n">
        <v>2</v>
      </c>
      <c r="R11" s="8" t="n">
        <v>1</v>
      </c>
      <c r="S11" s="8" t="n">
        <v>0</v>
      </c>
      <c r="T11" s="8" t="n">
        <v>0</v>
      </c>
      <c r="U11" s="8" t="n">
        <v>0</v>
      </c>
      <c r="V11" s="8" t="n">
        <v>0</v>
      </c>
      <c r="W11" s="8" t="n">
        <v>75</v>
      </c>
      <c r="X11" s="8" t="n">
        <v>23.83</v>
      </c>
      <c r="Y11" s="8" t="n">
        <v>160</v>
      </c>
      <c r="Z11" s="8" t="n">
        <v>8.83</v>
      </c>
      <c r="AA11" s="8" t="n">
        <v>21</v>
      </c>
      <c r="AB11" s="8" t="inlineStr">
        <is>
          <t>200C x 70h, 25% compression, P-24 O-ring (JIS K6301)</t>
        </is>
      </c>
      <c r="AC11" s="4" t="n">
        <v>200</v>
      </c>
      <c r="AD11" s="4">
        <f>I11+J11+K11+L11+M11+N11+O11+P11</f>
        <v/>
      </c>
      <c r="AE11" s="4" t="n">
        <v>1</v>
      </c>
      <c r="AF11" s="4" t="n">
        <v>1</v>
      </c>
      <c r="AG11" s="4" t="n">
        <v>1</v>
      </c>
      <c r="AH11" s="4" t="n">
        <v>1</v>
      </c>
      <c r="AI11" s="4" t="n">
        <v>1</v>
      </c>
    </row>
    <row r="12">
      <c r="A12" s="4" t="inlineStr">
        <is>
          <t>G011</t>
        </is>
      </c>
      <c r="B12" s="8" t="inlineStr">
        <is>
          <t>US7678858B2</t>
        </is>
      </c>
      <c r="C12" s="8" t="inlineStr">
        <is>
          <t>Daikin Industries, Ltd.</t>
        </is>
      </c>
      <c r="D12" s="8" t="inlineStr">
        <is>
          <t>Example 10</t>
        </is>
      </c>
      <c r="E12" s="8" t="inlineStr">
        <is>
          <t>FFKM</t>
        </is>
      </c>
      <c r="F12" s="8" t="inlineStr">
        <is>
          <t>DAI-EL PERFLO GA-105 (TFE/perfluoro(alkyl vinyl ether), iodine cure site)</t>
        </is>
      </c>
      <c r="G12" s="8" t="inlineStr">
        <is>
          <t>peroxide</t>
        </is>
      </c>
      <c r="H12" s="8" t="n">
        <v>100</v>
      </c>
      <c r="I12" s="8" t="n">
        <v>0</v>
      </c>
      <c r="J12" s="8" t="n">
        <v>0</v>
      </c>
      <c r="K12" s="8" t="n">
        <v>0</v>
      </c>
      <c r="L12" s="8" t="n">
        <v>0</v>
      </c>
      <c r="M12" s="8" t="n">
        <v>0</v>
      </c>
      <c r="N12" s="8" t="n">
        <v>0</v>
      </c>
      <c r="O12" s="8" t="n">
        <v>0</v>
      </c>
      <c r="P12" s="8" t="n">
        <v>15</v>
      </c>
      <c r="Q12" s="8" t="n">
        <v>2</v>
      </c>
      <c r="R12" s="8" t="n">
        <v>1</v>
      </c>
      <c r="S12" s="8" t="n">
        <v>0</v>
      </c>
      <c r="T12" s="8" t="n">
        <v>0</v>
      </c>
      <c r="U12" s="8" t="n">
        <v>0</v>
      </c>
      <c r="V12" s="8" t="n">
        <v>0</v>
      </c>
      <c r="W12" s="8" t="n">
        <v>82</v>
      </c>
      <c r="X12" s="8" t="n">
        <v>16.18</v>
      </c>
      <c r="Y12" s="8" t="n">
        <v>190</v>
      </c>
      <c r="Z12" s="8" t="n">
        <v>7.16</v>
      </c>
      <c r="AA12" s="8" t="n">
        <v>17</v>
      </c>
      <c r="AB12" s="8" t="inlineStr">
        <is>
          <t>200C x 70h, 25% compression, P-24 O-ring (JIS K6301)</t>
        </is>
      </c>
      <c r="AC12" s="4" t="n">
        <v>200</v>
      </c>
      <c r="AD12" s="4">
        <f>I12+J12+K12+L12+M12+N12+O12+P12</f>
        <v/>
      </c>
      <c r="AE12" s="4" t="n">
        <v>1</v>
      </c>
      <c r="AF12" s="4" t="n">
        <v>1</v>
      </c>
      <c r="AG12" s="4" t="n">
        <v>1</v>
      </c>
      <c r="AH12" s="4" t="n">
        <v>1</v>
      </c>
      <c r="AI12" s="4" t="n">
        <v>1</v>
      </c>
    </row>
    <row r="13">
      <c r="A13" s="4" t="inlineStr">
        <is>
          <t>G012</t>
        </is>
      </c>
      <c r="B13" s="8" t="inlineStr">
        <is>
          <t>US7678858B2</t>
        </is>
      </c>
      <c r="C13" s="8" t="inlineStr">
        <is>
          <t>Daikin Industries, Ltd.</t>
        </is>
      </c>
      <c r="D13" s="8" t="inlineStr">
        <is>
          <t>Example 11</t>
        </is>
      </c>
      <c r="E13" s="8" t="inlineStr">
        <is>
          <t>FFKM</t>
        </is>
      </c>
      <c r="F13" s="8" t="inlineStr">
        <is>
          <t>DAI-EL PERFLO GA-105 (TFE/perfluoro(alkyl vinyl ether), iodine cure site)</t>
        </is>
      </c>
      <c r="G13" s="8" t="inlineStr">
        <is>
          <t>peroxide</t>
        </is>
      </c>
      <c r="H13" s="8" t="n">
        <v>100</v>
      </c>
      <c r="I13" s="8" t="n">
        <v>0</v>
      </c>
      <c r="J13" s="8" t="n">
        <v>0</v>
      </c>
      <c r="K13" s="8" t="n">
        <v>15</v>
      </c>
      <c r="L13" s="8" t="n">
        <v>0</v>
      </c>
      <c r="M13" s="8" t="n">
        <v>0</v>
      </c>
      <c r="N13" s="8" t="n">
        <v>0</v>
      </c>
      <c r="O13" s="8" t="n">
        <v>0</v>
      </c>
      <c r="P13" s="8" t="n">
        <v>15</v>
      </c>
      <c r="Q13" s="8" t="n">
        <v>2</v>
      </c>
      <c r="R13" s="8" t="n">
        <v>1</v>
      </c>
      <c r="S13" s="8" t="n">
        <v>0</v>
      </c>
      <c r="T13" s="8" t="n">
        <v>0</v>
      </c>
      <c r="U13" s="8" t="n">
        <v>0</v>
      </c>
      <c r="V13" s="8" t="n">
        <v>0</v>
      </c>
      <c r="W13" s="8" t="n">
        <v>89</v>
      </c>
      <c r="X13" s="8" t="n">
        <v>19.71</v>
      </c>
      <c r="Y13" s="8" t="n">
        <v>140</v>
      </c>
      <c r="Z13" s="8" t="n">
        <v>13.73</v>
      </c>
      <c r="AA13" s="8" t="n">
        <v>33</v>
      </c>
      <c r="AB13" s="8" t="inlineStr">
        <is>
          <t>200C x 70h, 25% compression, P-24 O-ring (JIS K6301)</t>
        </is>
      </c>
      <c r="AC13" s="4" t="n">
        <v>200</v>
      </c>
      <c r="AD13" s="4">
        <f>I13+J13+K13+L13+M13+N13+O13+P13</f>
        <v/>
      </c>
      <c r="AE13" s="4" t="n">
        <v>1</v>
      </c>
      <c r="AF13" s="4" t="n">
        <v>1</v>
      </c>
      <c r="AG13" s="4" t="n">
        <v>1</v>
      </c>
      <c r="AH13" s="4" t="n">
        <v>1</v>
      </c>
      <c r="AI13" s="4" t="n">
        <v>1</v>
      </c>
    </row>
    <row r="14">
      <c r="A14" s="4" t="inlineStr">
        <is>
          <t>G013</t>
        </is>
      </c>
      <c r="B14" s="8" t="inlineStr">
        <is>
          <t>US7678858B2</t>
        </is>
      </c>
      <c r="C14" s="8" t="inlineStr">
        <is>
          <t>Daikin Industries, Ltd.</t>
        </is>
      </c>
      <c r="D14" s="8" t="inlineStr">
        <is>
          <t>Example 12</t>
        </is>
      </c>
      <c r="E14" s="8" t="inlineStr">
        <is>
          <t>FFKM</t>
        </is>
      </c>
      <c r="F14" s="8" t="inlineStr">
        <is>
          <t>DAI-EL PERFLO GA-105 (TFE/perfluoro(alkyl vinyl ether), iodine cure site)</t>
        </is>
      </c>
      <c r="G14" s="8" t="inlineStr">
        <is>
          <t>peroxide</t>
        </is>
      </c>
      <c r="H14" s="8" t="n">
        <v>100</v>
      </c>
      <c r="I14" s="8" t="n">
        <v>0</v>
      </c>
      <c r="J14" s="8" t="n">
        <v>0</v>
      </c>
      <c r="K14" s="8" t="n">
        <v>15</v>
      </c>
      <c r="L14" s="8" t="n">
        <v>0</v>
      </c>
      <c r="M14" s="8" t="n">
        <v>0</v>
      </c>
      <c r="N14" s="8" t="n">
        <v>0</v>
      </c>
      <c r="O14" s="8" t="n">
        <v>0</v>
      </c>
      <c r="P14" s="8" t="n">
        <v>7.5</v>
      </c>
      <c r="Q14" s="8" t="n">
        <v>2</v>
      </c>
      <c r="R14" s="8" t="n">
        <v>1</v>
      </c>
      <c r="S14" s="8" t="n">
        <v>0</v>
      </c>
      <c r="T14" s="8" t="n">
        <v>0</v>
      </c>
      <c r="U14" s="8" t="n">
        <v>0</v>
      </c>
      <c r="V14" s="8" t="n">
        <v>0</v>
      </c>
      <c r="W14" s="8" t="n">
        <v>86</v>
      </c>
      <c r="X14" s="8" t="n">
        <v>22.06</v>
      </c>
      <c r="Y14" s="8" t="n">
        <v>150</v>
      </c>
      <c r="Z14" s="8" t="n">
        <v>12.85</v>
      </c>
      <c r="AA14" s="8" t="n">
        <v>27</v>
      </c>
      <c r="AB14" s="8" t="inlineStr">
        <is>
          <t>200C x 70h, 25% compression, P-24 O-ring (JIS K6301)</t>
        </is>
      </c>
      <c r="AC14" s="4" t="n">
        <v>200</v>
      </c>
      <c r="AD14" s="4">
        <f>I14+J14+K14+L14+M14+N14+O14+P14</f>
        <v/>
      </c>
      <c r="AE14" s="4" t="n">
        <v>1</v>
      </c>
      <c r="AF14" s="4" t="n">
        <v>1</v>
      </c>
      <c r="AG14" s="4" t="n">
        <v>1</v>
      </c>
      <c r="AH14" s="4" t="n">
        <v>1</v>
      </c>
      <c r="AI14" s="4" t="n">
        <v>1</v>
      </c>
    </row>
    <row r="15">
      <c r="A15" s="4" t="inlineStr">
        <is>
          <t>G014</t>
        </is>
      </c>
      <c r="B15" s="8" t="inlineStr">
        <is>
          <t>US7678858B2</t>
        </is>
      </c>
      <c r="C15" s="8" t="inlineStr">
        <is>
          <t>Daikin Industries, Ltd.</t>
        </is>
      </c>
      <c r="D15" s="8" t="inlineStr">
        <is>
          <t>Example 13</t>
        </is>
      </c>
      <c r="E15" s="8" t="inlineStr">
        <is>
          <t>FFKM</t>
        </is>
      </c>
      <c r="F15" s="8" t="inlineStr">
        <is>
          <t>DAI-EL PERFLO GA-105 (TFE/perfluoro(alkyl vinyl ether), iodine cure site)</t>
        </is>
      </c>
      <c r="G15" s="8" t="inlineStr">
        <is>
          <t>peroxide</t>
        </is>
      </c>
      <c r="H15" s="8" t="n">
        <v>100</v>
      </c>
      <c r="I15" s="8" t="n">
        <v>0</v>
      </c>
      <c r="J15" s="8" t="n">
        <v>0</v>
      </c>
      <c r="K15" s="8" t="n">
        <v>15</v>
      </c>
      <c r="L15" s="8" t="n">
        <v>0</v>
      </c>
      <c r="M15" s="8" t="n">
        <v>0</v>
      </c>
      <c r="N15" s="8" t="n">
        <v>0</v>
      </c>
      <c r="O15" s="8" t="n">
        <v>0</v>
      </c>
      <c r="P15" s="8" t="n">
        <v>3.75</v>
      </c>
      <c r="Q15" s="8" t="n">
        <v>2</v>
      </c>
      <c r="R15" s="8" t="n">
        <v>1</v>
      </c>
      <c r="S15" s="8" t="n">
        <v>0</v>
      </c>
      <c r="T15" s="8" t="n">
        <v>0</v>
      </c>
      <c r="U15" s="8" t="n">
        <v>0</v>
      </c>
      <c r="V15" s="8" t="n">
        <v>0</v>
      </c>
      <c r="W15" s="8" t="n">
        <v>83</v>
      </c>
      <c r="X15" s="8" t="n">
        <v>21.97</v>
      </c>
      <c r="Y15" s="8" t="n">
        <v>150</v>
      </c>
      <c r="Z15" s="8" t="n">
        <v>12.06</v>
      </c>
      <c r="AA15" s="8" t="n">
        <v>24</v>
      </c>
      <c r="AB15" s="8" t="inlineStr">
        <is>
          <t>200C x 70h, 25% compression, P-24 O-ring (JIS K6301)</t>
        </is>
      </c>
      <c r="AC15" s="4" t="n">
        <v>200</v>
      </c>
      <c r="AD15" s="4">
        <f>I15+J15+K15+L15+M15+N15+O15+P15</f>
        <v/>
      </c>
      <c r="AE15" s="4" t="n">
        <v>1</v>
      </c>
      <c r="AF15" s="4" t="n">
        <v>1</v>
      </c>
      <c r="AG15" s="4" t="n">
        <v>1</v>
      </c>
      <c r="AH15" s="4" t="n">
        <v>1</v>
      </c>
      <c r="AI15" s="4" t="n">
        <v>1</v>
      </c>
    </row>
    <row r="16">
      <c r="A16" s="4" t="inlineStr">
        <is>
          <t>G015</t>
        </is>
      </c>
      <c r="B16" s="8" t="inlineStr">
        <is>
          <t>US7678858B2</t>
        </is>
      </c>
      <c r="C16" s="8" t="inlineStr">
        <is>
          <t>Daikin Industries, Ltd.</t>
        </is>
      </c>
      <c r="D16" s="8" t="inlineStr">
        <is>
          <t>Example 14</t>
        </is>
      </c>
      <c r="E16" s="8" t="inlineStr">
        <is>
          <t>FFKM</t>
        </is>
      </c>
      <c r="F16" s="8" t="inlineStr">
        <is>
          <t>DAI-EL PERFLO GA-105 (TFE/perfluoro(alkyl vinyl ether), iodine cure site)</t>
        </is>
      </c>
      <c r="G16" s="8" t="inlineStr">
        <is>
          <t>peroxide</t>
        </is>
      </c>
      <c r="H16" s="8" t="n">
        <v>100</v>
      </c>
      <c r="I16" s="8" t="n">
        <v>0</v>
      </c>
      <c r="J16" s="8" t="n">
        <v>0</v>
      </c>
      <c r="K16" s="8" t="n">
        <v>15</v>
      </c>
      <c r="L16" s="8" t="n">
        <v>0</v>
      </c>
      <c r="M16" s="8" t="n">
        <v>0</v>
      </c>
      <c r="N16" s="8" t="n">
        <v>0</v>
      </c>
      <c r="O16" s="8" t="n">
        <v>0</v>
      </c>
      <c r="P16" s="8" t="n">
        <v>2</v>
      </c>
      <c r="Q16" s="8" t="n">
        <v>2</v>
      </c>
      <c r="R16" s="8" t="n">
        <v>1</v>
      </c>
      <c r="S16" s="8" t="n">
        <v>0</v>
      </c>
      <c r="T16" s="8" t="n">
        <v>0</v>
      </c>
      <c r="U16" s="8" t="n">
        <v>0</v>
      </c>
      <c r="V16" s="8" t="n">
        <v>0</v>
      </c>
      <c r="W16" s="8" t="n">
        <v>78</v>
      </c>
      <c r="X16" s="8" t="n">
        <v>15.98</v>
      </c>
      <c r="Y16" s="8" t="n">
        <v>170</v>
      </c>
      <c r="Z16" s="8" t="n">
        <v>6.47</v>
      </c>
      <c r="AA16" s="8" t="n">
        <v>28</v>
      </c>
      <c r="AB16" s="8" t="inlineStr">
        <is>
          <t>200C x 70h, 25% compression, P-24 O-ring (JIS K6301)</t>
        </is>
      </c>
      <c r="AC16" s="4" t="n">
        <v>200</v>
      </c>
      <c r="AD16" s="4">
        <f>I16+J16+K16+L16+M16+N16+O16+P16</f>
        <v/>
      </c>
      <c r="AE16" s="4" t="n">
        <v>1</v>
      </c>
      <c r="AF16" s="4" t="n">
        <v>1</v>
      </c>
      <c r="AG16" s="4" t="n">
        <v>1</v>
      </c>
      <c r="AH16" s="4" t="n">
        <v>1</v>
      </c>
      <c r="AI16" s="4" t="n">
        <v>1</v>
      </c>
    </row>
    <row r="17">
      <c r="A17" s="4" t="inlineStr">
        <is>
          <t>G016</t>
        </is>
      </c>
      <c r="B17" s="8" t="inlineStr">
        <is>
          <t>US7678858B2</t>
        </is>
      </c>
      <c r="C17" s="8" t="inlineStr">
        <is>
          <t>Daikin Industries, Ltd.</t>
        </is>
      </c>
      <c r="D17" s="8" t="inlineStr">
        <is>
          <t>Example 15</t>
        </is>
      </c>
      <c r="E17" s="8" t="inlineStr">
        <is>
          <t>FFKM</t>
        </is>
      </c>
      <c r="F17" s="8" t="inlineStr">
        <is>
          <t>DAI-EL PERFLO GA-105 (TFE/perfluoro(alkyl vinyl ether), iodine cure site)</t>
        </is>
      </c>
      <c r="G17" s="8" t="inlineStr">
        <is>
          <t>peroxide</t>
        </is>
      </c>
      <c r="H17" s="8" t="n">
        <v>100</v>
      </c>
      <c r="I17" s="8" t="n">
        <v>0</v>
      </c>
      <c r="J17" s="8" t="n">
        <v>0</v>
      </c>
      <c r="K17" s="8" t="n">
        <v>15</v>
      </c>
      <c r="L17" s="8" t="n">
        <v>0</v>
      </c>
      <c r="M17" s="8" t="n">
        <v>0</v>
      </c>
      <c r="N17" s="8" t="n">
        <v>0</v>
      </c>
      <c r="O17" s="8" t="n">
        <v>0</v>
      </c>
      <c r="P17" s="8" t="n">
        <v>2</v>
      </c>
      <c r="Q17" s="8" t="n">
        <v>2</v>
      </c>
      <c r="R17" s="8" t="n">
        <v>1</v>
      </c>
      <c r="S17" s="8" t="n">
        <v>0</v>
      </c>
      <c r="T17" s="8" t="n">
        <v>0</v>
      </c>
      <c r="U17" s="8" t="n">
        <v>0</v>
      </c>
      <c r="V17" s="8" t="n">
        <v>0</v>
      </c>
      <c r="W17" s="8" t="n">
        <v>82</v>
      </c>
      <c r="X17" s="8" t="n">
        <v>18.34</v>
      </c>
      <c r="Y17" s="8" t="n">
        <v>140</v>
      </c>
      <c r="Z17" s="8" t="n">
        <v>10.89</v>
      </c>
      <c r="AA17" s="8" t="n">
        <v>22</v>
      </c>
      <c r="AB17" s="8" t="inlineStr">
        <is>
          <t>200C x 70h, 25% compression, P-24 O-ring (JIS K6301)</t>
        </is>
      </c>
      <c r="AC17" s="4" t="n">
        <v>200</v>
      </c>
      <c r="AD17" s="4">
        <f>I17+J17+K17+L17+M17+N17+O17+P17</f>
        <v/>
      </c>
      <c r="AE17" s="4" t="n">
        <v>1</v>
      </c>
      <c r="AF17" s="4" t="n">
        <v>1</v>
      </c>
      <c r="AG17" s="4" t="n">
        <v>1</v>
      </c>
      <c r="AH17" s="4" t="n">
        <v>1</v>
      </c>
      <c r="AI17" s="4" t="n">
        <v>1</v>
      </c>
    </row>
    <row r="18">
      <c r="A18" s="4" t="inlineStr">
        <is>
          <t>G017</t>
        </is>
      </c>
      <c r="B18" s="8" t="inlineStr">
        <is>
          <t>US7678858B2</t>
        </is>
      </c>
      <c r="C18" s="8" t="inlineStr">
        <is>
          <t>Daikin Industries, Ltd.</t>
        </is>
      </c>
      <c r="D18" s="8" t="inlineStr">
        <is>
          <t>Example 16</t>
        </is>
      </c>
      <c r="E18" s="8" t="inlineStr">
        <is>
          <t>FFKM</t>
        </is>
      </c>
      <c r="F18" s="8" t="inlineStr">
        <is>
          <t>DAI-EL PERFLO GA-105 (TFE/perfluoro(alkyl vinyl ether), iodine cure site)</t>
        </is>
      </c>
      <c r="G18" s="8" t="inlineStr">
        <is>
          <t>peroxide</t>
        </is>
      </c>
      <c r="H18" s="8" t="n">
        <v>100</v>
      </c>
      <c r="I18" s="8" t="n">
        <v>0</v>
      </c>
      <c r="J18" s="8" t="n">
        <v>0</v>
      </c>
      <c r="K18" s="8" t="n">
        <v>0</v>
      </c>
      <c r="L18" s="8" t="n">
        <v>0</v>
      </c>
      <c r="M18" s="8" t="n">
        <v>0</v>
      </c>
      <c r="N18" s="8" t="n">
        <v>0</v>
      </c>
      <c r="O18" s="8" t="n">
        <v>0</v>
      </c>
      <c r="P18" s="8" t="n">
        <v>15.5</v>
      </c>
      <c r="Q18" s="8" t="n">
        <v>2</v>
      </c>
      <c r="R18" s="8" t="n">
        <v>1</v>
      </c>
      <c r="S18" s="8" t="n">
        <v>0</v>
      </c>
      <c r="T18" s="8" t="n">
        <v>0</v>
      </c>
      <c r="U18" s="8" t="n">
        <v>0</v>
      </c>
      <c r="V18" s="8" t="n">
        <v>0</v>
      </c>
      <c r="W18" s="8" t="n">
        <v>82</v>
      </c>
      <c r="X18" s="8" t="n">
        <v>16.77</v>
      </c>
      <c r="Y18" s="8" t="n">
        <v>130</v>
      </c>
      <c r="Z18" s="8" t="n">
        <v>15.2</v>
      </c>
      <c r="AA18" s="8" t="n">
        <v>24</v>
      </c>
      <c r="AB18" s="8" t="inlineStr">
        <is>
          <t>200C x 70h, 25% compression, P-24 O-ring (JIS K6301)</t>
        </is>
      </c>
      <c r="AC18" s="4" t="n">
        <v>200</v>
      </c>
      <c r="AD18" s="4">
        <f>I18+J18+K18+L18+M18+N18+O18+P18</f>
        <v/>
      </c>
      <c r="AE18" s="4" t="n">
        <v>1</v>
      </c>
      <c r="AF18" s="4" t="n">
        <v>1</v>
      </c>
      <c r="AG18" s="4" t="n">
        <v>1</v>
      </c>
      <c r="AH18" s="4" t="n">
        <v>1</v>
      </c>
      <c r="AI18" s="4" t="n">
        <v>1</v>
      </c>
    </row>
    <row r="19">
      <c r="A19" s="4" t="inlineStr">
        <is>
          <t>G018</t>
        </is>
      </c>
      <c r="B19" s="8" t="inlineStr">
        <is>
          <t>US7678858B2</t>
        </is>
      </c>
      <c r="C19" s="8" t="inlineStr">
        <is>
          <t>Daikin Industries, Ltd.</t>
        </is>
      </c>
      <c r="D19" s="8" t="inlineStr">
        <is>
          <t>Example 17</t>
        </is>
      </c>
      <c r="E19" s="8" t="inlineStr">
        <is>
          <t>FFKM</t>
        </is>
      </c>
      <c r="F19" s="8" t="inlineStr">
        <is>
          <t>DAI-EL PERFLO GA-105 (TFE/perfluoro(alkyl vinyl ether), iodine cure site)</t>
        </is>
      </c>
      <c r="G19" s="8" t="inlineStr">
        <is>
          <t>peroxide</t>
        </is>
      </c>
      <c r="H19" s="8" t="n">
        <v>100</v>
      </c>
      <c r="I19" s="8" t="n">
        <v>0</v>
      </c>
      <c r="J19" s="8" t="n">
        <v>0</v>
      </c>
      <c r="K19" s="8" t="n">
        <v>0</v>
      </c>
      <c r="L19" s="8" t="n">
        <v>0</v>
      </c>
      <c r="M19" s="8" t="n">
        <v>0</v>
      </c>
      <c r="N19" s="8" t="n">
        <v>0</v>
      </c>
      <c r="O19" s="8" t="n">
        <v>0</v>
      </c>
      <c r="P19" s="8" t="n">
        <v>16</v>
      </c>
      <c r="Q19" s="8" t="n">
        <v>2</v>
      </c>
      <c r="R19" s="8" t="n">
        <v>1</v>
      </c>
      <c r="S19" s="8" t="n">
        <v>0</v>
      </c>
      <c r="T19" s="8" t="n">
        <v>0</v>
      </c>
      <c r="U19" s="8" t="n">
        <v>0</v>
      </c>
      <c r="V19" s="8" t="n">
        <v>0</v>
      </c>
      <c r="W19" s="8" t="n">
        <v>81</v>
      </c>
      <c r="X19" s="8" t="n">
        <v>17.26</v>
      </c>
      <c r="Y19" s="8" t="n">
        <v>130</v>
      </c>
      <c r="Z19" s="8" t="n">
        <v>15.2</v>
      </c>
      <c r="AA19" s="8" t="n">
        <v>26</v>
      </c>
      <c r="AB19" s="8" t="inlineStr">
        <is>
          <t>200C x 70h, 25% compression, P-24 O-ring (JIS K6301)</t>
        </is>
      </c>
      <c r="AC19" s="4" t="n">
        <v>200</v>
      </c>
      <c r="AD19" s="4">
        <f>I19+J19+K19+L19+M19+N19+O19+P19</f>
        <v/>
      </c>
      <c r="AE19" s="4" t="n">
        <v>1</v>
      </c>
      <c r="AF19" s="4" t="n">
        <v>1</v>
      </c>
      <c r="AG19" s="4" t="n">
        <v>1</v>
      </c>
      <c r="AH19" s="4" t="n">
        <v>1</v>
      </c>
      <c r="AI19" s="4" t="n">
        <v>1</v>
      </c>
    </row>
    <row r="20">
      <c r="A20" s="4" t="inlineStr">
        <is>
          <t>G019</t>
        </is>
      </c>
      <c r="B20" s="8" t="inlineStr">
        <is>
          <t>US7678858B2</t>
        </is>
      </c>
      <c r="C20" s="8" t="inlineStr">
        <is>
          <t>Daikin Industries, Ltd.</t>
        </is>
      </c>
      <c r="D20" s="8" t="inlineStr">
        <is>
          <t>Example 18</t>
        </is>
      </c>
      <c r="E20" s="8" t="inlineStr">
        <is>
          <t>FFKM</t>
        </is>
      </c>
      <c r="F20" s="8" t="inlineStr">
        <is>
          <t>DAI-EL PERFLO GA-105 (TFE/perfluoro(alkyl vinyl ether), iodine cure site)</t>
        </is>
      </c>
      <c r="G20" s="8" t="inlineStr">
        <is>
          <t>peroxide</t>
        </is>
      </c>
      <c r="H20" s="8" t="n">
        <v>100</v>
      </c>
      <c r="I20" s="8" t="n">
        <v>0</v>
      </c>
      <c r="J20" s="8" t="n">
        <v>0</v>
      </c>
      <c r="K20" s="8" t="n">
        <v>0</v>
      </c>
      <c r="L20" s="8" t="n">
        <v>0</v>
      </c>
      <c r="M20" s="8" t="n">
        <v>0</v>
      </c>
      <c r="N20" s="8" t="n">
        <v>0</v>
      </c>
      <c r="O20" s="8" t="n">
        <v>0</v>
      </c>
      <c r="P20" s="8" t="n">
        <v>17</v>
      </c>
      <c r="Q20" s="8" t="n">
        <v>2</v>
      </c>
      <c r="R20" s="8" t="n">
        <v>1</v>
      </c>
      <c r="S20" s="8" t="n">
        <v>0</v>
      </c>
      <c r="T20" s="8" t="n">
        <v>0</v>
      </c>
      <c r="U20" s="8" t="n">
        <v>0</v>
      </c>
      <c r="V20" s="8" t="n">
        <v>0</v>
      </c>
      <c r="W20" s="8" t="n">
        <v>82</v>
      </c>
      <c r="X20" s="8" t="n">
        <v>16.67</v>
      </c>
      <c r="Y20" s="8" t="n">
        <v>130</v>
      </c>
      <c r="Z20" s="8" t="n">
        <v>14.42</v>
      </c>
      <c r="AA20" s="8" t="n">
        <v>25</v>
      </c>
      <c r="AB20" s="8" t="inlineStr">
        <is>
          <t>200C x 70h, 25% compression, P-24 O-ring (JIS K6301)</t>
        </is>
      </c>
      <c r="AC20" s="4" t="n">
        <v>200</v>
      </c>
      <c r="AD20" s="4">
        <f>I20+J20+K20+L20+M20+N20+O20+P20</f>
        <v/>
      </c>
      <c r="AE20" s="4" t="n">
        <v>1</v>
      </c>
      <c r="AF20" s="4" t="n">
        <v>1</v>
      </c>
      <c r="AG20" s="4" t="n">
        <v>1</v>
      </c>
      <c r="AH20" s="4" t="n">
        <v>1</v>
      </c>
      <c r="AI20" s="4" t="n">
        <v>1</v>
      </c>
    </row>
    <row r="21">
      <c r="A21" s="4" t="inlineStr">
        <is>
          <t>G020</t>
        </is>
      </c>
      <c r="B21" s="8" t="inlineStr">
        <is>
          <t>US7678858B2</t>
        </is>
      </c>
      <c r="C21" s="8" t="inlineStr">
        <is>
          <t>Daikin Industries, Ltd.</t>
        </is>
      </c>
      <c r="D21" s="8" t="inlineStr">
        <is>
          <t>Example 19</t>
        </is>
      </c>
      <c r="E21" s="8" t="inlineStr">
        <is>
          <t>FFKM</t>
        </is>
      </c>
      <c r="F21" s="8" t="inlineStr">
        <is>
          <t>DAI-EL PERFLO GA-105 (TFE/perfluoro(alkyl vinyl ether), iodine cure site)</t>
        </is>
      </c>
      <c r="G21" s="8" t="inlineStr">
        <is>
          <t>peroxide</t>
        </is>
      </c>
      <c r="H21" s="8" t="n">
        <v>100</v>
      </c>
      <c r="I21" s="8" t="n">
        <v>0</v>
      </c>
      <c r="J21" s="8" t="n">
        <v>0</v>
      </c>
      <c r="K21" s="8" t="n">
        <v>0</v>
      </c>
      <c r="L21" s="8" t="n">
        <v>0</v>
      </c>
      <c r="M21" s="8" t="n">
        <v>0</v>
      </c>
      <c r="N21" s="8" t="n">
        <v>0</v>
      </c>
      <c r="O21" s="8" t="n">
        <v>0</v>
      </c>
      <c r="P21" s="8" t="n">
        <v>20</v>
      </c>
      <c r="Q21" s="8" t="n">
        <v>2</v>
      </c>
      <c r="R21" s="8" t="n">
        <v>1</v>
      </c>
      <c r="S21" s="8" t="n">
        <v>0</v>
      </c>
      <c r="T21" s="8" t="n">
        <v>0</v>
      </c>
      <c r="U21" s="8" t="n">
        <v>0</v>
      </c>
      <c r="V21" s="8" t="n">
        <v>0</v>
      </c>
      <c r="W21" s="8" t="n">
        <v>84</v>
      </c>
      <c r="X21" s="8" t="n">
        <v>16.18</v>
      </c>
      <c r="Y21" s="8" t="n">
        <v>140</v>
      </c>
      <c r="Z21" s="8" t="n">
        <v>13.93</v>
      </c>
      <c r="AA21" s="8" t="n">
        <v>25</v>
      </c>
      <c r="AB21" s="8" t="inlineStr">
        <is>
          <t>200C x 70h, 25% compression, P-24 O-ring (JIS K6301)</t>
        </is>
      </c>
      <c r="AC21" s="4" t="n">
        <v>200</v>
      </c>
      <c r="AD21" s="4">
        <f>I21+J21+K21+L21+M21+N21+O21+P21</f>
        <v/>
      </c>
      <c r="AE21" s="4" t="n">
        <v>1</v>
      </c>
      <c r="AF21" s="4" t="n">
        <v>1</v>
      </c>
      <c r="AG21" s="4" t="n">
        <v>1</v>
      </c>
      <c r="AH21" s="4" t="n">
        <v>1</v>
      </c>
      <c r="AI21" s="4" t="n">
        <v>1</v>
      </c>
    </row>
    <row r="22">
      <c r="A22" s="4" t="inlineStr">
        <is>
          <t>G021</t>
        </is>
      </c>
      <c r="B22" s="8" t="inlineStr">
        <is>
          <t>US7678858B2</t>
        </is>
      </c>
      <c r="C22" s="8" t="inlineStr">
        <is>
          <t>Daikin Industries, Ltd.</t>
        </is>
      </c>
      <c r="D22" s="8" t="inlineStr">
        <is>
          <t>Example 20</t>
        </is>
      </c>
      <c r="E22" s="8" t="inlineStr">
        <is>
          <t>FFKM</t>
        </is>
      </c>
      <c r="F22" s="8" t="inlineStr">
        <is>
          <t>DAI-EL PERFLO GA-105 (TFE/perfluoro(alkyl vinyl ether), iodine cure site)</t>
        </is>
      </c>
      <c r="G22" s="8" t="inlineStr">
        <is>
          <t>peroxide</t>
        </is>
      </c>
      <c r="H22" s="8" t="n">
        <v>100</v>
      </c>
      <c r="I22" s="8" t="n">
        <v>15</v>
      </c>
      <c r="J22" s="8" t="n">
        <v>0</v>
      </c>
      <c r="K22" s="8" t="n">
        <v>0</v>
      </c>
      <c r="L22" s="8" t="n">
        <v>0</v>
      </c>
      <c r="M22" s="8" t="n">
        <v>0</v>
      </c>
      <c r="N22" s="8" t="n">
        <v>0</v>
      </c>
      <c r="O22" s="8" t="n">
        <v>0</v>
      </c>
      <c r="P22" s="8" t="n">
        <v>2</v>
      </c>
      <c r="Q22" s="8" t="n">
        <v>2</v>
      </c>
      <c r="R22" s="8" t="n">
        <v>1</v>
      </c>
      <c r="S22" s="8" t="n">
        <v>0</v>
      </c>
      <c r="T22" s="8" t="n">
        <v>0</v>
      </c>
      <c r="U22" s="8" t="n">
        <v>0</v>
      </c>
      <c r="V22" s="8" t="n">
        <v>0</v>
      </c>
      <c r="W22" s="8" t="n">
        <v>82</v>
      </c>
      <c r="X22" s="8" t="n">
        <v>20.99</v>
      </c>
      <c r="Y22" s="8" t="n">
        <v>170</v>
      </c>
      <c r="Z22" s="8" t="n">
        <v>10.2</v>
      </c>
      <c r="AA22" s="8" t="n">
        <v>18</v>
      </c>
      <c r="AB22" s="8" t="inlineStr">
        <is>
          <t>200C x 70h, 25% compression, P-24 O-ring (JIS K6301)</t>
        </is>
      </c>
      <c r="AC22" s="4" t="n">
        <v>200</v>
      </c>
      <c r="AD22" s="4">
        <f>I22+J22+K22+L22+M22+N22+O22+P22</f>
        <v/>
      </c>
      <c r="AE22" s="4" t="n">
        <v>1</v>
      </c>
      <c r="AF22" s="4" t="n">
        <v>1</v>
      </c>
      <c r="AG22" s="4" t="n">
        <v>1</v>
      </c>
      <c r="AH22" s="4" t="n">
        <v>1</v>
      </c>
      <c r="AI22" s="4" t="n">
        <v>1</v>
      </c>
    </row>
    <row r="23">
      <c r="A23" s="4" t="inlineStr">
        <is>
          <t>G022</t>
        </is>
      </c>
      <c r="B23" s="8" t="inlineStr">
        <is>
          <t>US7678858B2</t>
        </is>
      </c>
      <c r="C23" s="8" t="inlineStr">
        <is>
          <t>Daikin Industries, Ltd.</t>
        </is>
      </c>
      <c r="D23" s="8" t="inlineStr">
        <is>
          <t>Comparative Example 2</t>
        </is>
      </c>
      <c r="E23" s="8" t="inlineStr">
        <is>
          <t>FFKM</t>
        </is>
      </c>
      <c r="F23" s="8" t="inlineStr">
        <is>
          <t>DAI-EL PERFLO GA-105 (TFE/perfluoro(alkyl vinyl ether), iodine cure site)</t>
        </is>
      </c>
      <c r="G23" s="8" t="inlineStr">
        <is>
          <t>peroxide</t>
        </is>
      </c>
      <c r="H23" s="8" t="n">
        <v>100</v>
      </c>
      <c r="I23" s="8" t="n">
        <v>0</v>
      </c>
      <c r="J23" s="8" t="n">
        <v>0</v>
      </c>
      <c r="K23" s="8" t="n">
        <v>0</v>
      </c>
      <c r="L23" s="8" t="n">
        <v>0</v>
      </c>
      <c r="M23" s="8" t="n">
        <v>0</v>
      </c>
      <c r="N23" s="8" t="n">
        <v>0</v>
      </c>
      <c r="O23" s="8" t="n">
        <v>0</v>
      </c>
      <c r="P23" s="8" t="n">
        <v>15</v>
      </c>
      <c r="Q23" s="8" t="n">
        <v>2</v>
      </c>
      <c r="R23" s="8" t="n">
        <v>1</v>
      </c>
      <c r="S23" s="8" t="n">
        <v>0</v>
      </c>
      <c r="T23" s="8" t="n">
        <v>0</v>
      </c>
      <c r="U23" s="8" t="n">
        <v>0</v>
      </c>
      <c r="V23" s="8" t="n">
        <v>0</v>
      </c>
      <c r="W23" s="8" t="n">
        <v>80</v>
      </c>
      <c r="X23" s="8" t="n">
        <v>15.49</v>
      </c>
      <c r="Y23" s="8" t="n">
        <v>130</v>
      </c>
      <c r="Z23" s="8" t="n">
        <v>14.51</v>
      </c>
      <c r="AA23" s="8" t="n">
        <v>23</v>
      </c>
      <c r="AB23" s="8" t="inlineStr">
        <is>
          <t>200C x 70h, 25% compression, P-24 O-ring (JIS K6301)</t>
        </is>
      </c>
      <c r="AC23" s="4" t="n">
        <v>200</v>
      </c>
      <c r="AD23" s="4">
        <f>I23+J23+K23+L23+M23+N23+O23+P23</f>
        <v/>
      </c>
      <c r="AE23" s="4" t="n">
        <v>1</v>
      </c>
      <c r="AF23" s="4" t="n">
        <v>1</v>
      </c>
      <c r="AG23" s="4" t="n">
        <v>1</v>
      </c>
      <c r="AH23" s="4" t="n">
        <v>1</v>
      </c>
      <c r="AI23" s="4" t="n">
        <v>1</v>
      </c>
    </row>
    <row r="24">
      <c r="A24" s="4" t="inlineStr">
        <is>
          <t>G023</t>
        </is>
      </c>
      <c r="B24" s="8" t="inlineStr">
        <is>
          <t>US7678858B2</t>
        </is>
      </c>
      <c r="C24" s="8" t="inlineStr">
        <is>
          <t>Daikin Industries, Ltd.</t>
        </is>
      </c>
      <c r="D24" s="8" t="inlineStr">
        <is>
          <t>Comparative Example 3</t>
        </is>
      </c>
      <c r="E24" s="8" t="inlineStr">
        <is>
          <t>FFKM</t>
        </is>
      </c>
      <c r="F24" s="8" t="inlineStr">
        <is>
          <t>DAI-EL PERFLO GA-105 (TFE/perfluoro(alkyl vinyl ether), iodine cure site)</t>
        </is>
      </c>
      <c r="G24" s="8" t="inlineStr">
        <is>
          <t>peroxide</t>
        </is>
      </c>
      <c r="H24" s="8" t="n">
        <v>100</v>
      </c>
      <c r="I24" s="8" t="n">
        <v>15</v>
      </c>
      <c r="J24" s="8" t="n">
        <v>0</v>
      </c>
      <c r="K24" s="8" t="n">
        <v>0</v>
      </c>
      <c r="L24" s="8" t="n">
        <v>0</v>
      </c>
      <c r="M24" s="8" t="n">
        <v>0</v>
      </c>
      <c r="N24" s="8" t="n">
        <v>0</v>
      </c>
      <c r="O24" s="8" t="n">
        <v>0</v>
      </c>
      <c r="P24" s="8" t="n">
        <v>0</v>
      </c>
      <c r="Q24" s="8" t="n">
        <v>2</v>
      </c>
      <c r="R24" s="8" t="n">
        <v>1</v>
      </c>
      <c r="S24" s="8" t="n">
        <v>0</v>
      </c>
      <c r="T24" s="8" t="n">
        <v>0</v>
      </c>
      <c r="U24" s="8" t="n">
        <v>0</v>
      </c>
      <c r="V24" s="8" t="n">
        <v>0</v>
      </c>
      <c r="W24" s="8" t="n">
        <v>81</v>
      </c>
      <c r="X24" s="8" t="n">
        <v>24.42</v>
      </c>
      <c r="Y24" s="8" t="n">
        <v>200</v>
      </c>
      <c r="Z24" s="8" t="n">
        <v>9.119999999999999</v>
      </c>
      <c r="AA24" s="8" t="n">
        <v>15</v>
      </c>
      <c r="AB24" s="8" t="inlineStr">
        <is>
          <t>200C x 70h, 25% compression, P-24 O-ring (JIS K6301)</t>
        </is>
      </c>
      <c r="AC24" s="4" t="n">
        <v>200</v>
      </c>
      <c r="AD24" s="4">
        <f>I24+J24+K24+L24+M24+N24+O24+P24</f>
        <v/>
      </c>
      <c r="AE24" s="4" t="n">
        <v>1</v>
      </c>
      <c r="AF24" s="4" t="n">
        <v>1</v>
      </c>
      <c r="AG24" s="4" t="n">
        <v>1</v>
      </c>
      <c r="AH24" s="4" t="n">
        <v>1</v>
      </c>
      <c r="AI24" s="4" t="n">
        <v>1</v>
      </c>
    </row>
    <row r="25">
      <c r="A25" s="4" t="inlineStr">
        <is>
          <t>G024</t>
        </is>
      </c>
      <c r="B25" s="8" t="inlineStr">
        <is>
          <t>US6803402B2</t>
        </is>
      </c>
      <c r="C25" s="8" t="inlineStr">
        <is>
          <t>Daikin Industries, Ltd.</t>
        </is>
      </c>
      <c r="D25" s="8" t="inlineStr">
        <is>
          <t>Example 1</t>
        </is>
      </c>
      <c r="E25" s="8" t="inlineStr">
        <is>
          <t>FFKM</t>
        </is>
      </c>
      <c r="F25" s="8" t="inlineStr">
        <is>
          <t>TFE/perfluoro(methyl vinyl ether) copolymer elastomer</t>
        </is>
      </c>
      <c r="G25" s="8" t="inlineStr">
        <is>
          <t>peroxide</t>
        </is>
      </c>
      <c r="H25" s="8" t="n">
        <v>100</v>
      </c>
      <c r="I25" s="8" t="n">
        <v>0</v>
      </c>
      <c r="J25" s="8" t="n">
        <v>0</v>
      </c>
      <c r="K25" s="8" t="n">
        <v>10</v>
      </c>
      <c r="L25" s="8" t="n">
        <v>0</v>
      </c>
      <c r="M25" s="8" t="n">
        <v>0</v>
      </c>
      <c r="N25" s="8" t="n">
        <v>0</v>
      </c>
      <c r="O25" s="8" t="n">
        <v>0</v>
      </c>
      <c r="P25" s="8" t="n">
        <v>0</v>
      </c>
      <c r="Q25" s="8" t="n">
        <v>3</v>
      </c>
      <c r="R25" s="8" t="n">
        <v>1</v>
      </c>
      <c r="S25" s="8" t="n">
        <v>0</v>
      </c>
      <c r="T25" s="8" t="n">
        <v>0</v>
      </c>
      <c r="U25" s="8" t="n">
        <v>0</v>
      </c>
      <c r="V25" s="8" t="n">
        <v>0</v>
      </c>
      <c r="W25" s="8" t="n">
        <v>63</v>
      </c>
      <c r="X25" s="8" t="n">
        <v>24.52</v>
      </c>
      <c r="Y25" s="8" t="n">
        <v>165</v>
      </c>
      <c r="Z25" s="8" t="n">
        <v>5.59</v>
      </c>
      <c r="AA25" s="8" t="n">
        <v>20</v>
      </c>
      <c r="AB25" s="8" t="inlineStr">
        <is>
          <t>200C x 70h, 25% compression, AS-568A-214 O-ring (JIS K6301)</t>
        </is>
      </c>
      <c r="AC25" s="4" t="n">
        <v>200</v>
      </c>
      <c r="AD25" s="4">
        <f>I25+J25+K25+L25+M25+N25+O25+P25</f>
        <v/>
      </c>
      <c r="AE25" s="4" t="n">
        <v>1</v>
      </c>
      <c r="AF25" s="4" t="n">
        <v>1</v>
      </c>
      <c r="AG25" s="4" t="n">
        <v>1</v>
      </c>
      <c r="AH25" s="4" t="n">
        <v>1</v>
      </c>
      <c r="AI25" s="4" t="n">
        <v>1</v>
      </c>
    </row>
    <row r="26">
      <c r="A26" s="4" t="inlineStr">
        <is>
          <t>G025</t>
        </is>
      </c>
      <c r="B26" s="8" t="inlineStr">
        <is>
          <t>US6803402B2</t>
        </is>
      </c>
      <c r="C26" s="8" t="inlineStr">
        <is>
          <t>Daikin Industries, Ltd.</t>
        </is>
      </c>
      <c r="D26" s="8" t="inlineStr">
        <is>
          <t>Example 2</t>
        </is>
      </c>
      <c r="E26" s="8" t="inlineStr">
        <is>
          <t>FFKM</t>
        </is>
      </c>
      <c r="F26" s="8" t="inlineStr">
        <is>
          <t>TFE/perfluoro(methyl vinyl ether) copolymer elastomer</t>
        </is>
      </c>
      <c r="G26" s="8" t="inlineStr">
        <is>
          <t>peroxide</t>
        </is>
      </c>
      <c r="H26" s="8" t="n">
        <v>100</v>
      </c>
      <c r="I26" s="8" t="n">
        <v>0</v>
      </c>
      <c r="J26" s="8" t="n">
        <v>0</v>
      </c>
      <c r="K26" s="8" t="n">
        <v>10</v>
      </c>
      <c r="L26" s="8" t="n">
        <v>0</v>
      </c>
      <c r="M26" s="8" t="n">
        <v>0</v>
      </c>
      <c r="N26" s="8" t="n">
        <v>0</v>
      </c>
      <c r="O26" s="8" t="n">
        <v>0</v>
      </c>
      <c r="P26" s="8" t="n">
        <v>0</v>
      </c>
      <c r="Q26" s="8" t="n">
        <v>3</v>
      </c>
      <c r="R26" s="8" t="n">
        <v>1</v>
      </c>
      <c r="S26" s="8" t="n">
        <v>0</v>
      </c>
      <c r="T26" s="8" t="n">
        <v>0</v>
      </c>
      <c r="U26" s="8" t="n">
        <v>0</v>
      </c>
      <c r="V26" s="8" t="n">
        <v>0</v>
      </c>
      <c r="W26" s="8" t="n">
        <v>62</v>
      </c>
      <c r="X26" s="8" t="n">
        <v>19.61</v>
      </c>
      <c r="Y26" s="8" t="n">
        <v>143</v>
      </c>
      <c r="Z26" s="8" t="n">
        <v>7.94</v>
      </c>
      <c r="AA26" s="8" t="n">
        <v>20</v>
      </c>
      <c r="AB26" s="8" t="inlineStr">
        <is>
          <t>200C x 70h, 25% compression, AS-568A-214 O-ring (JIS K6301)</t>
        </is>
      </c>
      <c r="AC26" s="4" t="n">
        <v>200</v>
      </c>
      <c r="AD26" s="4">
        <f>I26+J26+K26+L26+M26+N26+O26+P26</f>
        <v/>
      </c>
      <c r="AE26" s="4" t="n">
        <v>1</v>
      </c>
      <c r="AF26" s="4" t="n">
        <v>1</v>
      </c>
      <c r="AG26" s="4" t="n">
        <v>1</v>
      </c>
      <c r="AH26" s="4" t="n">
        <v>1</v>
      </c>
      <c r="AI26" s="4" t="n">
        <v>1</v>
      </c>
    </row>
    <row r="27">
      <c r="A27" s="4" t="inlineStr">
        <is>
          <t>G026</t>
        </is>
      </c>
      <c r="B27" s="8" t="inlineStr">
        <is>
          <t>US6803402B2</t>
        </is>
      </c>
      <c r="C27" s="8" t="inlineStr">
        <is>
          <t>Daikin Industries, Ltd.</t>
        </is>
      </c>
      <c r="D27" s="8" t="inlineStr">
        <is>
          <t>Comparative Example 1</t>
        </is>
      </c>
      <c r="E27" s="8" t="inlineStr">
        <is>
          <t>FFKM</t>
        </is>
      </c>
      <c r="F27" s="8" t="inlineStr">
        <is>
          <t>TFE/perfluoro(methyl vinyl ether) copolymer elastomer</t>
        </is>
      </c>
      <c r="G27" s="8" t="inlineStr">
        <is>
          <t>peroxide</t>
        </is>
      </c>
      <c r="H27" s="8" t="n">
        <v>100</v>
      </c>
      <c r="I27" s="8" t="n">
        <v>0</v>
      </c>
      <c r="J27" s="8" t="n">
        <v>0</v>
      </c>
      <c r="K27" s="8" t="n">
        <v>10</v>
      </c>
      <c r="L27" s="8" t="n">
        <v>0</v>
      </c>
      <c r="M27" s="8" t="n">
        <v>0</v>
      </c>
      <c r="N27" s="8" t="n">
        <v>0</v>
      </c>
      <c r="O27" s="8" t="n">
        <v>0</v>
      </c>
      <c r="P27" s="8" t="n">
        <v>0</v>
      </c>
      <c r="Q27" s="8" t="n">
        <v>3</v>
      </c>
      <c r="R27" s="8" t="n">
        <v>1</v>
      </c>
      <c r="S27" s="8" t="n">
        <v>0</v>
      </c>
      <c r="T27" s="8" t="n">
        <v>0</v>
      </c>
      <c r="U27" s="8" t="n">
        <v>0</v>
      </c>
      <c r="V27" s="8" t="n">
        <v>0</v>
      </c>
      <c r="W27" s="8" t="n">
        <v>59</v>
      </c>
      <c r="X27" s="8" t="n">
        <v>18.04</v>
      </c>
      <c r="Y27" s="8" t="n">
        <v>160</v>
      </c>
      <c r="Z27" s="8" t="n">
        <v>6.18</v>
      </c>
      <c r="AA27" s="8" t="n">
        <v>12</v>
      </c>
      <c r="AB27" s="8" t="inlineStr">
        <is>
          <t>200C x 70h, 25% compression, AS-568A-214 O-ring (JIS K6301)</t>
        </is>
      </c>
      <c r="AC27" s="4" t="n">
        <v>200</v>
      </c>
      <c r="AD27" s="4">
        <f>I27+J27+K27+L27+M27+N27+O27+P27</f>
        <v/>
      </c>
      <c r="AE27" s="4" t="n">
        <v>1</v>
      </c>
      <c r="AF27" s="4" t="n">
        <v>1</v>
      </c>
      <c r="AG27" s="4" t="n">
        <v>1</v>
      </c>
      <c r="AH27" s="4" t="n">
        <v>1</v>
      </c>
      <c r="AI27" s="4" t="n">
        <v>1</v>
      </c>
    </row>
    <row r="28">
      <c r="A28" s="4" t="inlineStr">
        <is>
          <t>G027</t>
        </is>
      </c>
      <c r="B28" s="8" t="inlineStr">
        <is>
          <t>US6803402B2</t>
        </is>
      </c>
      <c r="C28" s="8" t="inlineStr">
        <is>
          <t>Daikin Industries, Ltd.</t>
        </is>
      </c>
      <c r="D28" s="8" t="inlineStr">
        <is>
          <t>Comparative Example 2</t>
        </is>
      </c>
      <c r="E28" s="8" t="inlineStr">
        <is>
          <t>FFKM</t>
        </is>
      </c>
      <c r="F28" s="8" t="inlineStr">
        <is>
          <t>TFE/perfluoro(methyl vinyl ether) copolymer elastomer</t>
        </is>
      </c>
      <c r="G28" s="8" t="inlineStr">
        <is>
          <t>peroxide</t>
        </is>
      </c>
      <c r="H28" s="8" t="n">
        <v>100</v>
      </c>
      <c r="I28" s="8" t="n">
        <v>0</v>
      </c>
      <c r="J28" s="8" t="n">
        <v>10</v>
      </c>
      <c r="K28" s="8" t="n">
        <v>0</v>
      </c>
      <c r="L28" s="8" t="n">
        <v>0</v>
      </c>
      <c r="M28" s="8" t="n">
        <v>0</v>
      </c>
      <c r="N28" s="8" t="n">
        <v>0</v>
      </c>
      <c r="O28" s="8" t="n">
        <v>0</v>
      </c>
      <c r="P28" s="8" t="n">
        <v>0</v>
      </c>
      <c r="Q28" s="8" t="n">
        <v>3</v>
      </c>
      <c r="R28" s="8" t="n">
        <v>1</v>
      </c>
      <c r="S28" s="8" t="n">
        <v>0</v>
      </c>
      <c r="T28" s="8" t="n">
        <v>0</v>
      </c>
      <c r="U28" s="8" t="n">
        <v>0</v>
      </c>
      <c r="V28" s="8" t="n">
        <v>0</v>
      </c>
      <c r="W28" s="8" t="n">
        <v>65</v>
      </c>
      <c r="X28" s="8" t="n">
        <v>16.67</v>
      </c>
      <c r="Y28" s="8" t="n">
        <v>155</v>
      </c>
      <c r="Z28" s="8" t="n">
        <v>7.75</v>
      </c>
      <c r="AA28" s="8" t="n">
        <v>12</v>
      </c>
      <c r="AB28" s="8" t="inlineStr">
        <is>
          <t>200C x 70h, 25% compression, AS-568A-214 O-ring (JIS K6301)</t>
        </is>
      </c>
      <c r="AC28" s="4" t="n">
        <v>200</v>
      </c>
      <c r="AD28" s="4">
        <f>I28+J28+K28+L28+M28+N28+O28+P28</f>
        <v/>
      </c>
      <c r="AE28" s="4" t="n">
        <v>1</v>
      </c>
      <c r="AF28" s="4" t="n">
        <v>1</v>
      </c>
      <c r="AG28" s="4" t="n">
        <v>1</v>
      </c>
      <c r="AH28" s="4" t="n">
        <v>1</v>
      </c>
      <c r="AI28" s="4" t="n">
        <v>1</v>
      </c>
    </row>
    <row r="29">
      <c r="A29" s="4" t="inlineStr">
        <is>
          <t>G028</t>
        </is>
      </c>
      <c r="B29" s="8" t="inlineStr">
        <is>
          <t>US6803402B2</t>
        </is>
      </c>
      <c r="C29" s="8" t="inlineStr">
        <is>
          <t>Daikin Industries, Ltd.</t>
        </is>
      </c>
      <c r="D29" s="8" t="inlineStr">
        <is>
          <t>Comparative Example 3</t>
        </is>
      </c>
      <c r="E29" s="8" t="inlineStr">
        <is>
          <t>FFKM</t>
        </is>
      </c>
      <c r="F29" s="8" t="inlineStr">
        <is>
          <t>TFE/perfluoro(methyl vinyl ether) copolymer elastomer</t>
        </is>
      </c>
      <c r="G29" s="8" t="inlineStr">
        <is>
          <t>peroxide</t>
        </is>
      </c>
      <c r="H29" s="8" t="n">
        <v>100</v>
      </c>
      <c r="I29" s="8" t="n">
        <v>0</v>
      </c>
      <c r="J29" s="8" t="n">
        <v>0</v>
      </c>
      <c r="K29" s="8" t="n">
        <v>0</v>
      </c>
      <c r="L29" s="8" t="n">
        <v>0</v>
      </c>
      <c r="M29" s="8" t="n">
        <v>10</v>
      </c>
      <c r="N29" s="8" t="n">
        <v>0</v>
      </c>
      <c r="O29" s="8" t="n">
        <v>0</v>
      </c>
      <c r="P29" s="8" t="n">
        <v>0</v>
      </c>
      <c r="Q29" s="8" t="n">
        <v>3</v>
      </c>
      <c r="R29" s="8" t="n">
        <v>1</v>
      </c>
      <c r="S29" s="8" t="n">
        <v>0</v>
      </c>
      <c r="T29" s="8" t="n">
        <v>0</v>
      </c>
      <c r="U29" s="8" t="n">
        <v>0</v>
      </c>
      <c r="V29" s="8" t="n">
        <v>0</v>
      </c>
      <c r="W29" s="8" t="n">
        <v>59</v>
      </c>
      <c r="X29" s="8" t="n">
        <v>19.71</v>
      </c>
      <c r="Y29" s="8" t="n">
        <v>153</v>
      </c>
      <c r="Z29" s="8" t="n">
        <v>5.88</v>
      </c>
      <c r="AA29" s="8" t="n">
        <v>20</v>
      </c>
      <c r="AB29" s="8" t="inlineStr">
        <is>
          <t>200C x 70h, 25% compression, AS-568A-214 O-ring (JIS K6301)</t>
        </is>
      </c>
      <c r="AC29" s="4" t="n">
        <v>200</v>
      </c>
      <c r="AD29" s="4">
        <f>I29+J29+K29+L29+M29+N29+O29+P29</f>
        <v/>
      </c>
      <c r="AE29" s="4" t="n">
        <v>1</v>
      </c>
      <c r="AF29" s="4" t="n">
        <v>1</v>
      </c>
      <c r="AG29" s="4" t="n">
        <v>1</v>
      </c>
      <c r="AH29" s="4" t="n">
        <v>1</v>
      </c>
      <c r="AI29" s="4" t="n">
        <v>1</v>
      </c>
    </row>
    <row r="30">
      <c r="A30" s="4" t="inlineStr">
        <is>
          <t>G029</t>
        </is>
      </c>
      <c r="B30" s="8" t="inlineStr">
        <is>
          <t>US8173727B2</t>
        </is>
      </c>
      <c r="C30" s="8" t="inlineStr">
        <is>
          <t>Daikin Industries, Ltd.</t>
        </is>
      </c>
      <c r="D30" s="8" t="inlineStr">
        <is>
          <t>Example 1</t>
        </is>
      </c>
      <c r="E30" s="8" t="inlineStr">
        <is>
          <t>FFKM</t>
        </is>
      </c>
      <c r="F30" s="8" t="inlineStr">
        <is>
          <t>TFE/PMVE copolymer (67/33 mol%)</t>
        </is>
      </c>
      <c r="G30" s="8" t="inlineStr">
        <is>
          <t>peroxide</t>
        </is>
      </c>
      <c r="H30" s="8" t="n">
        <v>100</v>
      </c>
      <c r="I30" s="8" t="n">
        <v>0</v>
      </c>
      <c r="J30" s="8" t="n">
        <v>0</v>
      </c>
      <c r="K30" s="8" t="n">
        <v>0</v>
      </c>
      <c r="L30" s="8" t="n">
        <v>0</v>
      </c>
      <c r="M30" s="8" t="n">
        <v>0</v>
      </c>
      <c r="N30" s="8" t="n">
        <v>0</v>
      </c>
      <c r="O30" s="8" t="n">
        <v>0</v>
      </c>
      <c r="P30" s="8" t="n">
        <v>15</v>
      </c>
      <c r="Q30" s="8" t="n">
        <v>2</v>
      </c>
      <c r="R30" s="8" t="n">
        <v>1</v>
      </c>
      <c r="S30" s="8" t="n">
        <v>0</v>
      </c>
      <c r="T30" s="8" t="n">
        <v>0</v>
      </c>
      <c r="U30" s="8" t="n">
        <v>0</v>
      </c>
      <c r="V30" s="8" t="n">
        <v>0</v>
      </c>
      <c r="W30" s="8" t="n">
        <v>80</v>
      </c>
      <c r="X30" s="8" t="n">
        <v>15.69</v>
      </c>
      <c r="Y30" s="8" t="n">
        <v>170</v>
      </c>
      <c r="Z30" s="8" t="n">
        <v>9.81</v>
      </c>
      <c r="AA30" s="8" t="n"/>
      <c r="AB30" s="8" t="n"/>
      <c r="AC30" s="4" t="n"/>
      <c r="AD30" s="4">
        <f>I30+J30+K30+L30+M30+N30+O30+P30</f>
        <v/>
      </c>
      <c r="AE30" s="4" t="n">
        <v>1</v>
      </c>
      <c r="AF30" s="4" t="n">
        <v>1</v>
      </c>
      <c r="AG30" s="4" t="n">
        <v>1</v>
      </c>
      <c r="AH30" s="4" t="n">
        <v>1</v>
      </c>
      <c r="AI30" s="4" t="n">
        <v>0</v>
      </c>
    </row>
    <row r="31">
      <c r="A31" s="4" t="inlineStr">
        <is>
          <t>G030</t>
        </is>
      </c>
      <c r="B31" s="8" t="inlineStr">
        <is>
          <t>US8173727B2</t>
        </is>
      </c>
      <c r="C31" s="8" t="inlineStr">
        <is>
          <t>Daikin Industries, Ltd.</t>
        </is>
      </c>
      <c r="D31" s="8" t="inlineStr">
        <is>
          <t>Example 2</t>
        </is>
      </c>
      <c r="E31" s="8" t="inlineStr">
        <is>
          <t>FFKM</t>
        </is>
      </c>
      <c r="F31" s="8" t="inlineStr">
        <is>
          <t>TFE/PMVE copolymer (67/33 mol%)</t>
        </is>
      </c>
      <c r="G31" s="8" t="inlineStr">
        <is>
          <t>peroxide</t>
        </is>
      </c>
      <c r="H31" s="8" t="n">
        <v>100</v>
      </c>
      <c r="I31" s="8" t="n">
        <v>0</v>
      </c>
      <c r="J31" s="8" t="n">
        <v>0</v>
      </c>
      <c r="K31" s="8" t="n">
        <v>0</v>
      </c>
      <c r="L31" s="8" t="n">
        <v>0</v>
      </c>
      <c r="M31" s="8" t="n">
        <v>0</v>
      </c>
      <c r="N31" s="8" t="n">
        <v>0</v>
      </c>
      <c r="O31" s="8" t="n">
        <v>0</v>
      </c>
      <c r="P31" s="8" t="n">
        <v>15</v>
      </c>
      <c r="Q31" s="8" t="n">
        <v>2</v>
      </c>
      <c r="R31" s="8" t="n">
        <v>1</v>
      </c>
      <c r="S31" s="8" t="n">
        <v>0</v>
      </c>
      <c r="T31" s="8" t="n">
        <v>0</v>
      </c>
      <c r="U31" s="8" t="n">
        <v>0</v>
      </c>
      <c r="V31" s="8" t="n">
        <v>0</v>
      </c>
      <c r="W31" s="8" t="n">
        <v>80</v>
      </c>
      <c r="X31" s="8" t="n">
        <v>16.67</v>
      </c>
      <c r="Y31" s="8" t="n">
        <v>160</v>
      </c>
      <c r="Z31" s="8" t="n">
        <v>12.75</v>
      </c>
      <c r="AA31" s="8" t="n"/>
      <c r="AB31" s="8" t="n"/>
      <c r="AC31" s="4" t="n"/>
      <c r="AD31" s="4">
        <f>I31+J31+K31+L31+M31+N31+O31+P31</f>
        <v/>
      </c>
      <c r="AE31" s="4" t="n">
        <v>1</v>
      </c>
      <c r="AF31" s="4" t="n">
        <v>1</v>
      </c>
      <c r="AG31" s="4" t="n">
        <v>1</v>
      </c>
      <c r="AH31" s="4" t="n">
        <v>1</v>
      </c>
      <c r="AI31" s="4" t="n">
        <v>0</v>
      </c>
    </row>
    <row r="32">
      <c r="A32" s="4" t="inlineStr">
        <is>
          <t>G031</t>
        </is>
      </c>
      <c r="B32" s="8" t="inlineStr">
        <is>
          <t>US8173727B2</t>
        </is>
      </c>
      <c r="C32" s="8" t="inlineStr">
        <is>
          <t>Daikin Industries, Ltd.</t>
        </is>
      </c>
      <c r="D32" s="8" t="inlineStr">
        <is>
          <t>Example 3</t>
        </is>
      </c>
      <c r="E32" s="8" t="inlineStr">
        <is>
          <t>FFKM</t>
        </is>
      </c>
      <c r="F32" s="8" t="inlineStr">
        <is>
          <t>TFE/PMVE copolymer (67/33 mol%)</t>
        </is>
      </c>
      <c r="G32" s="8" t="inlineStr">
        <is>
          <t>peroxide</t>
        </is>
      </c>
      <c r="H32" s="8" t="n">
        <v>100</v>
      </c>
      <c r="I32" s="8" t="n">
        <v>0</v>
      </c>
      <c r="J32" s="8" t="n">
        <v>0</v>
      </c>
      <c r="K32" s="8" t="n">
        <v>0</v>
      </c>
      <c r="L32" s="8" t="n">
        <v>0</v>
      </c>
      <c r="M32" s="8" t="n">
        <v>0</v>
      </c>
      <c r="N32" s="8" t="n">
        <v>0</v>
      </c>
      <c r="O32" s="8" t="n">
        <v>0</v>
      </c>
      <c r="P32" s="8" t="n">
        <v>15</v>
      </c>
      <c r="Q32" s="8" t="n">
        <v>2</v>
      </c>
      <c r="R32" s="8" t="n">
        <v>1</v>
      </c>
      <c r="S32" s="8" t="n">
        <v>0</v>
      </c>
      <c r="T32" s="8" t="n">
        <v>0</v>
      </c>
      <c r="U32" s="8" t="n">
        <v>0</v>
      </c>
      <c r="V32" s="8" t="n">
        <v>0</v>
      </c>
      <c r="W32" s="8" t="n">
        <v>81</v>
      </c>
      <c r="X32" s="8" t="n">
        <v>18.14</v>
      </c>
      <c r="Y32" s="8" t="n">
        <v>140</v>
      </c>
      <c r="Z32" s="8" t="n">
        <v>15.2</v>
      </c>
      <c r="AA32" s="8" t="n"/>
      <c r="AB32" s="8" t="n"/>
      <c r="AC32" s="4" t="n"/>
      <c r="AD32" s="4">
        <f>I32+J32+K32+L32+M32+N32+O32+P32</f>
        <v/>
      </c>
      <c r="AE32" s="4" t="n">
        <v>1</v>
      </c>
      <c r="AF32" s="4" t="n">
        <v>1</v>
      </c>
      <c r="AG32" s="4" t="n">
        <v>1</v>
      </c>
      <c r="AH32" s="4" t="n">
        <v>1</v>
      </c>
      <c r="AI32" s="4" t="n">
        <v>0</v>
      </c>
    </row>
    <row r="33">
      <c r="A33" s="4" t="inlineStr">
        <is>
          <t>G032</t>
        </is>
      </c>
      <c r="B33" s="8" t="inlineStr">
        <is>
          <t>US8173727B2</t>
        </is>
      </c>
      <c r="C33" s="8" t="inlineStr">
        <is>
          <t>Daikin Industries, Ltd.</t>
        </is>
      </c>
      <c r="D33" s="8" t="inlineStr">
        <is>
          <t>Example 4</t>
        </is>
      </c>
      <c r="E33" s="8" t="inlineStr">
        <is>
          <t>FFKM</t>
        </is>
      </c>
      <c r="F33" s="8" t="inlineStr">
        <is>
          <t>TFE/PMVE copolymer (67/33 mol%)</t>
        </is>
      </c>
      <c r="G33" s="8" t="inlineStr">
        <is>
          <t>peroxide</t>
        </is>
      </c>
      <c r="H33" s="8" t="n">
        <v>100</v>
      </c>
      <c r="I33" s="8" t="n">
        <v>0</v>
      </c>
      <c r="J33" s="8" t="n">
        <v>0</v>
      </c>
      <c r="K33" s="8" t="n">
        <v>0</v>
      </c>
      <c r="L33" s="8" t="n">
        <v>0</v>
      </c>
      <c r="M33" s="8" t="n">
        <v>0</v>
      </c>
      <c r="N33" s="8" t="n">
        <v>0</v>
      </c>
      <c r="O33" s="8" t="n">
        <v>0</v>
      </c>
      <c r="P33" s="8" t="n">
        <v>15</v>
      </c>
      <c r="Q33" s="8" t="n">
        <v>2</v>
      </c>
      <c r="R33" s="8" t="n">
        <v>1</v>
      </c>
      <c r="S33" s="8" t="n">
        <v>0</v>
      </c>
      <c r="T33" s="8" t="n">
        <v>0</v>
      </c>
      <c r="U33" s="8" t="n">
        <v>0</v>
      </c>
      <c r="V33" s="8" t="n">
        <v>0</v>
      </c>
      <c r="W33" s="8" t="n">
        <v>81</v>
      </c>
      <c r="X33" s="8" t="n">
        <v>19.12</v>
      </c>
      <c r="Y33" s="8" t="n">
        <v>120</v>
      </c>
      <c r="Z33" s="8" t="n">
        <v>16.18</v>
      </c>
      <c r="AA33" s="8" t="n"/>
      <c r="AB33" s="8" t="n"/>
      <c r="AC33" s="4" t="n"/>
      <c r="AD33" s="4">
        <f>I33+J33+K33+L33+M33+N33+O33+P33</f>
        <v/>
      </c>
      <c r="AE33" s="4" t="n">
        <v>1</v>
      </c>
      <c r="AF33" s="4" t="n">
        <v>1</v>
      </c>
      <c r="AG33" s="4" t="n">
        <v>1</v>
      </c>
      <c r="AH33" s="4" t="n">
        <v>1</v>
      </c>
      <c r="AI33" s="4" t="n">
        <v>0</v>
      </c>
    </row>
    <row r="34">
      <c r="A34" s="4" t="inlineStr">
        <is>
          <t>G033</t>
        </is>
      </c>
      <c r="B34" s="8" t="inlineStr">
        <is>
          <t>US8173727B2</t>
        </is>
      </c>
      <c r="C34" s="8" t="inlineStr">
        <is>
          <t>Daikin Industries, Ltd.</t>
        </is>
      </c>
      <c r="D34" s="8" t="inlineStr">
        <is>
          <t>Example 5</t>
        </is>
      </c>
      <c r="E34" s="8" t="inlineStr">
        <is>
          <t>FFKM</t>
        </is>
      </c>
      <c r="F34" s="8" t="inlineStr">
        <is>
          <t>TFE/PMVE copolymer (67/33 mol%)</t>
        </is>
      </c>
      <c r="G34" s="8" t="inlineStr">
        <is>
          <t>peroxide</t>
        </is>
      </c>
      <c r="H34" s="8" t="n">
        <v>100</v>
      </c>
      <c r="I34" s="8" t="n">
        <v>0</v>
      </c>
      <c r="J34" s="8" t="n">
        <v>0</v>
      </c>
      <c r="K34" s="8" t="n">
        <v>0</v>
      </c>
      <c r="L34" s="8" t="n">
        <v>0</v>
      </c>
      <c r="M34" s="8" t="n">
        <v>0</v>
      </c>
      <c r="N34" s="8" t="n">
        <v>0</v>
      </c>
      <c r="O34" s="8" t="n">
        <v>0</v>
      </c>
      <c r="P34" s="8" t="n">
        <v>15</v>
      </c>
      <c r="Q34" s="8" t="n">
        <v>2</v>
      </c>
      <c r="R34" s="8" t="n">
        <v>1</v>
      </c>
      <c r="S34" s="8" t="n">
        <v>0</v>
      </c>
      <c r="T34" s="8" t="n">
        <v>0</v>
      </c>
      <c r="U34" s="8" t="n">
        <v>0</v>
      </c>
      <c r="V34" s="8" t="n">
        <v>0</v>
      </c>
      <c r="W34" s="8" t="n">
        <v>79</v>
      </c>
      <c r="X34" s="8" t="n">
        <v>10.79</v>
      </c>
      <c r="Y34" s="8" t="n">
        <v>190</v>
      </c>
      <c r="Z34" s="8" t="n">
        <v>5.88</v>
      </c>
      <c r="AA34" s="8" t="n"/>
      <c r="AB34" s="8" t="n"/>
      <c r="AC34" s="4" t="n"/>
      <c r="AD34" s="4">
        <f>I34+J34+K34+L34+M34+N34+O34+P34</f>
        <v/>
      </c>
      <c r="AE34" s="4" t="n">
        <v>1</v>
      </c>
      <c r="AF34" s="4" t="n">
        <v>1</v>
      </c>
      <c r="AG34" s="4" t="n">
        <v>1</v>
      </c>
      <c r="AH34" s="4" t="n">
        <v>1</v>
      </c>
      <c r="AI34" s="4" t="n">
        <v>0</v>
      </c>
    </row>
    <row r="35">
      <c r="A35" s="4" t="inlineStr">
        <is>
          <t>G034</t>
        </is>
      </c>
      <c r="B35" s="8" t="inlineStr">
        <is>
          <t>US8173727B2</t>
        </is>
      </c>
      <c r="C35" s="8" t="inlineStr">
        <is>
          <t>Daikin Industries, Ltd.</t>
        </is>
      </c>
      <c r="D35" s="8" t="inlineStr">
        <is>
          <t>Example 6</t>
        </is>
      </c>
      <c r="E35" s="8" t="inlineStr">
        <is>
          <t>FFKM</t>
        </is>
      </c>
      <c r="F35" s="8" t="inlineStr">
        <is>
          <t>TFE/PMVE copolymer (67/33 mol%)</t>
        </is>
      </c>
      <c r="G35" s="8" t="inlineStr">
        <is>
          <t>peroxide</t>
        </is>
      </c>
      <c r="H35" s="8" t="n">
        <v>100</v>
      </c>
      <c r="I35" s="8" t="n">
        <v>0</v>
      </c>
      <c r="J35" s="8" t="n">
        <v>0</v>
      </c>
      <c r="K35" s="8" t="n">
        <v>15</v>
      </c>
      <c r="L35" s="8" t="n">
        <v>0</v>
      </c>
      <c r="M35" s="8" t="n">
        <v>0</v>
      </c>
      <c r="N35" s="8" t="n">
        <v>0</v>
      </c>
      <c r="O35" s="8" t="n">
        <v>0</v>
      </c>
      <c r="P35" s="8" t="n">
        <v>0</v>
      </c>
      <c r="Q35" s="8" t="n">
        <v>2</v>
      </c>
      <c r="R35" s="8" t="n">
        <v>1</v>
      </c>
      <c r="S35" s="8" t="n">
        <v>0</v>
      </c>
      <c r="T35" s="8" t="n">
        <v>0</v>
      </c>
      <c r="U35" s="8" t="n">
        <v>0</v>
      </c>
      <c r="V35" s="8" t="n">
        <v>0</v>
      </c>
      <c r="W35" s="8" t="n">
        <v>75</v>
      </c>
      <c r="X35" s="8" t="n">
        <v>23.54</v>
      </c>
      <c r="Y35" s="8" t="n">
        <v>160</v>
      </c>
      <c r="Z35" s="8" t="n">
        <v>9.81</v>
      </c>
      <c r="AA35" s="8" t="n"/>
      <c r="AB35" s="8" t="n"/>
      <c r="AC35" s="4" t="n"/>
      <c r="AD35" s="4">
        <f>I35+J35+K35+L35+M35+N35+O35+P35</f>
        <v/>
      </c>
      <c r="AE35" s="4" t="n">
        <v>1</v>
      </c>
      <c r="AF35" s="4" t="n">
        <v>1</v>
      </c>
      <c r="AG35" s="4" t="n">
        <v>1</v>
      </c>
      <c r="AH35" s="4" t="n">
        <v>1</v>
      </c>
      <c r="AI35" s="4" t="n">
        <v>0</v>
      </c>
    </row>
    <row r="36">
      <c r="A36" s="4" t="inlineStr">
        <is>
          <t>G035</t>
        </is>
      </c>
      <c r="B36" s="8" t="inlineStr">
        <is>
          <t>US8173727B2</t>
        </is>
      </c>
      <c r="C36" s="8" t="inlineStr">
        <is>
          <t>Daikin Industries, Ltd.</t>
        </is>
      </c>
      <c r="D36" s="8" t="inlineStr">
        <is>
          <t>Example 7</t>
        </is>
      </c>
      <c r="E36" s="8" t="inlineStr">
        <is>
          <t>FFKM</t>
        </is>
      </c>
      <c r="F36" s="8" t="inlineStr">
        <is>
          <t>TFE/PMVE copolymer (67/33 mol%)</t>
        </is>
      </c>
      <c r="G36" s="8" t="inlineStr">
        <is>
          <t>peroxide</t>
        </is>
      </c>
      <c r="H36" s="8" t="n">
        <v>100</v>
      </c>
      <c r="I36" s="8" t="n">
        <v>15</v>
      </c>
      <c r="J36" s="8" t="n">
        <v>0</v>
      </c>
      <c r="K36" s="8" t="n">
        <v>0</v>
      </c>
      <c r="L36" s="8" t="n">
        <v>0</v>
      </c>
      <c r="M36" s="8" t="n">
        <v>0</v>
      </c>
      <c r="N36" s="8" t="n">
        <v>0</v>
      </c>
      <c r="O36" s="8" t="n">
        <v>0</v>
      </c>
      <c r="P36" s="8" t="n">
        <v>0</v>
      </c>
      <c r="Q36" s="8" t="n">
        <v>2</v>
      </c>
      <c r="R36" s="8" t="n">
        <v>1</v>
      </c>
      <c r="S36" s="8" t="n">
        <v>0</v>
      </c>
      <c r="T36" s="8" t="n">
        <v>0</v>
      </c>
      <c r="U36" s="8" t="n">
        <v>0</v>
      </c>
      <c r="V36" s="8" t="n">
        <v>0</v>
      </c>
      <c r="W36" s="8" t="n">
        <v>80</v>
      </c>
      <c r="X36" s="8" t="n">
        <v>19.61</v>
      </c>
      <c r="Y36" s="8" t="n">
        <v>180</v>
      </c>
      <c r="Z36" s="8" t="n">
        <v>9.81</v>
      </c>
      <c r="AA36" s="8" t="n"/>
      <c r="AB36" s="8" t="n"/>
      <c r="AC36" s="4" t="n"/>
      <c r="AD36" s="4">
        <f>I36+J36+K36+L36+M36+N36+O36+P36</f>
        <v/>
      </c>
      <c r="AE36" s="4" t="n">
        <v>1</v>
      </c>
      <c r="AF36" s="4" t="n">
        <v>1</v>
      </c>
      <c r="AG36" s="4" t="n">
        <v>1</v>
      </c>
      <c r="AH36" s="4" t="n">
        <v>1</v>
      </c>
      <c r="AI36" s="4" t="n">
        <v>0</v>
      </c>
    </row>
    <row r="37">
      <c r="A37" s="4" t="inlineStr">
        <is>
          <t>G036</t>
        </is>
      </c>
      <c r="B37" s="8" t="inlineStr">
        <is>
          <t>US8173727B2</t>
        </is>
      </c>
      <c r="C37" s="8" t="inlineStr">
        <is>
          <t>Daikin Industries, Ltd.</t>
        </is>
      </c>
      <c r="D37" s="8" t="inlineStr">
        <is>
          <t>Example 8</t>
        </is>
      </c>
      <c r="E37" s="8" t="inlineStr">
        <is>
          <t>FFKM</t>
        </is>
      </c>
      <c r="F37" s="8" t="inlineStr">
        <is>
          <t>TFE/PMVE copolymer (67/33 mol%)</t>
        </is>
      </c>
      <c r="G37" s="8" t="inlineStr">
        <is>
          <t>peroxide</t>
        </is>
      </c>
      <c r="H37" s="8" t="n">
        <v>100</v>
      </c>
      <c r="I37" s="8" t="n">
        <v>0</v>
      </c>
      <c r="J37" s="8" t="n">
        <v>0</v>
      </c>
      <c r="K37" s="8" t="n">
        <v>0</v>
      </c>
      <c r="L37" s="8" t="n">
        <v>0</v>
      </c>
      <c r="M37" s="8" t="n">
        <v>0</v>
      </c>
      <c r="N37" s="8" t="n">
        <v>0</v>
      </c>
      <c r="O37" s="8" t="n">
        <v>0</v>
      </c>
      <c r="P37" s="8" t="n">
        <v>0</v>
      </c>
      <c r="Q37" s="8" t="n">
        <v>1</v>
      </c>
      <c r="R37" s="8" t="n">
        <v>2</v>
      </c>
      <c r="S37" s="8" t="n">
        <v>0</v>
      </c>
      <c r="T37" s="8" t="n">
        <v>0</v>
      </c>
      <c r="U37" s="8" t="n">
        <v>0</v>
      </c>
      <c r="V37" s="8" t="n">
        <v>0</v>
      </c>
      <c r="W37" s="8" t="n">
        <v>65</v>
      </c>
      <c r="X37" s="8" t="n">
        <v>13.73</v>
      </c>
      <c r="Y37" s="8" t="n">
        <v>210</v>
      </c>
      <c r="Z37" s="8" t="n">
        <v>2.94</v>
      </c>
      <c r="AA37" s="8" t="n"/>
      <c r="AB37" s="8" t="n"/>
      <c r="AC37" s="4" t="n"/>
      <c r="AD37" s="4">
        <f>I37+J37+K37+L37+M37+N37+O37+P37</f>
        <v/>
      </c>
      <c r="AE37" s="4" t="n">
        <v>1</v>
      </c>
      <c r="AF37" s="4" t="n">
        <v>1</v>
      </c>
      <c r="AG37" s="4" t="n">
        <v>1</v>
      </c>
      <c r="AH37" s="4" t="n">
        <v>1</v>
      </c>
      <c r="AI37" s="4" t="n">
        <v>0</v>
      </c>
    </row>
    <row r="38">
      <c r="A38" s="4" t="inlineStr">
        <is>
          <t>G037</t>
        </is>
      </c>
      <c r="B38" s="8" t="inlineStr">
        <is>
          <t>US8173727B2</t>
        </is>
      </c>
      <c r="C38" s="8" t="inlineStr">
        <is>
          <t>Daikin Industries, Ltd.</t>
        </is>
      </c>
      <c r="D38" s="8" t="inlineStr">
        <is>
          <t>Example 9</t>
        </is>
      </c>
      <c r="E38" s="8" t="inlineStr">
        <is>
          <t>FFKM</t>
        </is>
      </c>
      <c r="F38" s="8" t="inlineStr">
        <is>
          <t>TFE/perfluoroalkyl vinyl ether/cyano-group monomer 59.4/40.1/0.5 mol (Daikin)</t>
        </is>
      </c>
      <c r="G38" s="8" t="inlineStr">
        <is>
          <t>nitrile_other</t>
        </is>
      </c>
      <c r="H38" s="8" t="n">
        <v>100</v>
      </c>
      <c r="I38" s="8" t="n">
        <v>0</v>
      </c>
      <c r="J38" s="8" t="n">
        <v>0</v>
      </c>
      <c r="K38" s="8" t="n">
        <v>0</v>
      </c>
      <c r="L38" s="8" t="n">
        <v>0</v>
      </c>
      <c r="M38" s="8" t="n">
        <v>0</v>
      </c>
      <c r="N38" s="8" t="n">
        <v>0</v>
      </c>
      <c r="O38" s="8" t="n">
        <v>15</v>
      </c>
      <c r="P38" s="8" t="n">
        <v>0</v>
      </c>
      <c r="Q38" s="8" t="n">
        <v>0</v>
      </c>
      <c r="R38" s="8" t="n">
        <v>0</v>
      </c>
      <c r="S38" s="8" t="n">
        <v>1.2</v>
      </c>
      <c r="T38" s="8" t="n">
        <v>0</v>
      </c>
      <c r="U38" s="8" t="n">
        <v>0</v>
      </c>
      <c r="V38" s="8" t="n">
        <v>0</v>
      </c>
      <c r="W38" s="8" t="n"/>
      <c r="X38" s="8" t="n">
        <v>14.42</v>
      </c>
      <c r="Y38" s="8" t="n">
        <v>335</v>
      </c>
      <c r="Z38" s="8" t="n">
        <v>2.26</v>
      </c>
      <c r="AA38" s="8" t="n">
        <v>42</v>
      </c>
      <c r="AB38" s="8" t="inlineStr">
        <is>
          <t>300C x 70h, AS-568A-214 O-ring (JIS K6262)</t>
        </is>
      </c>
      <c r="AC38" s="4" t="n">
        <v>300</v>
      </c>
      <c r="AD38" s="4">
        <f>I38+J38+K38+L38+M38+N38+O38+P38</f>
        <v/>
      </c>
      <c r="AE38" s="4" t="n">
        <v>0</v>
      </c>
      <c r="AF38" s="4" t="n">
        <v>1</v>
      </c>
      <c r="AG38" s="4" t="n">
        <v>1</v>
      </c>
      <c r="AH38" s="4" t="n">
        <v>1</v>
      </c>
      <c r="AI38" s="4" t="n">
        <v>1</v>
      </c>
    </row>
    <row r="39">
      <c r="A39" s="4" t="inlineStr">
        <is>
          <t>G038</t>
        </is>
      </c>
      <c r="B39" s="8" t="inlineStr">
        <is>
          <t>US8173727B2</t>
        </is>
      </c>
      <c r="C39" s="8" t="inlineStr">
        <is>
          <t>Daikin Industries, Ltd.</t>
        </is>
      </c>
      <c r="D39" s="8" t="inlineStr">
        <is>
          <t>Example 10</t>
        </is>
      </c>
      <c r="E39" s="8" t="inlineStr">
        <is>
          <t>FFKM</t>
        </is>
      </c>
      <c r="F39" s="8" t="inlineStr">
        <is>
          <t>TFE/perfluoroalkyl vinyl ether/cyano-group monomer 59.4/40.1/0.5 mol (Daikin)</t>
        </is>
      </c>
      <c r="G39" s="8" t="inlineStr">
        <is>
          <t>nitrile_other</t>
        </is>
      </c>
      <c r="H39" s="8" t="n">
        <v>100</v>
      </c>
      <c r="I39" s="8" t="n">
        <v>0</v>
      </c>
      <c r="J39" s="8" t="n">
        <v>0</v>
      </c>
      <c r="K39" s="8" t="n">
        <v>0</v>
      </c>
      <c r="L39" s="8" t="n">
        <v>0</v>
      </c>
      <c r="M39" s="8" t="n">
        <v>0</v>
      </c>
      <c r="N39" s="8" t="n">
        <v>0</v>
      </c>
      <c r="O39" s="8" t="n">
        <v>15</v>
      </c>
      <c r="P39" s="8" t="n">
        <v>0</v>
      </c>
      <c r="Q39" s="8" t="n">
        <v>0</v>
      </c>
      <c r="R39" s="8" t="n">
        <v>0</v>
      </c>
      <c r="S39" s="8" t="n">
        <v>1.2</v>
      </c>
      <c r="T39" s="8" t="n">
        <v>0</v>
      </c>
      <c r="U39" s="8" t="n">
        <v>0</v>
      </c>
      <c r="V39" s="8" t="n">
        <v>0</v>
      </c>
      <c r="W39" s="8" t="n"/>
      <c r="X39" s="8" t="n">
        <v>12.85</v>
      </c>
      <c r="Y39" s="8" t="n"/>
      <c r="Z39" s="8" t="n">
        <v>2.94</v>
      </c>
      <c r="AA39" s="8" t="n">
        <v>27</v>
      </c>
      <c r="AB39" s="8" t="inlineStr">
        <is>
          <t>300C x 70h, AS-568A-214 O-ring (JIS K6262)</t>
        </is>
      </c>
      <c r="AC39" s="4" t="n">
        <v>300</v>
      </c>
      <c r="AD39" s="4">
        <f>I39+J39+K39+L39+M39+N39+O39+P39</f>
        <v/>
      </c>
      <c r="AE39" s="4" t="n">
        <v>0</v>
      </c>
      <c r="AF39" s="4" t="n">
        <v>1</v>
      </c>
      <c r="AG39" s="4" t="n">
        <v>0</v>
      </c>
      <c r="AH39" s="4" t="n">
        <v>1</v>
      </c>
      <c r="AI39" s="4" t="n">
        <v>1</v>
      </c>
    </row>
    <row r="40">
      <c r="A40" s="4" t="inlineStr">
        <is>
          <t>G039</t>
        </is>
      </c>
      <c r="B40" s="8" t="inlineStr">
        <is>
          <t>US8173727B2</t>
        </is>
      </c>
      <c r="C40" s="8" t="inlineStr">
        <is>
          <t>Daikin Industries, Ltd.</t>
        </is>
      </c>
      <c r="D40" s="8" t="inlineStr">
        <is>
          <t>Example 11</t>
        </is>
      </c>
      <c r="E40" s="8" t="inlineStr">
        <is>
          <t>FFKM</t>
        </is>
      </c>
      <c r="F40" s="8" t="inlineStr">
        <is>
          <t>TFE/perfluoroalkyl vinyl ether/cyano-group monomer 59.4/40.1/0.5 mol (Daikin)</t>
        </is>
      </c>
      <c r="G40" s="8" t="inlineStr">
        <is>
          <t>nitrile_other</t>
        </is>
      </c>
      <c r="H40" s="8" t="n">
        <v>100</v>
      </c>
      <c r="I40" s="8" t="n">
        <v>0</v>
      </c>
      <c r="J40" s="8" t="n">
        <v>0</v>
      </c>
      <c r="K40" s="8" t="n">
        <v>0</v>
      </c>
      <c r="L40" s="8" t="n">
        <v>0</v>
      </c>
      <c r="M40" s="8" t="n">
        <v>0</v>
      </c>
      <c r="N40" s="8" t="n">
        <v>0</v>
      </c>
      <c r="O40" s="8" t="n">
        <v>15</v>
      </c>
      <c r="P40" s="8" t="n">
        <v>0</v>
      </c>
      <c r="Q40" s="8" t="n">
        <v>0</v>
      </c>
      <c r="R40" s="8" t="n">
        <v>0</v>
      </c>
      <c r="S40" s="8" t="n">
        <v>1.2</v>
      </c>
      <c r="T40" s="8" t="n">
        <v>0</v>
      </c>
      <c r="U40" s="8" t="n">
        <v>0</v>
      </c>
      <c r="V40" s="8" t="n">
        <v>0</v>
      </c>
      <c r="W40" s="8" t="n"/>
      <c r="X40" s="8" t="n">
        <v>14.91</v>
      </c>
      <c r="Y40" s="8" t="n">
        <v>288</v>
      </c>
      <c r="Z40" s="8" t="n">
        <v>2.45</v>
      </c>
      <c r="AA40" s="8" t="n">
        <v>32</v>
      </c>
      <c r="AB40" s="8" t="inlineStr">
        <is>
          <t>300C x 70h, AS-568A-214 O-ring (JIS K6262)</t>
        </is>
      </c>
      <c r="AC40" s="4" t="n">
        <v>300</v>
      </c>
      <c r="AD40" s="4">
        <f>I40+J40+K40+L40+M40+N40+O40+P40</f>
        <v/>
      </c>
      <c r="AE40" s="4" t="n">
        <v>0</v>
      </c>
      <c r="AF40" s="4" t="n">
        <v>1</v>
      </c>
      <c r="AG40" s="4" t="n">
        <v>1</v>
      </c>
      <c r="AH40" s="4" t="n">
        <v>1</v>
      </c>
      <c r="AI40" s="4" t="n">
        <v>1</v>
      </c>
    </row>
    <row r="41">
      <c r="A41" s="4" t="inlineStr">
        <is>
          <t>G040</t>
        </is>
      </c>
      <c r="B41" s="8" t="inlineStr">
        <is>
          <t>US8173727B2</t>
        </is>
      </c>
      <c r="C41" s="8" t="inlineStr">
        <is>
          <t>Daikin Industries, Ltd.</t>
        </is>
      </c>
      <c r="D41" s="8" t="inlineStr">
        <is>
          <t>Example 12</t>
        </is>
      </c>
      <c r="E41" s="8" t="inlineStr">
        <is>
          <t>FFKM</t>
        </is>
      </c>
      <c r="F41" s="8" t="inlineStr">
        <is>
          <t>TFE/perfluoroalkyl vinyl ether/cyano-group monomer 59.4/40.1/0.5 mol (Daikin)</t>
        </is>
      </c>
      <c r="G41" s="8" t="inlineStr">
        <is>
          <t>nitrile_other</t>
        </is>
      </c>
      <c r="H41" s="8" t="n">
        <v>100</v>
      </c>
      <c r="I41" s="8" t="n">
        <v>20</v>
      </c>
      <c r="J41" s="8" t="n">
        <v>0</v>
      </c>
      <c r="K41" s="8" t="n">
        <v>0</v>
      </c>
      <c r="L41" s="8" t="n">
        <v>0</v>
      </c>
      <c r="M41" s="8" t="n">
        <v>0</v>
      </c>
      <c r="N41" s="8" t="n">
        <v>0</v>
      </c>
      <c r="O41" s="8" t="n">
        <v>0</v>
      </c>
      <c r="P41" s="8" t="n">
        <v>0</v>
      </c>
      <c r="Q41" s="8" t="n">
        <v>0</v>
      </c>
      <c r="R41" s="8" t="n">
        <v>0</v>
      </c>
      <c r="S41" s="8" t="n">
        <v>0.8</v>
      </c>
      <c r="T41" s="8" t="n">
        <v>0</v>
      </c>
      <c r="U41" s="8" t="n">
        <v>0</v>
      </c>
      <c r="V41" s="8" t="n">
        <v>0</v>
      </c>
      <c r="W41" s="8" t="n"/>
      <c r="X41" s="8" t="n">
        <v>19.52</v>
      </c>
      <c r="Y41" s="8" t="n">
        <v>273</v>
      </c>
      <c r="Z41" s="8" t="n">
        <v>5</v>
      </c>
      <c r="AA41" s="8" t="n">
        <v>38</v>
      </c>
      <c r="AB41" s="8" t="inlineStr">
        <is>
          <t>300C x 70h, AS-568A-214 O-ring (JIS K6262)</t>
        </is>
      </c>
      <c r="AC41" s="4" t="n">
        <v>300</v>
      </c>
      <c r="AD41" s="4">
        <f>I41+J41+K41+L41+M41+N41+O41+P41</f>
        <v/>
      </c>
      <c r="AE41" s="4" t="n">
        <v>0</v>
      </c>
      <c r="AF41" s="4" t="n">
        <v>1</v>
      </c>
      <c r="AG41" s="4" t="n">
        <v>1</v>
      </c>
      <c r="AH41" s="4" t="n">
        <v>1</v>
      </c>
      <c r="AI41" s="4" t="n">
        <v>1</v>
      </c>
    </row>
    <row r="42">
      <c r="A42" s="4" t="inlineStr">
        <is>
          <t>G041</t>
        </is>
      </c>
      <c r="B42" s="8" t="inlineStr">
        <is>
          <t>US8173727B2</t>
        </is>
      </c>
      <c r="C42" s="8" t="inlineStr">
        <is>
          <t>Daikin Industries, Ltd.</t>
        </is>
      </c>
      <c r="D42" s="8" t="inlineStr">
        <is>
          <t>Example 13</t>
        </is>
      </c>
      <c r="E42" s="8" t="inlineStr">
        <is>
          <t>FFKM</t>
        </is>
      </c>
      <c r="F42" s="8" t="inlineStr">
        <is>
          <t>TFE/perfluoroalkyl vinyl ether/cyano-group monomer 59.4/40.1/0.5 mol (Daikin)</t>
        </is>
      </c>
      <c r="G42" s="8" t="inlineStr">
        <is>
          <t>nitrile_other</t>
        </is>
      </c>
      <c r="H42" s="8" t="n">
        <v>100</v>
      </c>
      <c r="I42" s="8" t="n">
        <v>0</v>
      </c>
      <c r="J42" s="8" t="n">
        <v>15</v>
      </c>
      <c r="K42" s="8" t="n">
        <v>0</v>
      </c>
      <c r="L42" s="8" t="n">
        <v>0</v>
      </c>
      <c r="M42" s="8" t="n">
        <v>0</v>
      </c>
      <c r="N42" s="8" t="n">
        <v>0</v>
      </c>
      <c r="O42" s="8" t="n">
        <v>0</v>
      </c>
      <c r="P42" s="8" t="n">
        <v>0</v>
      </c>
      <c r="Q42" s="8" t="n">
        <v>0</v>
      </c>
      <c r="R42" s="8" t="n">
        <v>0</v>
      </c>
      <c r="S42" s="8" t="n">
        <v>1.2</v>
      </c>
      <c r="T42" s="8" t="n">
        <v>0</v>
      </c>
      <c r="U42" s="8" t="n">
        <v>0</v>
      </c>
      <c r="V42" s="8" t="n">
        <v>0</v>
      </c>
      <c r="W42" s="8" t="n"/>
      <c r="X42" s="8" t="n">
        <v>13.34</v>
      </c>
      <c r="Y42" s="8" t="n">
        <v>275</v>
      </c>
      <c r="Z42" s="8" t="n">
        <v>4.9</v>
      </c>
      <c r="AA42" s="8" t="n"/>
      <c r="AB42" s="8" t="inlineStr">
        <is>
          <t>300C x 70h, AS-568A-214 O-ring (JIS K6262)</t>
        </is>
      </c>
      <c r="AC42" s="4" t="n">
        <v>300</v>
      </c>
      <c r="AD42" s="4">
        <f>I42+J42+K42+L42+M42+N42+O42+P42</f>
        <v/>
      </c>
      <c r="AE42" s="4" t="n">
        <v>0</v>
      </c>
      <c r="AF42" s="4" t="n">
        <v>1</v>
      </c>
      <c r="AG42" s="4" t="n">
        <v>1</v>
      </c>
      <c r="AH42" s="4" t="n">
        <v>1</v>
      </c>
      <c r="AI42" s="4" t="n">
        <v>0</v>
      </c>
    </row>
    <row r="43">
      <c r="A43" s="4" t="inlineStr">
        <is>
          <t>G042</t>
        </is>
      </c>
      <c r="B43" s="8" t="inlineStr">
        <is>
          <t>US8173727B2</t>
        </is>
      </c>
      <c r="C43" s="8" t="inlineStr">
        <is>
          <t>Daikin Industries, Ltd.</t>
        </is>
      </c>
      <c r="D43" s="8" t="inlineStr">
        <is>
          <t>Example 14</t>
        </is>
      </c>
      <c r="E43" s="8" t="inlineStr">
        <is>
          <t>FFKM</t>
        </is>
      </c>
      <c r="F43" s="8" t="inlineStr">
        <is>
          <t>TFE/perfluoroalkyl vinyl ether/cyano-group monomer 59.4/40.1/0.5 mol (Daikin)</t>
        </is>
      </c>
      <c r="G43" s="8" t="inlineStr">
        <is>
          <t>nitrile_other</t>
        </is>
      </c>
      <c r="H43" s="8" t="n">
        <v>100</v>
      </c>
      <c r="I43" s="8" t="n">
        <v>0</v>
      </c>
      <c r="J43" s="8" t="n">
        <v>0</v>
      </c>
      <c r="K43" s="8" t="n">
        <v>15</v>
      </c>
      <c r="L43" s="8" t="n">
        <v>0</v>
      </c>
      <c r="M43" s="8" t="n">
        <v>0</v>
      </c>
      <c r="N43" s="8" t="n">
        <v>0</v>
      </c>
      <c r="O43" s="8" t="n">
        <v>0</v>
      </c>
      <c r="P43" s="8" t="n">
        <v>0</v>
      </c>
      <c r="Q43" s="8" t="n">
        <v>0</v>
      </c>
      <c r="R43" s="8" t="n">
        <v>0</v>
      </c>
      <c r="S43" s="8" t="n">
        <v>1.2</v>
      </c>
      <c r="T43" s="8" t="n">
        <v>0</v>
      </c>
      <c r="U43" s="8" t="n">
        <v>0</v>
      </c>
      <c r="V43" s="8" t="n">
        <v>0</v>
      </c>
      <c r="W43" s="8" t="n"/>
      <c r="X43" s="8" t="n">
        <v>15.79</v>
      </c>
      <c r="Y43" s="8" t="n">
        <v>307</v>
      </c>
      <c r="Z43" s="8" t="n">
        <v>2.26</v>
      </c>
      <c r="AA43" s="8" t="n">
        <v>45</v>
      </c>
      <c r="AB43" s="8" t="inlineStr">
        <is>
          <t>300C x 70h, AS-568A-214 O-ring (JIS K6262)</t>
        </is>
      </c>
      <c r="AC43" s="4" t="n">
        <v>300</v>
      </c>
      <c r="AD43" s="4">
        <f>I43+J43+K43+L43+M43+N43+O43+P43</f>
        <v/>
      </c>
      <c r="AE43" s="4" t="n">
        <v>0</v>
      </c>
      <c r="AF43" s="4" t="n">
        <v>1</v>
      </c>
      <c r="AG43" s="4" t="n">
        <v>1</v>
      </c>
      <c r="AH43" s="4" t="n">
        <v>1</v>
      </c>
      <c r="AI43" s="4" t="n">
        <v>1</v>
      </c>
    </row>
    <row r="44">
      <c r="A44" s="4" t="inlineStr">
        <is>
          <t>G043</t>
        </is>
      </c>
      <c r="B44" s="8" t="inlineStr">
        <is>
          <t>US8211964B2</t>
        </is>
      </c>
      <c r="C44" s="8" t="inlineStr">
        <is>
          <t>Daikin Industries, Ltd.</t>
        </is>
      </c>
      <c r="D44" s="8" t="inlineStr">
        <is>
          <t>Example 2</t>
        </is>
      </c>
      <c r="E44" s="8" t="inlineStr">
        <is>
          <t>FFKM</t>
        </is>
      </c>
      <c r="F44" s="8" t="inlineStr">
        <is>
          <t>TFE/PMVE/CNVE (CF2=CFOCF2CF(CF3)OCF2CF2CN) elastomer with cyano end groups (Preparation Example 1)</t>
        </is>
      </c>
      <c r="G44" s="8" t="inlineStr">
        <is>
          <t>nitrile_triazine</t>
        </is>
      </c>
      <c r="H44" s="8" t="n">
        <v>100</v>
      </c>
      <c r="I44" s="8" t="n">
        <v>0</v>
      </c>
      <c r="J44" s="8" t="n">
        <v>0</v>
      </c>
      <c r="K44" s="8" t="n">
        <v>0</v>
      </c>
      <c r="L44" s="8" t="n">
        <v>0</v>
      </c>
      <c r="M44" s="8" t="n">
        <v>0</v>
      </c>
      <c r="N44" s="8" t="n">
        <v>0</v>
      </c>
      <c r="O44" s="8" t="n">
        <v>0</v>
      </c>
      <c r="P44" s="8" t="n">
        <v>0</v>
      </c>
      <c r="Q44" s="8" t="n">
        <v>0</v>
      </c>
      <c r="R44" s="8" t="n">
        <v>0</v>
      </c>
      <c r="S44" s="8" t="n">
        <v>0.35</v>
      </c>
      <c r="T44" s="8" t="n">
        <v>0</v>
      </c>
      <c r="U44" s="8" t="n">
        <v>0</v>
      </c>
      <c r="V44" s="8" t="n">
        <v>0</v>
      </c>
      <c r="W44" s="8" t="n">
        <v>57.2</v>
      </c>
      <c r="X44" s="8" t="n">
        <v>9.32</v>
      </c>
      <c r="Y44" s="8" t="n">
        <v>295</v>
      </c>
      <c r="Z44" s="8" t="n">
        <v>1.18</v>
      </c>
      <c r="AA44" s="8" t="n">
        <v>18</v>
      </c>
      <c r="AB44" s="8" t="inlineStr">
        <is>
          <t>200C x 72h, AS-568A-214 O-ring</t>
        </is>
      </c>
      <c r="AC44" s="4" t="n">
        <v>200</v>
      </c>
      <c r="AD44" s="4">
        <f>I44+J44+K44+L44+M44+N44+O44+P44</f>
        <v/>
      </c>
      <c r="AE44" s="4" t="n">
        <v>1</v>
      </c>
      <c r="AF44" s="4" t="n">
        <v>1</v>
      </c>
      <c r="AG44" s="4" t="n">
        <v>1</v>
      </c>
      <c r="AH44" s="4" t="n">
        <v>1</v>
      </c>
      <c r="AI44" s="4" t="n">
        <v>1</v>
      </c>
    </row>
    <row r="45">
      <c r="A45" s="4" t="inlineStr">
        <is>
          <t>G044</t>
        </is>
      </c>
      <c r="B45" s="8" t="inlineStr">
        <is>
          <t>US8211964B2</t>
        </is>
      </c>
      <c r="C45" s="8" t="inlineStr">
        <is>
          <t>Daikin Industries, Ltd.</t>
        </is>
      </c>
      <c r="D45" s="8" t="inlineStr">
        <is>
          <t>Example 3</t>
        </is>
      </c>
      <c r="E45" s="8" t="inlineStr">
        <is>
          <t>FFKM</t>
        </is>
      </c>
      <c r="F45" s="8" t="inlineStr">
        <is>
          <t>TFE/PMVE/CNVE (CF2=CFOCF2CF(CF3)OCF2CF2CN) elastomer with cyano end groups (Preparation Example 1)</t>
        </is>
      </c>
      <c r="G45" s="8" t="inlineStr">
        <is>
          <t>nitrile_triazine</t>
        </is>
      </c>
      <c r="H45" s="8" t="n">
        <v>100</v>
      </c>
      <c r="I45" s="8" t="n">
        <v>0</v>
      </c>
      <c r="J45" s="8" t="n">
        <v>0</v>
      </c>
      <c r="K45" s="8" t="n">
        <v>0</v>
      </c>
      <c r="L45" s="8" t="n">
        <v>0</v>
      </c>
      <c r="M45" s="8" t="n">
        <v>0</v>
      </c>
      <c r="N45" s="8" t="n">
        <v>0</v>
      </c>
      <c r="O45" s="8" t="n">
        <v>0</v>
      </c>
      <c r="P45" s="8" t="n">
        <v>0</v>
      </c>
      <c r="Q45" s="8" t="n">
        <v>0</v>
      </c>
      <c r="R45" s="8" t="n">
        <v>0</v>
      </c>
      <c r="S45" s="8" t="n">
        <v>0.4</v>
      </c>
      <c r="T45" s="8" t="n">
        <v>0</v>
      </c>
      <c r="U45" s="8" t="n">
        <v>0</v>
      </c>
      <c r="V45" s="8" t="n">
        <v>0</v>
      </c>
      <c r="W45" s="8" t="n">
        <v>58</v>
      </c>
      <c r="X45" s="8" t="n">
        <v>10</v>
      </c>
      <c r="Y45" s="8" t="n">
        <v>265</v>
      </c>
      <c r="Z45" s="8" t="n">
        <v>1.37</v>
      </c>
      <c r="AA45" s="8" t="n">
        <v>17</v>
      </c>
      <c r="AB45" s="8" t="inlineStr">
        <is>
          <t>200C x 72h, AS-568A-214 O-ring</t>
        </is>
      </c>
      <c r="AC45" s="4" t="n">
        <v>200</v>
      </c>
      <c r="AD45" s="4">
        <f>I45+J45+K45+L45+M45+N45+O45+P45</f>
        <v/>
      </c>
      <c r="AE45" s="4" t="n">
        <v>1</v>
      </c>
      <c r="AF45" s="4" t="n">
        <v>1</v>
      </c>
      <c r="AG45" s="4" t="n">
        <v>1</v>
      </c>
      <c r="AH45" s="4" t="n">
        <v>1</v>
      </c>
      <c r="AI45" s="4" t="n">
        <v>1</v>
      </c>
    </row>
    <row r="46">
      <c r="A46" s="4" t="inlineStr">
        <is>
          <t>G045</t>
        </is>
      </c>
      <c r="B46" s="8" t="inlineStr">
        <is>
          <t>US8211964B2</t>
        </is>
      </c>
      <c r="C46" s="8" t="inlineStr">
        <is>
          <t>Daikin Industries, Ltd.</t>
        </is>
      </c>
      <c r="D46" s="8" t="inlineStr">
        <is>
          <t>Example 4</t>
        </is>
      </c>
      <c r="E46" s="8" t="inlineStr">
        <is>
          <t>FFKM</t>
        </is>
      </c>
      <c r="F46" s="8" t="inlineStr">
        <is>
          <t>TFE/PMVE/CNVE (CF2=CFOCF2CF(CF3)OCF2CF2CN) elastomer with cyano end groups (Preparation Example 1)</t>
        </is>
      </c>
      <c r="G46" s="8" t="inlineStr">
        <is>
          <t>nitrile_triazine</t>
        </is>
      </c>
      <c r="H46" s="8" t="n">
        <v>100</v>
      </c>
      <c r="I46" s="8" t="n">
        <v>0</v>
      </c>
      <c r="J46" s="8" t="n">
        <v>0</v>
      </c>
      <c r="K46" s="8" t="n">
        <v>0</v>
      </c>
      <c r="L46" s="8" t="n">
        <v>0</v>
      </c>
      <c r="M46" s="8" t="n">
        <v>0</v>
      </c>
      <c r="N46" s="8" t="n">
        <v>0</v>
      </c>
      <c r="O46" s="8" t="n">
        <v>20</v>
      </c>
      <c r="P46" s="8" t="n">
        <v>0</v>
      </c>
      <c r="Q46" s="8" t="n">
        <v>0</v>
      </c>
      <c r="R46" s="8" t="n">
        <v>0</v>
      </c>
      <c r="S46" s="8" t="n">
        <v>0</v>
      </c>
      <c r="T46" s="8" t="n">
        <v>0</v>
      </c>
      <c r="U46" s="8" t="n">
        <v>0</v>
      </c>
      <c r="V46" s="8" t="n">
        <v>0</v>
      </c>
      <c r="W46" s="8" t="n">
        <v>76</v>
      </c>
      <c r="X46" s="8" t="n">
        <v>12.75</v>
      </c>
      <c r="Y46" s="8" t="n">
        <v>180</v>
      </c>
      <c r="Z46" s="8" t="n">
        <v>5</v>
      </c>
      <c r="AA46" s="8" t="n">
        <v>42</v>
      </c>
      <c r="AB46" s="8" t="inlineStr">
        <is>
          <t>250C x 72h, AS-568A-214 O-ring</t>
        </is>
      </c>
      <c r="AC46" s="4" t="n">
        <v>250</v>
      </c>
      <c r="AD46" s="4">
        <f>I46+J46+K46+L46+M46+N46+O46+P46</f>
        <v/>
      </c>
      <c r="AE46" s="4" t="n">
        <v>1</v>
      </c>
      <c r="AF46" s="4" t="n">
        <v>1</v>
      </c>
      <c r="AG46" s="4" t="n">
        <v>1</v>
      </c>
      <c r="AH46" s="4" t="n">
        <v>1</v>
      </c>
      <c r="AI46" s="4" t="n">
        <v>1</v>
      </c>
    </row>
    <row r="47">
      <c r="A47" s="4" t="inlineStr">
        <is>
          <t>G046</t>
        </is>
      </c>
      <c r="B47" s="8" t="inlineStr">
        <is>
          <t>US8211964B2</t>
        </is>
      </c>
      <c r="C47" s="8" t="inlineStr">
        <is>
          <t>Daikin Industries, Ltd.</t>
        </is>
      </c>
      <c r="D47" s="8" t="inlineStr">
        <is>
          <t>Example 5</t>
        </is>
      </c>
      <c r="E47" s="8" t="inlineStr">
        <is>
          <t>FFKM</t>
        </is>
      </c>
      <c r="F47" s="8" t="inlineStr">
        <is>
          <t>TFE/PMVE/CNVE (CF2=CFOCF2CF(CF3)OCF2CF2CN) elastomer with cyano end groups (Preparation Example 1)</t>
        </is>
      </c>
      <c r="G47" s="8" t="inlineStr">
        <is>
          <t>nitrile_triazine</t>
        </is>
      </c>
      <c r="H47" s="8" t="n">
        <v>100</v>
      </c>
      <c r="I47" s="8" t="n">
        <v>0</v>
      </c>
      <c r="J47" s="8" t="n">
        <v>0</v>
      </c>
      <c r="K47" s="8" t="n">
        <v>0</v>
      </c>
      <c r="L47" s="8" t="n">
        <v>0</v>
      </c>
      <c r="M47" s="8" t="n">
        <v>0</v>
      </c>
      <c r="N47" s="8" t="n">
        <v>0</v>
      </c>
      <c r="O47" s="8" t="n">
        <v>20</v>
      </c>
      <c r="P47" s="8" t="n">
        <v>0</v>
      </c>
      <c r="Q47" s="8" t="n">
        <v>0</v>
      </c>
      <c r="R47" s="8" t="n">
        <v>0</v>
      </c>
      <c r="S47" s="8" t="n">
        <v>0</v>
      </c>
      <c r="T47" s="8" t="n">
        <v>0</v>
      </c>
      <c r="U47" s="8" t="n">
        <v>0</v>
      </c>
      <c r="V47" s="8" t="n">
        <v>0</v>
      </c>
      <c r="W47" s="8" t="n">
        <v>78</v>
      </c>
      <c r="X47" s="8" t="n">
        <v>11.77</v>
      </c>
      <c r="Y47" s="8" t="n">
        <v>170</v>
      </c>
      <c r="Z47" s="8" t="n">
        <v>4.9</v>
      </c>
      <c r="AA47" s="8" t="n">
        <v>48</v>
      </c>
      <c r="AB47" s="8" t="inlineStr">
        <is>
          <t>250C x 72h, AS-568A-214 O-ring</t>
        </is>
      </c>
      <c r="AC47" s="4" t="n">
        <v>250</v>
      </c>
      <c r="AD47" s="4">
        <f>I47+J47+K47+L47+M47+N47+O47+P47</f>
        <v/>
      </c>
      <c r="AE47" s="4" t="n">
        <v>1</v>
      </c>
      <c r="AF47" s="4" t="n">
        <v>1</v>
      </c>
      <c r="AG47" s="4" t="n">
        <v>1</v>
      </c>
      <c r="AH47" s="4" t="n">
        <v>1</v>
      </c>
      <c r="AI47" s="4" t="n">
        <v>1</v>
      </c>
    </row>
    <row r="48">
      <c r="A48" s="4" t="inlineStr">
        <is>
          <t>G047</t>
        </is>
      </c>
      <c r="B48" s="8" t="inlineStr">
        <is>
          <t>US8211964B2</t>
        </is>
      </c>
      <c r="C48" s="8" t="inlineStr">
        <is>
          <t>Daikin Industries, Ltd.</t>
        </is>
      </c>
      <c r="D48" s="8" t="inlineStr">
        <is>
          <t>Example 6</t>
        </is>
      </c>
      <c r="E48" s="8" t="inlineStr">
        <is>
          <t>FFKM</t>
        </is>
      </c>
      <c r="F48" s="8" t="inlineStr">
        <is>
          <t>TFE/PMVE/CNVE (CF2=CFOCF2CF(CF3)OCF2CF2CN) elastomer with cyano end groups (Preparation Example 1)</t>
        </is>
      </c>
      <c r="G48" s="8" t="inlineStr">
        <is>
          <t>nitrile_other</t>
        </is>
      </c>
      <c r="H48" s="8" t="n">
        <v>100</v>
      </c>
      <c r="I48" s="8" t="n">
        <v>0</v>
      </c>
      <c r="J48" s="8" t="n">
        <v>0</v>
      </c>
      <c r="K48" s="8" t="n">
        <v>0</v>
      </c>
      <c r="L48" s="8" t="n">
        <v>0</v>
      </c>
      <c r="M48" s="8" t="n">
        <v>0</v>
      </c>
      <c r="N48" s="8" t="n">
        <v>0</v>
      </c>
      <c r="O48" s="8" t="n">
        <v>0</v>
      </c>
      <c r="P48" s="8" t="n">
        <v>15</v>
      </c>
      <c r="Q48" s="8" t="n">
        <v>0</v>
      </c>
      <c r="R48" s="8" t="n">
        <v>0</v>
      </c>
      <c r="S48" s="8" t="n">
        <v>1.3</v>
      </c>
      <c r="T48" s="8" t="n">
        <v>0</v>
      </c>
      <c r="U48" s="8" t="n">
        <v>0</v>
      </c>
      <c r="V48" s="8" t="n">
        <v>0</v>
      </c>
      <c r="W48" s="8" t="n">
        <v>73</v>
      </c>
      <c r="X48" s="8" t="n">
        <v>13.04</v>
      </c>
      <c r="Y48" s="8" t="n">
        <v>234</v>
      </c>
      <c r="Z48" s="8" t="n">
        <v>5.2</v>
      </c>
      <c r="AA48" s="8" t="n">
        <v>24</v>
      </c>
      <c r="AB48" s="8" t="inlineStr">
        <is>
          <t>300C x 72h, AS-568A-214 O-ring</t>
        </is>
      </c>
      <c r="AC48" s="4" t="n">
        <v>300</v>
      </c>
      <c r="AD48" s="4">
        <f>I48+J48+K48+L48+M48+N48+O48+P48</f>
        <v/>
      </c>
      <c r="AE48" s="4" t="n">
        <v>1</v>
      </c>
      <c r="AF48" s="4" t="n">
        <v>1</v>
      </c>
      <c r="AG48" s="4" t="n">
        <v>1</v>
      </c>
      <c r="AH48" s="4" t="n">
        <v>1</v>
      </c>
      <c r="AI48" s="4" t="n">
        <v>1</v>
      </c>
    </row>
    <row r="49">
      <c r="A49" s="4" t="inlineStr">
        <is>
          <t>G048</t>
        </is>
      </c>
      <c r="B49" s="8" t="inlineStr">
        <is>
          <t>US8211964B2</t>
        </is>
      </c>
      <c r="C49" s="8" t="inlineStr">
        <is>
          <t>Daikin Industries, Ltd.</t>
        </is>
      </c>
      <c r="D49" s="8" t="inlineStr">
        <is>
          <t>Comparative Example 1</t>
        </is>
      </c>
      <c r="E49" s="8" t="inlineStr">
        <is>
          <t>FFKM</t>
        </is>
      </c>
      <c r="F49" s="8" t="inlineStr">
        <is>
          <t>TFE/PMVE/CNVE (CF2=CFOCF2CF(CF3)OCF2CF2CN) elastomer with cyano end groups (Preparation Example 1)</t>
        </is>
      </c>
      <c r="G49" s="8" t="inlineStr">
        <is>
          <t>nitrile_other</t>
        </is>
      </c>
      <c r="H49" s="8" t="n">
        <v>100</v>
      </c>
      <c r="I49" s="8" t="n">
        <v>0</v>
      </c>
      <c r="J49" s="8" t="n">
        <v>0</v>
      </c>
      <c r="K49" s="8" t="n">
        <v>0</v>
      </c>
      <c r="L49" s="8" t="n">
        <v>0</v>
      </c>
      <c r="M49" s="8" t="n">
        <v>0</v>
      </c>
      <c r="N49" s="8" t="n">
        <v>0</v>
      </c>
      <c r="O49" s="8" t="n">
        <v>0</v>
      </c>
      <c r="P49" s="8" t="n">
        <v>15</v>
      </c>
      <c r="Q49" s="8" t="n">
        <v>0</v>
      </c>
      <c r="R49" s="8" t="n">
        <v>0</v>
      </c>
      <c r="S49" s="8" t="n">
        <v>1.2</v>
      </c>
      <c r="T49" s="8" t="n">
        <v>0</v>
      </c>
      <c r="U49" s="8" t="n">
        <v>0</v>
      </c>
      <c r="V49" s="8" t="n">
        <v>0</v>
      </c>
      <c r="W49" s="8" t="n">
        <v>73</v>
      </c>
      <c r="X49" s="8" t="n">
        <v>12.85</v>
      </c>
      <c r="Y49" s="8" t="n">
        <v>256</v>
      </c>
      <c r="Z49" s="8" t="n">
        <v>4.9</v>
      </c>
      <c r="AA49" s="8" t="n">
        <v>31</v>
      </c>
      <c r="AB49" s="8" t="inlineStr">
        <is>
          <t>300C x 72h, AS-568A-214 O-ring</t>
        </is>
      </c>
      <c r="AC49" s="4" t="n">
        <v>300</v>
      </c>
      <c r="AD49" s="4">
        <f>I49+J49+K49+L49+M49+N49+O49+P49</f>
        <v/>
      </c>
      <c r="AE49" s="4" t="n">
        <v>1</v>
      </c>
      <c r="AF49" s="4" t="n">
        <v>1</v>
      </c>
      <c r="AG49" s="4" t="n">
        <v>1</v>
      </c>
      <c r="AH49" s="4" t="n">
        <v>1</v>
      </c>
      <c r="AI49" s="4" t="n">
        <v>1</v>
      </c>
    </row>
    <row r="50">
      <c r="A50" s="4" t="inlineStr">
        <is>
          <t>G049</t>
        </is>
      </c>
      <c r="B50" s="8" t="inlineStr">
        <is>
          <t>US8211964B2</t>
        </is>
      </c>
      <c r="C50" s="8" t="inlineStr">
        <is>
          <t>Daikin Industries, Ltd.</t>
        </is>
      </c>
      <c r="D50" s="8" t="inlineStr">
        <is>
          <t>Example 7</t>
        </is>
      </c>
      <c r="E50" s="8" t="inlineStr">
        <is>
          <t>FFKM</t>
        </is>
      </c>
      <c r="F50" s="8" t="inlineStr">
        <is>
          <t>TFE/PMVE/CNVE (CF2=CFOCF2CF(CF3)OCF2CF2CN) elastomer with cyano end groups (Preparation Example 1)</t>
        </is>
      </c>
      <c r="G50" s="8" t="inlineStr">
        <is>
          <t>nitrile_other</t>
        </is>
      </c>
      <c r="H50" s="8" t="n">
        <v>100</v>
      </c>
      <c r="I50" s="8" t="n">
        <v>0</v>
      </c>
      <c r="J50" s="8" t="n">
        <v>10</v>
      </c>
      <c r="K50" s="8" t="n">
        <v>0</v>
      </c>
      <c r="L50" s="8" t="n">
        <v>0</v>
      </c>
      <c r="M50" s="8" t="n">
        <v>0</v>
      </c>
      <c r="N50" s="8" t="n">
        <v>0</v>
      </c>
      <c r="O50" s="8" t="n">
        <v>0</v>
      </c>
      <c r="P50" s="8" t="n">
        <v>0</v>
      </c>
      <c r="Q50" s="8" t="n">
        <v>0</v>
      </c>
      <c r="R50" s="8" t="n">
        <v>0</v>
      </c>
      <c r="S50" s="8" t="n">
        <v>1.3</v>
      </c>
      <c r="T50" s="8" t="n">
        <v>0</v>
      </c>
      <c r="U50" s="8" t="n">
        <v>0</v>
      </c>
      <c r="V50" s="8" t="n">
        <v>0</v>
      </c>
      <c r="W50" s="8" t="n">
        <v>77</v>
      </c>
      <c r="X50" s="8" t="n">
        <v>17.65</v>
      </c>
      <c r="Y50" s="8" t="n">
        <v>310</v>
      </c>
      <c r="Z50" s="8" t="n">
        <v>5</v>
      </c>
      <c r="AA50" s="8" t="n">
        <v>53</v>
      </c>
      <c r="AB50" s="8" t="inlineStr">
        <is>
          <t>300C x 72h, AS-568A-214 O-ring</t>
        </is>
      </c>
      <c r="AC50" s="4" t="n">
        <v>300</v>
      </c>
      <c r="AD50" s="4">
        <f>I50+J50+K50+L50+M50+N50+O50+P50</f>
        <v/>
      </c>
      <c r="AE50" s="4" t="n">
        <v>1</v>
      </c>
      <c r="AF50" s="4" t="n">
        <v>1</v>
      </c>
      <c r="AG50" s="4" t="n">
        <v>1</v>
      </c>
      <c r="AH50" s="4" t="n">
        <v>1</v>
      </c>
      <c r="AI50" s="4" t="n">
        <v>1</v>
      </c>
    </row>
    <row r="51">
      <c r="A51" s="4" t="inlineStr">
        <is>
          <t>G050</t>
        </is>
      </c>
      <c r="B51" s="8" t="inlineStr">
        <is>
          <t>US8211964B2</t>
        </is>
      </c>
      <c r="C51" s="8" t="inlineStr">
        <is>
          <t>Daikin Industries, Ltd.</t>
        </is>
      </c>
      <c r="D51" s="8" t="inlineStr">
        <is>
          <t>Comparative Example 2</t>
        </is>
      </c>
      <c r="E51" s="8" t="inlineStr">
        <is>
          <t>FFKM</t>
        </is>
      </c>
      <c r="F51" s="8" t="inlineStr">
        <is>
          <t>TFE/PMVE/CNVE (CF2=CFOCF2CF(CF3)OCF2CF2CN) elastomer with cyano end groups (Preparation Example 1)</t>
        </is>
      </c>
      <c r="G51" s="8" t="inlineStr">
        <is>
          <t>nitrile_other</t>
        </is>
      </c>
      <c r="H51" s="8" t="n">
        <v>100</v>
      </c>
      <c r="I51" s="8" t="n">
        <v>0</v>
      </c>
      <c r="J51" s="8" t="n">
        <v>10</v>
      </c>
      <c r="K51" s="8" t="n">
        <v>0</v>
      </c>
      <c r="L51" s="8" t="n">
        <v>0</v>
      </c>
      <c r="M51" s="8" t="n">
        <v>0</v>
      </c>
      <c r="N51" s="8" t="n">
        <v>0</v>
      </c>
      <c r="O51" s="8" t="n">
        <v>0</v>
      </c>
      <c r="P51" s="8" t="n">
        <v>0</v>
      </c>
      <c r="Q51" s="8" t="n">
        <v>0</v>
      </c>
      <c r="R51" s="8" t="n">
        <v>0</v>
      </c>
      <c r="S51" s="8" t="n">
        <v>1.2</v>
      </c>
      <c r="T51" s="8" t="n">
        <v>0</v>
      </c>
      <c r="U51" s="8" t="n">
        <v>0</v>
      </c>
      <c r="V51" s="8" t="n">
        <v>0</v>
      </c>
      <c r="W51" s="8" t="n">
        <v>75</v>
      </c>
      <c r="X51" s="8" t="n">
        <v>17.06</v>
      </c>
      <c r="Y51" s="8" t="n">
        <v>288</v>
      </c>
      <c r="Z51" s="8" t="n">
        <v>5.1</v>
      </c>
      <c r="AA51" s="8" t="n">
        <v>72</v>
      </c>
      <c r="AB51" s="8" t="inlineStr">
        <is>
          <t>300C x 72h, AS-568A-214 O-ring</t>
        </is>
      </c>
      <c r="AC51" s="4" t="n">
        <v>300</v>
      </c>
      <c r="AD51" s="4">
        <f>I51+J51+K51+L51+M51+N51+O51+P51</f>
        <v/>
      </c>
      <c r="AE51" s="4" t="n">
        <v>1</v>
      </c>
      <c r="AF51" s="4" t="n">
        <v>1</v>
      </c>
      <c r="AG51" s="4" t="n">
        <v>1</v>
      </c>
      <c r="AH51" s="4" t="n">
        <v>1</v>
      </c>
      <c r="AI51" s="4" t="n">
        <v>1</v>
      </c>
    </row>
    <row r="52">
      <c r="A52" s="4" t="inlineStr">
        <is>
          <t>G051</t>
        </is>
      </c>
      <c r="B52" s="8" t="inlineStr">
        <is>
          <t>US8211964B2</t>
        </is>
      </c>
      <c r="C52" s="8" t="inlineStr">
        <is>
          <t>Daikin Industries, Ltd.</t>
        </is>
      </c>
      <c r="D52" s="8" t="inlineStr">
        <is>
          <t>Example 8</t>
        </is>
      </c>
      <c r="E52" s="8" t="inlineStr">
        <is>
          <t>FFKM</t>
        </is>
      </c>
      <c r="F52" s="8" t="inlineStr">
        <is>
          <t>TFE/PMVE/CNVE (CF2=CFOCF2CF(CF3)OCF2CF2CN) elastomer with cyano end groups (Preparation Example 1)</t>
        </is>
      </c>
      <c r="G52" s="8" t="inlineStr">
        <is>
          <t>nitrile_other</t>
        </is>
      </c>
      <c r="H52" s="8" t="n">
        <v>100</v>
      </c>
      <c r="I52" s="8" t="n">
        <v>20</v>
      </c>
      <c r="J52" s="8" t="n">
        <v>0</v>
      </c>
      <c r="K52" s="8" t="n">
        <v>0</v>
      </c>
      <c r="L52" s="8" t="n">
        <v>0</v>
      </c>
      <c r="M52" s="8" t="n">
        <v>0</v>
      </c>
      <c r="N52" s="8" t="n">
        <v>0</v>
      </c>
      <c r="O52" s="8" t="n">
        <v>5</v>
      </c>
      <c r="P52" s="8" t="n">
        <v>0</v>
      </c>
      <c r="Q52" s="8" t="n">
        <v>0</v>
      </c>
      <c r="R52" s="8" t="n">
        <v>0</v>
      </c>
      <c r="S52" s="8" t="n">
        <v>1</v>
      </c>
      <c r="T52" s="8" t="n">
        <v>0</v>
      </c>
      <c r="U52" s="8" t="n">
        <v>0</v>
      </c>
      <c r="V52" s="8" t="n">
        <v>0</v>
      </c>
      <c r="W52" s="8" t="n">
        <v>83</v>
      </c>
      <c r="X52" s="8" t="n">
        <v>18.63</v>
      </c>
      <c r="Y52" s="8" t="n">
        <v>205</v>
      </c>
      <c r="Z52" s="8" t="n">
        <v>6.37</v>
      </c>
      <c r="AA52" s="8" t="n">
        <v>32</v>
      </c>
      <c r="AB52" s="8" t="inlineStr">
        <is>
          <t>300C x 72h, AS-568A-214 O-ring</t>
        </is>
      </c>
      <c r="AC52" s="4" t="n">
        <v>300</v>
      </c>
      <c r="AD52" s="4">
        <f>I52+J52+K52+L52+M52+N52+O52+P52</f>
        <v/>
      </c>
      <c r="AE52" s="4" t="n">
        <v>1</v>
      </c>
      <c r="AF52" s="4" t="n">
        <v>1</v>
      </c>
      <c r="AG52" s="4" t="n">
        <v>1</v>
      </c>
      <c r="AH52" s="4" t="n">
        <v>1</v>
      </c>
      <c r="AI52" s="4" t="n">
        <v>1</v>
      </c>
    </row>
    <row r="53">
      <c r="A53" s="4" t="inlineStr">
        <is>
          <t>G052</t>
        </is>
      </c>
      <c r="B53" s="8" t="inlineStr">
        <is>
          <t>US8211964B2</t>
        </is>
      </c>
      <c r="C53" s="8" t="inlineStr">
        <is>
          <t>Daikin Industries, Ltd.</t>
        </is>
      </c>
      <c r="D53" s="8" t="inlineStr">
        <is>
          <t>Comparative Example 3</t>
        </is>
      </c>
      <c r="E53" s="8" t="inlineStr">
        <is>
          <t>FFKM</t>
        </is>
      </c>
      <c r="F53" s="8" t="inlineStr">
        <is>
          <t>TFE/PMVE/CNVE (CF2=CFOCF2CF(CF3)OCF2CF2CN) elastomer with cyano end groups (Preparation Example 1)</t>
        </is>
      </c>
      <c r="G53" s="8" t="inlineStr">
        <is>
          <t>nitrile_other</t>
        </is>
      </c>
      <c r="H53" s="8" t="n">
        <v>100</v>
      </c>
      <c r="I53" s="8" t="n">
        <v>20</v>
      </c>
      <c r="J53" s="8" t="n">
        <v>0</v>
      </c>
      <c r="K53" s="8" t="n">
        <v>0</v>
      </c>
      <c r="L53" s="8" t="n">
        <v>0</v>
      </c>
      <c r="M53" s="8" t="n">
        <v>0</v>
      </c>
      <c r="N53" s="8" t="n">
        <v>0</v>
      </c>
      <c r="O53" s="8" t="n">
        <v>0</v>
      </c>
      <c r="P53" s="8" t="n">
        <v>0</v>
      </c>
      <c r="Q53" s="8" t="n">
        <v>0</v>
      </c>
      <c r="R53" s="8" t="n">
        <v>0</v>
      </c>
      <c r="S53" s="8" t="n">
        <v>1</v>
      </c>
      <c r="T53" s="8" t="n">
        <v>0</v>
      </c>
      <c r="U53" s="8" t="n">
        <v>0</v>
      </c>
      <c r="V53" s="8" t="n">
        <v>0</v>
      </c>
      <c r="W53" s="8" t="n">
        <v>73</v>
      </c>
      <c r="X53" s="8" t="n">
        <v>22.56</v>
      </c>
      <c r="Y53" s="8" t="n">
        <v>200</v>
      </c>
      <c r="Z53" s="8" t="n">
        <v>5.88</v>
      </c>
      <c r="AA53" s="8" t="n">
        <v>30</v>
      </c>
      <c r="AB53" s="8" t="inlineStr">
        <is>
          <t>300C x 72h, AS-568A-214 O-ring</t>
        </is>
      </c>
      <c r="AC53" s="4" t="n">
        <v>300</v>
      </c>
      <c r="AD53" s="4">
        <f>I53+J53+K53+L53+M53+N53+O53+P53</f>
        <v/>
      </c>
      <c r="AE53" s="4" t="n">
        <v>1</v>
      </c>
      <c r="AF53" s="4" t="n">
        <v>1</v>
      </c>
      <c r="AG53" s="4" t="n">
        <v>1</v>
      </c>
      <c r="AH53" s="4" t="n">
        <v>1</v>
      </c>
      <c r="AI53" s="4" t="n">
        <v>1</v>
      </c>
    </row>
    <row r="54">
      <c r="A54" s="4" t="inlineStr">
        <is>
          <t>G053</t>
        </is>
      </c>
      <c r="B54" s="8" t="inlineStr">
        <is>
          <t>US11753523B2</t>
        </is>
      </c>
      <c r="C54" s="8" t="inlineStr">
        <is>
          <t>Daikin Industries, Ltd.</t>
        </is>
      </c>
      <c r="D54" s="8" t="inlineStr">
        <is>
          <t>Example 1</t>
        </is>
      </c>
      <c r="E54" s="8" t="inlineStr">
        <is>
          <t>FFKM</t>
        </is>
      </c>
      <c r="F54" s="8" t="inlineStr">
        <is>
          <t>TFE/PMVE/CNVE 59.4/40.1/0.5 mol</t>
        </is>
      </c>
      <c r="G54" s="8" t="inlineStr">
        <is>
          <t>nitrile_other</t>
        </is>
      </c>
      <c r="H54" s="8" t="n">
        <v>100</v>
      </c>
      <c r="I54" s="8" t="n">
        <v>0</v>
      </c>
      <c r="J54" s="8" t="n">
        <v>0</v>
      </c>
      <c r="K54" s="8" t="n">
        <v>0</v>
      </c>
      <c r="L54" s="8" t="n">
        <v>0</v>
      </c>
      <c r="M54" s="8" t="n">
        <v>0</v>
      </c>
      <c r="N54" s="8" t="n">
        <v>0</v>
      </c>
      <c r="O54" s="8" t="n">
        <v>10</v>
      </c>
      <c r="P54" s="8" t="n">
        <v>0</v>
      </c>
      <c r="Q54" s="8" t="n">
        <v>0</v>
      </c>
      <c r="R54" s="8" t="n">
        <v>0</v>
      </c>
      <c r="S54" s="8" t="n">
        <v>0.9</v>
      </c>
      <c r="T54" s="8" t="n">
        <v>0</v>
      </c>
      <c r="U54" s="8" t="n">
        <v>0</v>
      </c>
      <c r="V54" s="8" t="n">
        <v>0</v>
      </c>
      <c r="W54" s="8" t="n">
        <v>72</v>
      </c>
      <c r="X54" s="8" t="n"/>
      <c r="Y54" s="8" t="n"/>
      <c r="Z54" s="8" t="n"/>
      <c r="AA54" s="8" t="n">
        <v>33</v>
      </c>
      <c r="AB54" s="8" t="inlineStr">
        <is>
          <t>300C x 70h, AS-568A-214 O-ring (JIS K6262)</t>
        </is>
      </c>
      <c r="AC54" s="4" t="n">
        <v>300</v>
      </c>
      <c r="AD54" s="4">
        <f>I54+J54+K54+L54+M54+N54+O54+P54</f>
        <v/>
      </c>
      <c r="AE54" s="4" t="n">
        <v>1</v>
      </c>
      <c r="AF54" s="4" t="n">
        <v>0</v>
      </c>
      <c r="AG54" s="4" t="n">
        <v>0</v>
      </c>
      <c r="AH54" s="4" t="n">
        <v>0</v>
      </c>
      <c r="AI54" s="4" t="n">
        <v>1</v>
      </c>
    </row>
    <row r="55">
      <c r="A55" s="4" t="inlineStr">
        <is>
          <t>G054</t>
        </is>
      </c>
      <c r="B55" s="8" t="inlineStr">
        <is>
          <t>US11753523B2</t>
        </is>
      </c>
      <c r="C55" s="8" t="inlineStr">
        <is>
          <t>Daikin Industries, Ltd.</t>
        </is>
      </c>
      <c r="D55" s="8" t="inlineStr">
        <is>
          <t>Example 2</t>
        </is>
      </c>
      <c r="E55" s="8" t="inlineStr">
        <is>
          <t>FFKM</t>
        </is>
      </c>
      <c r="F55" s="8" t="inlineStr">
        <is>
          <t>TFE/PMVE/CNVE 59.4/40.1/0.5 mol</t>
        </is>
      </c>
      <c r="G55" s="8" t="inlineStr">
        <is>
          <t>nitrile_triazine</t>
        </is>
      </c>
      <c r="H55" s="8" t="n">
        <v>100</v>
      </c>
      <c r="I55" s="8" t="n">
        <v>0</v>
      </c>
      <c r="J55" s="8" t="n">
        <v>0</v>
      </c>
      <c r="K55" s="8" t="n">
        <v>0</v>
      </c>
      <c r="L55" s="8" t="n">
        <v>0</v>
      </c>
      <c r="M55" s="8" t="n">
        <v>0</v>
      </c>
      <c r="N55" s="8" t="n">
        <v>0</v>
      </c>
      <c r="O55" s="8" t="n">
        <v>10</v>
      </c>
      <c r="P55" s="8" t="n">
        <v>0</v>
      </c>
      <c r="Q55" s="8" t="n">
        <v>0</v>
      </c>
      <c r="R55" s="8" t="n">
        <v>0</v>
      </c>
      <c r="S55" s="8" t="n">
        <v>0.4</v>
      </c>
      <c r="T55" s="8" t="n">
        <v>0</v>
      </c>
      <c r="U55" s="8" t="n">
        <v>0</v>
      </c>
      <c r="V55" s="8" t="n">
        <v>0</v>
      </c>
      <c r="W55" s="8" t="n">
        <v>71</v>
      </c>
      <c r="X55" s="8" t="n"/>
      <c r="Y55" s="8" t="n"/>
      <c r="Z55" s="8" t="n"/>
      <c r="AA55" s="8" t="n">
        <v>33</v>
      </c>
      <c r="AB55" s="8" t="inlineStr">
        <is>
          <t>300C x 70h, AS-568A-214 O-ring (JIS K6262)</t>
        </is>
      </c>
      <c r="AC55" s="4" t="n">
        <v>300</v>
      </c>
      <c r="AD55" s="4">
        <f>I55+J55+K55+L55+M55+N55+O55+P55</f>
        <v/>
      </c>
      <c r="AE55" s="4" t="n">
        <v>1</v>
      </c>
      <c r="AF55" s="4" t="n">
        <v>0</v>
      </c>
      <c r="AG55" s="4" t="n">
        <v>0</v>
      </c>
      <c r="AH55" s="4" t="n">
        <v>0</v>
      </c>
      <c r="AI55" s="4" t="n">
        <v>1</v>
      </c>
    </row>
    <row r="56">
      <c r="A56" s="4" t="inlineStr">
        <is>
          <t>G055</t>
        </is>
      </c>
      <c r="B56" s="8" t="inlineStr">
        <is>
          <t>US11753523B2</t>
        </is>
      </c>
      <c r="C56" s="8" t="inlineStr">
        <is>
          <t>Daikin Industries, Ltd.</t>
        </is>
      </c>
      <c r="D56" s="8" t="inlineStr">
        <is>
          <t>Example 3</t>
        </is>
      </c>
      <c r="E56" s="8" t="inlineStr">
        <is>
          <t>FFKM</t>
        </is>
      </c>
      <c r="F56" s="8" t="inlineStr">
        <is>
          <t>TFE/PMVE/CNVE 59.4/40.1/0.5 mol</t>
        </is>
      </c>
      <c r="G56" s="8" t="inlineStr">
        <is>
          <t>nitrile_other</t>
        </is>
      </c>
      <c r="H56" s="8" t="n">
        <v>100</v>
      </c>
      <c r="I56" s="8" t="n">
        <v>0</v>
      </c>
      <c r="J56" s="8" t="n">
        <v>0</v>
      </c>
      <c r="K56" s="8" t="n">
        <v>0</v>
      </c>
      <c r="L56" s="8" t="n">
        <v>0</v>
      </c>
      <c r="M56" s="8" t="n">
        <v>0</v>
      </c>
      <c r="N56" s="8" t="n">
        <v>0</v>
      </c>
      <c r="O56" s="8" t="n">
        <v>15</v>
      </c>
      <c r="P56" s="8" t="n">
        <v>0</v>
      </c>
      <c r="Q56" s="8" t="n">
        <v>0</v>
      </c>
      <c r="R56" s="8" t="n">
        <v>0</v>
      </c>
      <c r="S56" s="8" t="n">
        <v>0.9</v>
      </c>
      <c r="T56" s="8" t="n">
        <v>0</v>
      </c>
      <c r="U56" s="8" t="n">
        <v>0</v>
      </c>
      <c r="V56" s="8" t="n">
        <v>0</v>
      </c>
      <c r="W56" s="8" t="n">
        <v>75</v>
      </c>
      <c r="X56" s="8" t="n"/>
      <c r="Y56" s="8" t="n"/>
      <c r="Z56" s="8" t="n"/>
      <c r="AA56" s="8" t="n">
        <v>42</v>
      </c>
      <c r="AB56" s="8" t="inlineStr">
        <is>
          <t>300C x 70h, AS-568A-214 O-ring (JIS K6262)</t>
        </is>
      </c>
      <c r="AC56" s="4" t="n">
        <v>300</v>
      </c>
      <c r="AD56" s="4">
        <f>I56+J56+K56+L56+M56+N56+O56+P56</f>
        <v/>
      </c>
      <c r="AE56" s="4" t="n">
        <v>1</v>
      </c>
      <c r="AF56" s="4" t="n">
        <v>0</v>
      </c>
      <c r="AG56" s="4" t="n">
        <v>0</v>
      </c>
      <c r="AH56" s="4" t="n">
        <v>0</v>
      </c>
      <c r="AI56" s="4" t="n">
        <v>1</v>
      </c>
    </row>
    <row r="57">
      <c r="A57" s="4" t="inlineStr">
        <is>
          <t>G056</t>
        </is>
      </c>
      <c r="B57" s="8" t="inlineStr">
        <is>
          <t>US11753523B2</t>
        </is>
      </c>
      <c r="C57" s="8" t="inlineStr">
        <is>
          <t>Daikin Industries, Ltd.</t>
        </is>
      </c>
      <c r="D57" s="8" t="inlineStr">
        <is>
          <t>Example 4</t>
        </is>
      </c>
      <c r="E57" s="8" t="inlineStr">
        <is>
          <t>FFKM</t>
        </is>
      </c>
      <c r="F57" s="8" t="inlineStr">
        <is>
          <t>TFE/PMVE/CNVE 59.4/40.1/0.5 mol</t>
        </is>
      </c>
      <c r="G57" s="8" t="inlineStr">
        <is>
          <t>nitrile_triazine</t>
        </is>
      </c>
      <c r="H57" s="8" t="n">
        <v>100</v>
      </c>
      <c r="I57" s="8" t="n">
        <v>0</v>
      </c>
      <c r="J57" s="8" t="n">
        <v>0</v>
      </c>
      <c r="K57" s="8" t="n">
        <v>0</v>
      </c>
      <c r="L57" s="8" t="n">
        <v>0</v>
      </c>
      <c r="M57" s="8" t="n">
        <v>0</v>
      </c>
      <c r="N57" s="8" t="n">
        <v>0</v>
      </c>
      <c r="O57" s="8" t="n">
        <v>15</v>
      </c>
      <c r="P57" s="8" t="n">
        <v>0</v>
      </c>
      <c r="Q57" s="8" t="n">
        <v>0</v>
      </c>
      <c r="R57" s="8" t="n">
        <v>0</v>
      </c>
      <c r="S57" s="8" t="n">
        <v>0.4</v>
      </c>
      <c r="T57" s="8" t="n">
        <v>0</v>
      </c>
      <c r="U57" s="8" t="n">
        <v>0</v>
      </c>
      <c r="V57" s="8" t="n">
        <v>0</v>
      </c>
      <c r="W57" s="8" t="n">
        <v>75</v>
      </c>
      <c r="X57" s="8" t="n"/>
      <c r="Y57" s="8" t="n"/>
      <c r="Z57" s="8" t="n"/>
      <c r="AA57" s="8" t="n">
        <v>36</v>
      </c>
      <c r="AB57" s="8" t="inlineStr">
        <is>
          <t>300C x 70h, AS-568A-214 O-ring (JIS K6262)</t>
        </is>
      </c>
      <c r="AC57" s="4" t="n">
        <v>300</v>
      </c>
      <c r="AD57" s="4">
        <f>I57+J57+K57+L57+M57+N57+O57+P57</f>
        <v/>
      </c>
      <c r="AE57" s="4" t="n">
        <v>1</v>
      </c>
      <c r="AF57" s="4" t="n">
        <v>0</v>
      </c>
      <c r="AG57" s="4" t="n">
        <v>0</v>
      </c>
      <c r="AH57" s="4" t="n">
        <v>0</v>
      </c>
      <c r="AI57" s="4" t="n">
        <v>1</v>
      </c>
    </row>
    <row r="58">
      <c r="A58" s="4" t="inlineStr">
        <is>
          <t>G057</t>
        </is>
      </c>
      <c r="B58" s="8" t="inlineStr">
        <is>
          <t>US11753523B2</t>
        </is>
      </c>
      <c r="C58" s="8" t="inlineStr">
        <is>
          <t>Daikin Industries, Ltd.</t>
        </is>
      </c>
      <c r="D58" s="8" t="inlineStr">
        <is>
          <t>Example 5</t>
        </is>
      </c>
      <c r="E58" s="8" t="inlineStr">
        <is>
          <t>FFKM</t>
        </is>
      </c>
      <c r="F58" s="8" t="inlineStr">
        <is>
          <t>TFE/PMVE/CNVE 59.4/40.1/0.5 mol</t>
        </is>
      </c>
      <c r="G58" s="8" t="inlineStr">
        <is>
          <t>nitrile_triazine</t>
        </is>
      </c>
      <c r="H58" s="8" t="n">
        <v>100</v>
      </c>
      <c r="I58" s="8" t="n">
        <v>0</v>
      </c>
      <c r="J58" s="8" t="n">
        <v>0</v>
      </c>
      <c r="K58" s="8" t="n">
        <v>0</v>
      </c>
      <c r="L58" s="8" t="n">
        <v>0</v>
      </c>
      <c r="M58" s="8" t="n">
        <v>0</v>
      </c>
      <c r="N58" s="8" t="n">
        <v>0</v>
      </c>
      <c r="O58" s="8" t="n">
        <v>20</v>
      </c>
      <c r="P58" s="8" t="n">
        <v>0</v>
      </c>
      <c r="Q58" s="8" t="n">
        <v>0</v>
      </c>
      <c r="R58" s="8" t="n">
        <v>0</v>
      </c>
      <c r="S58" s="8" t="n">
        <v>0.4</v>
      </c>
      <c r="T58" s="8" t="n">
        <v>0</v>
      </c>
      <c r="U58" s="8" t="n">
        <v>0</v>
      </c>
      <c r="V58" s="8" t="n">
        <v>0</v>
      </c>
      <c r="W58" s="8" t="n">
        <v>80</v>
      </c>
      <c r="X58" s="8" t="n"/>
      <c r="Y58" s="8" t="n"/>
      <c r="Z58" s="8" t="n"/>
      <c r="AA58" s="8" t="n">
        <v>47</v>
      </c>
      <c r="AB58" s="8" t="inlineStr">
        <is>
          <t>300C x 70h, AS-568A-214 O-ring (JIS K6262)</t>
        </is>
      </c>
      <c r="AC58" s="4" t="n">
        <v>300</v>
      </c>
      <c r="AD58" s="4">
        <f>I58+J58+K58+L58+M58+N58+O58+P58</f>
        <v/>
      </c>
      <c r="AE58" s="4" t="n">
        <v>1</v>
      </c>
      <c r="AF58" s="4" t="n">
        <v>0</v>
      </c>
      <c r="AG58" s="4" t="n">
        <v>0</v>
      </c>
      <c r="AH58" s="4" t="n">
        <v>0</v>
      </c>
      <c r="AI58" s="4" t="n">
        <v>1</v>
      </c>
    </row>
    <row r="59">
      <c r="A59" s="4" t="inlineStr">
        <is>
          <t>G058</t>
        </is>
      </c>
      <c r="B59" s="8" t="inlineStr">
        <is>
          <t>US11753523B2</t>
        </is>
      </c>
      <c r="C59" s="8" t="inlineStr">
        <is>
          <t>Daikin Industries, Ltd.</t>
        </is>
      </c>
      <c r="D59" s="8" t="inlineStr">
        <is>
          <t>Comparative Example 1</t>
        </is>
      </c>
      <c r="E59" s="8" t="inlineStr">
        <is>
          <t>FFKM</t>
        </is>
      </c>
      <c r="F59" s="8" t="inlineStr">
        <is>
          <t>TFE/PMVE/CNVE 59.4/40.1/0.5 mol</t>
        </is>
      </c>
      <c r="G59" s="8" t="inlineStr">
        <is>
          <t>nitrile_other</t>
        </is>
      </c>
      <c r="H59" s="8" t="n">
        <v>100</v>
      </c>
      <c r="I59" s="8" t="n">
        <v>0</v>
      </c>
      <c r="J59" s="8" t="n">
        <v>0</v>
      </c>
      <c r="K59" s="8" t="n">
        <v>0</v>
      </c>
      <c r="L59" s="8" t="n">
        <v>0</v>
      </c>
      <c r="M59" s="8" t="n">
        <v>0</v>
      </c>
      <c r="N59" s="8" t="n">
        <v>0</v>
      </c>
      <c r="O59" s="8" t="n">
        <v>10</v>
      </c>
      <c r="P59" s="8" t="n">
        <v>0</v>
      </c>
      <c r="Q59" s="8" t="n">
        <v>0</v>
      </c>
      <c r="R59" s="8" t="n">
        <v>0</v>
      </c>
      <c r="S59" s="8" t="n">
        <v>0.9</v>
      </c>
      <c r="T59" s="8" t="n">
        <v>0</v>
      </c>
      <c r="U59" s="8" t="n">
        <v>0</v>
      </c>
      <c r="V59" s="8" t="n">
        <v>0</v>
      </c>
      <c r="W59" s="8" t="n">
        <v>72</v>
      </c>
      <c r="X59" s="8" t="n"/>
      <c r="Y59" s="8" t="n"/>
      <c r="Z59" s="8" t="n"/>
      <c r="AA59" s="8" t="n">
        <v>43</v>
      </c>
      <c r="AB59" s="8" t="inlineStr">
        <is>
          <t>300C x 70h, AS-568A-214 O-ring (JIS K6262)</t>
        </is>
      </c>
      <c r="AC59" s="4" t="n">
        <v>300</v>
      </c>
      <c r="AD59" s="4">
        <f>I59+J59+K59+L59+M59+N59+O59+P59</f>
        <v/>
      </c>
      <c r="AE59" s="4" t="n">
        <v>1</v>
      </c>
      <c r="AF59" s="4" t="n">
        <v>0</v>
      </c>
      <c r="AG59" s="4" t="n">
        <v>0</v>
      </c>
      <c r="AH59" s="4" t="n">
        <v>0</v>
      </c>
      <c r="AI59" s="4" t="n">
        <v>1</v>
      </c>
    </row>
    <row r="60">
      <c r="A60" s="4" t="inlineStr">
        <is>
          <t>G059</t>
        </is>
      </c>
      <c r="B60" s="8" t="inlineStr">
        <is>
          <t>US11753523B2</t>
        </is>
      </c>
      <c r="C60" s="8" t="inlineStr">
        <is>
          <t>Daikin Industries, Ltd.</t>
        </is>
      </c>
      <c r="D60" s="8" t="inlineStr">
        <is>
          <t>Comparative Example 2</t>
        </is>
      </c>
      <c r="E60" s="8" t="inlineStr">
        <is>
          <t>FFKM</t>
        </is>
      </c>
      <c r="F60" s="8" t="inlineStr">
        <is>
          <t>TFE/PMVE/CNVE 59.4/40.1/0.5 mol</t>
        </is>
      </c>
      <c r="G60" s="8" t="inlineStr">
        <is>
          <t>nitrile_triazine</t>
        </is>
      </c>
      <c r="H60" s="8" t="n">
        <v>100</v>
      </c>
      <c r="I60" s="8" t="n">
        <v>0</v>
      </c>
      <c r="J60" s="8" t="n">
        <v>0</v>
      </c>
      <c r="K60" s="8" t="n">
        <v>0</v>
      </c>
      <c r="L60" s="8" t="n">
        <v>0</v>
      </c>
      <c r="M60" s="8" t="n">
        <v>0</v>
      </c>
      <c r="N60" s="8" t="n">
        <v>0</v>
      </c>
      <c r="O60" s="8" t="n">
        <v>10</v>
      </c>
      <c r="P60" s="8" t="n">
        <v>0</v>
      </c>
      <c r="Q60" s="8" t="n">
        <v>0</v>
      </c>
      <c r="R60" s="8" t="n">
        <v>0</v>
      </c>
      <c r="S60" s="8" t="n">
        <v>0.4</v>
      </c>
      <c r="T60" s="8" t="n">
        <v>0</v>
      </c>
      <c r="U60" s="8" t="n">
        <v>0</v>
      </c>
      <c r="V60" s="8" t="n">
        <v>0</v>
      </c>
      <c r="W60" s="8" t="n">
        <v>71</v>
      </c>
      <c r="X60" s="8" t="n"/>
      <c r="Y60" s="8" t="n"/>
      <c r="Z60" s="8" t="n"/>
      <c r="AA60" s="8" t="n">
        <v>59</v>
      </c>
      <c r="AB60" s="8" t="inlineStr">
        <is>
          <t>300C x 70h, AS-568A-214 O-ring (JIS K6262)</t>
        </is>
      </c>
      <c r="AC60" s="4" t="n">
        <v>300</v>
      </c>
      <c r="AD60" s="4">
        <f>I60+J60+K60+L60+M60+N60+O60+P60</f>
        <v/>
      </c>
      <c r="AE60" s="4" t="n">
        <v>1</v>
      </c>
      <c r="AF60" s="4" t="n">
        <v>0</v>
      </c>
      <c r="AG60" s="4" t="n">
        <v>0</v>
      </c>
      <c r="AH60" s="4" t="n">
        <v>0</v>
      </c>
      <c r="AI60" s="4" t="n">
        <v>1</v>
      </c>
    </row>
    <row r="61">
      <c r="A61" s="4" t="inlineStr">
        <is>
          <t>G060</t>
        </is>
      </c>
      <c r="B61" s="8" t="inlineStr">
        <is>
          <t>US11753523B2</t>
        </is>
      </c>
      <c r="C61" s="8" t="inlineStr">
        <is>
          <t>Daikin Industries, Ltd.</t>
        </is>
      </c>
      <c r="D61" s="8" t="inlineStr">
        <is>
          <t>Comparative Example 3</t>
        </is>
      </c>
      <c r="E61" s="8" t="inlineStr">
        <is>
          <t>FFKM</t>
        </is>
      </c>
      <c r="F61" s="8" t="inlineStr">
        <is>
          <t>TFE/PMVE/CNVE 59.4/40.1/0.5 mol</t>
        </is>
      </c>
      <c r="G61" s="8" t="inlineStr">
        <is>
          <t>nitrile_other</t>
        </is>
      </c>
      <c r="H61" s="8" t="n">
        <v>100</v>
      </c>
      <c r="I61" s="8" t="n">
        <v>0</v>
      </c>
      <c r="J61" s="8" t="n">
        <v>0</v>
      </c>
      <c r="K61" s="8" t="n">
        <v>0</v>
      </c>
      <c r="L61" s="8" t="n">
        <v>0</v>
      </c>
      <c r="M61" s="8" t="n">
        <v>0</v>
      </c>
      <c r="N61" s="8" t="n">
        <v>0</v>
      </c>
      <c r="O61" s="8" t="n">
        <v>15</v>
      </c>
      <c r="P61" s="8" t="n">
        <v>0</v>
      </c>
      <c r="Q61" s="8" t="n">
        <v>0</v>
      </c>
      <c r="R61" s="8" t="n">
        <v>0</v>
      </c>
      <c r="S61" s="8" t="n">
        <v>0.9</v>
      </c>
      <c r="T61" s="8" t="n">
        <v>0</v>
      </c>
      <c r="U61" s="8" t="n">
        <v>0</v>
      </c>
      <c r="V61" s="8" t="n">
        <v>0</v>
      </c>
      <c r="W61" s="8" t="n">
        <v>75</v>
      </c>
      <c r="X61" s="8" t="n"/>
      <c r="Y61" s="8" t="n"/>
      <c r="Z61" s="8" t="n"/>
      <c r="AA61" s="8" t="n">
        <v>55</v>
      </c>
      <c r="AB61" s="8" t="inlineStr">
        <is>
          <t>300C x 70h, AS-568A-214 O-ring (JIS K6262)</t>
        </is>
      </c>
      <c r="AC61" s="4" t="n">
        <v>300</v>
      </c>
      <c r="AD61" s="4">
        <f>I61+J61+K61+L61+M61+N61+O61+P61</f>
        <v/>
      </c>
      <c r="AE61" s="4" t="n">
        <v>1</v>
      </c>
      <c r="AF61" s="4" t="n">
        <v>0</v>
      </c>
      <c r="AG61" s="4" t="n">
        <v>0</v>
      </c>
      <c r="AH61" s="4" t="n">
        <v>0</v>
      </c>
      <c r="AI61" s="4" t="n">
        <v>1</v>
      </c>
    </row>
    <row r="62">
      <c r="A62" s="4" t="inlineStr">
        <is>
          <t>G061</t>
        </is>
      </c>
      <c r="B62" s="8" t="inlineStr">
        <is>
          <t>US11753523B2</t>
        </is>
      </c>
      <c r="C62" s="8" t="inlineStr">
        <is>
          <t>Daikin Industries, Ltd.</t>
        </is>
      </c>
      <c r="D62" s="8" t="inlineStr">
        <is>
          <t>Comparative Example 4</t>
        </is>
      </c>
      <c r="E62" s="8" t="inlineStr">
        <is>
          <t>FFKM</t>
        </is>
      </c>
      <c r="F62" s="8" t="inlineStr">
        <is>
          <t>TFE/PMVE/CNVE 59.4/40.1/0.5 mol</t>
        </is>
      </c>
      <c r="G62" s="8" t="inlineStr">
        <is>
          <t>nitrile_triazine</t>
        </is>
      </c>
      <c r="H62" s="8" t="n">
        <v>100</v>
      </c>
      <c r="I62" s="8" t="n">
        <v>0</v>
      </c>
      <c r="J62" s="8" t="n">
        <v>0</v>
      </c>
      <c r="K62" s="8" t="n">
        <v>0</v>
      </c>
      <c r="L62" s="8" t="n">
        <v>0</v>
      </c>
      <c r="M62" s="8" t="n">
        <v>0</v>
      </c>
      <c r="N62" s="8" t="n">
        <v>0</v>
      </c>
      <c r="O62" s="8" t="n">
        <v>15</v>
      </c>
      <c r="P62" s="8" t="n">
        <v>0</v>
      </c>
      <c r="Q62" s="8" t="n">
        <v>0</v>
      </c>
      <c r="R62" s="8" t="n">
        <v>0</v>
      </c>
      <c r="S62" s="8" t="n">
        <v>0.4</v>
      </c>
      <c r="T62" s="8" t="n">
        <v>0</v>
      </c>
      <c r="U62" s="8" t="n">
        <v>0</v>
      </c>
      <c r="V62" s="8" t="n">
        <v>0</v>
      </c>
      <c r="W62" s="8" t="n">
        <v>75</v>
      </c>
      <c r="X62" s="8" t="n"/>
      <c r="Y62" s="8" t="n"/>
      <c r="Z62" s="8" t="n"/>
      <c r="AA62" s="8" t="n">
        <v>67</v>
      </c>
      <c r="AB62" s="8" t="inlineStr">
        <is>
          <t>300C x 70h, AS-568A-214 O-ring (JIS K6262)</t>
        </is>
      </c>
      <c r="AC62" s="4" t="n">
        <v>300</v>
      </c>
      <c r="AD62" s="4">
        <f>I62+J62+K62+L62+M62+N62+O62+P62</f>
        <v/>
      </c>
      <c r="AE62" s="4" t="n">
        <v>1</v>
      </c>
      <c r="AF62" s="4" t="n">
        <v>0</v>
      </c>
      <c r="AG62" s="4" t="n">
        <v>0</v>
      </c>
      <c r="AH62" s="4" t="n">
        <v>0</v>
      </c>
      <c r="AI62" s="4" t="n">
        <v>1</v>
      </c>
    </row>
    <row r="63">
      <c r="A63" s="4" t="inlineStr">
        <is>
          <t>G062</t>
        </is>
      </c>
      <c r="B63" s="8" t="inlineStr">
        <is>
          <t>US11753523B2</t>
        </is>
      </c>
      <c r="C63" s="8" t="inlineStr">
        <is>
          <t>Daikin Industries, Ltd.</t>
        </is>
      </c>
      <c r="D63" s="8" t="inlineStr">
        <is>
          <t>Comparative Example 5</t>
        </is>
      </c>
      <c r="E63" s="8" t="inlineStr">
        <is>
          <t>FFKM</t>
        </is>
      </c>
      <c r="F63" s="8" t="inlineStr">
        <is>
          <t>TFE/PMVE/CNVE 59.4/40.1/0.5 mol</t>
        </is>
      </c>
      <c r="G63" s="8" t="inlineStr">
        <is>
          <t>nitrile_triazine</t>
        </is>
      </c>
      <c r="H63" s="8" t="n">
        <v>100</v>
      </c>
      <c r="I63" s="8" t="n">
        <v>0</v>
      </c>
      <c r="J63" s="8" t="n">
        <v>0</v>
      </c>
      <c r="K63" s="8" t="n">
        <v>0</v>
      </c>
      <c r="L63" s="8" t="n">
        <v>0</v>
      </c>
      <c r="M63" s="8" t="n">
        <v>0</v>
      </c>
      <c r="N63" s="8" t="n">
        <v>0</v>
      </c>
      <c r="O63" s="8" t="n">
        <v>20</v>
      </c>
      <c r="P63" s="8" t="n">
        <v>0</v>
      </c>
      <c r="Q63" s="8" t="n">
        <v>0</v>
      </c>
      <c r="R63" s="8" t="n">
        <v>0</v>
      </c>
      <c r="S63" s="8" t="n">
        <v>0.4</v>
      </c>
      <c r="T63" s="8" t="n">
        <v>0</v>
      </c>
      <c r="U63" s="8" t="n">
        <v>0</v>
      </c>
      <c r="V63" s="8" t="n">
        <v>0</v>
      </c>
      <c r="W63" s="8" t="n">
        <v>80</v>
      </c>
      <c r="X63" s="8" t="n"/>
      <c r="Y63" s="8" t="n"/>
      <c r="Z63" s="8" t="n"/>
      <c r="AA63" s="8" t="n">
        <v>84</v>
      </c>
      <c r="AB63" s="8" t="inlineStr">
        <is>
          <t>300C x 70h, AS-568A-214 O-ring (JIS K6262)</t>
        </is>
      </c>
      <c r="AC63" s="4" t="n">
        <v>300</v>
      </c>
      <c r="AD63" s="4">
        <f>I63+J63+K63+L63+M63+N63+O63+P63</f>
        <v/>
      </c>
      <c r="AE63" s="4" t="n">
        <v>1</v>
      </c>
      <c r="AF63" s="4" t="n">
        <v>0</v>
      </c>
      <c r="AG63" s="4" t="n">
        <v>0</v>
      </c>
      <c r="AH63" s="4" t="n">
        <v>0</v>
      </c>
      <c r="AI63" s="4" t="n">
        <v>1</v>
      </c>
    </row>
    <row r="64">
      <c r="A64" s="4" t="inlineStr">
        <is>
          <t>G063</t>
        </is>
      </c>
      <c r="B64" s="8" t="inlineStr">
        <is>
          <t>US11753523B2</t>
        </is>
      </c>
      <c r="C64" s="8" t="inlineStr">
        <is>
          <t>Daikin Industries, Ltd.</t>
        </is>
      </c>
      <c r="D64" s="8" t="inlineStr">
        <is>
          <t>Comparative Example 6</t>
        </is>
      </c>
      <c r="E64" s="8" t="inlineStr">
        <is>
          <t>FFKM</t>
        </is>
      </c>
      <c r="F64" s="8" t="inlineStr">
        <is>
          <t>TFE/PMVE/CNVE 59.4/40.1/0.5 mol</t>
        </is>
      </c>
      <c r="G64" s="8" t="inlineStr">
        <is>
          <t>nitrile_other</t>
        </is>
      </c>
      <c r="H64" s="8" t="n">
        <v>100</v>
      </c>
      <c r="I64" s="8" t="n">
        <v>0</v>
      </c>
      <c r="J64" s="8" t="n">
        <v>0</v>
      </c>
      <c r="K64" s="8" t="n">
        <v>0</v>
      </c>
      <c r="L64" s="8" t="n">
        <v>0</v>
      </c>
      <c r="M64" s="8" t="n">
        <v>0</v>
      </c>
      <c r="N64" s="8" t="n">
        <v>0</v>
      </c>
      <c r="O64" s="8" t="n">
        <v>15</v>
      </c>
      <c r="P64" s="8" t="n">
        <v>0</v>
      </c>
      <c r="Q64" s="8" t="n">
        <v>0</v>
      </c>
      <c r="R64" s="8" t="n">
        <v>0</v>
      </c>
      <c r="S64" s="8" t="n">
        <v>0.9</v>
      </c>
      <c r="T64" s="8" t="n">
        <v>0</v>
      </c>
      <c r="U64" s="8" t="n">
        <v>0</v>
      </c>
      <c r="V64" s="8" t="n">
        <v>0</v>
      </c>
      <c r="W64" s="8" t="n">
        <v>74</v>
      </c>
      <c r="X64" s="8" t="n"/>
      <c r="Y64" s="8" t="n"/>
      <c r="Z64" s="8" t="n"/>
      <c r="AA64" s="8" t="n">
        <v>38</v>
      </c>
      <c r="AB64" s="8" t="inlineStr">
        <is>
          <t>300C x 70h, AS-568A-214 O-ring (JIS K6262)</t>
        </is>
      </c>
      <c r="AC64" s="4" t="n">
        <v>300</v>
      </c>
      <c r="AD64" s="4">
        <f>I64+J64+K64+L64+M64+N64+O64+P64</f>
        <v/>
      </c>
      <c r="AE64" s="4" t="n">
        <v>1</v>
      </c>
      <c r="AF64" s="4" t="n">
        <v>0</v>
      </c>
      <c r="AG64" s="4" t="n">
        <v>0</v>
      </c>
      <c r="AH64" s="4" t="n">
        <v>0</v>
      </c>
      <c r="AI64" s="4" t="n">
        <v>1</v>
      </c>
    </row>
    <row r="65">
      <c r="A65" s="4" t="inlineStr">
        <is>
          <t>G064</t>
        </is>
      </c>
      <c r="B65" s="8" t="inlineStr">
        <is>
          <t>US11753523B2</t>
        </is>
      </c>
      <c r="C65" s="8" t="inlineStr">
        <is>
          <t>Daikin Industries, Ltd.</t>
        </is>
      </c>
      <c r="D65" s="8" t="inlineStr">
        <is>
          <t>Comparative Example 7</t>
        </is>
      </c>
      <c r="E65" s="8" t="inlineStr">
        <is>
          <t>FFKM</t>
        </is>
      </c>
      <c r="F65" s="8" t="inlineStr">
        <is>
          <t>TFE/PMVE/CNVE 59.4/40.1/0.5 mol</t>
        </is>
      </c>
      <c r="G65" s="8" t="inlineStr">
        <is>
          <t>nitrile_other</t>
        </is>
      </c>
      <c r="H65" s="8" t="n">
        <v>100</v>
      </c>
      <c r="I65" s="8" t="n">
        <v>0</v>
      </c>
      <c r="J65" s="8" t="n">
        <v>15</v>
      </c>
      <c r="K65" s="8" t="n">
        <v>0</v>
      </c>
      <c r="L65" s="8" t="n">
        <v>0</v>
      </c>
      <c r="M65" s="8" t="n">
        <v>0</v>
      </c>
      <c r="N65" s="8" t="n">
        <v>0</v>
      </c>
      <c r="O65" s="8" t="n">
        <v>0</v>
      </c>
      <c r="P65" s="8" t="n">
        <v>0</v>
      </c>
      <c r="Q65" s="8" t="n">
        <v>0</v>
      </c>
      <c r="R65" s="8" t="n">
        <v>0</v>
      </c>
      <c r="S65" s="8" t="n">
        <v>0.9</v>
      </c>
      <c r="T65" s="8" t="n">
        <v>0</v>
      </c>
      <c r="U65" s="8" t="n">
        <v>0</v>
      </c>
      <c r="V65" s="8" t="n">
        <v>0</v>
      </c>
      <c r="W65" s="8" t="n">
        <v>74</v>
      </c>
      <c r="X65" s="8" t="n"/>
      <c r="Y65" s="8" t="n"/>
      <c r="Z65" s="8" t="n"/>
      <c r="AA65" s="8" t="n">
        <v>70</v>
      </c>
      <c r="AB65" s="8" t="inlineStr">
        <is>
          <t>300C x 70h, AS-568A-214 O-ring (JIS K6262)</t>
        </is>
      </c>
      <c r="AC65" s="4" t="n">
        <v>300</v>
      </c>
      <c r="AD65" s="4">
        <f>I65+J65+K65+L65+M65+N65+O65+P65</f>
        <v/>
      </c>
      <c r="AE65" s="4" t="n">
        <v>1</v>
      </c>
      <c r="AF65" s="4" t="n">
        <v>0</v>
      </c>
      <c r="AG65" s="4" t="n">
        <v>0</v>
      </c>
      <c r="AH65" s="4" t="n">
        <v>0</v>
      </c>
      <c r="AI65" s="4" t="n">
        <v>1</v>
      </c>
    </row>
    <row r="66">
      <c r="A66" s="4" t="inlineStr">
        <is>
          <t>G065</t>
        </is>
      </c>
      <c r="B66" s="8" t="inlineStr">
        <is>
          <t>US11753523B2</t>
        </is>
      </c>
      <c r="C66" s="8" t="inlineStr">
        <is>
          <t>Daikin Industries, Ltd.</t>
        </is>
      </c>
      <c r="D66" s="8" t="inlineStr">
        <is>
          <t>Comparative Example 8</t>
        </is>
      </c>
      <c r="E66" s="8" t="inlineStr">
        <is>
          <t>FFKM</t>
        </is>
      </c>
      <c r="F66" s="8" t="inlineStr">
        <is>
          <t>TFE/PMVE/CNVE 59.4/40.1/0.5 mol</t>
        </is>
      </c>
      <c r="G66" s="8" t="inlineStr">
        <is>
          <t>nitrile_other</t>
        </is>
      </c>
      <c r="H66" s="8" t="n">
        <v>100</v>
      </c>
      <c r="I66" s="8" t="n">
        <v>0</v>
      </c>
      <c r="J66" s="8" t="n">
        <v>15</v>
      </c>
      <c r="K66" s="8" t="n">
        <v>0</v>
      </c>
      <c r="L66" s="8" t="n">
        <v>0</v>
      </c>
      <c r="M66" s="8" t="n">
        <v>0</v>
      </c>
      <c r="N66" s="8" t="n">
        <v>0</v>
      </c>
      <c r="O66" s="8" t="n">
        <v>0</v>
      </c>
      <c r="P66" s="8" t="n">
        <v>0</v>
      </c>
      <c r="Q66" s="8" t="n">
        <v>0</v>
      </c>
      <c r="R66" s="8" t="n">
        <v>0</v>
      </c>
      <c r="S66" s="8" t="n">
        <v>0.9</v>
      </c>
      <c r="T66" s="8" t="n">
        <v>0</v>
      </c>
      <c r="U66" s="8" t="n">
        <v>0</v>
      </c>
      <c r="V66" s="8" t="n">
        <v>0</v>
      </c>
      <c r="W66" s="8" t="n">
        <v>75</v>
      </c>
      <c r="X66" s="8" t="n"/>
      <c r="Y66" s="8" t="n"/>
      <c r="Z66" s="8" t="n"/>
      <c r="AA66" s="8" t="n">
        <v>37</v>
      </c>
      <c r="AB66" s="8" t="inlineStr">
        <is>
          <t>300C x 70h, AS-568A-214 O-ring (JIS K6262)</t>
        </is>
      </c>
      <c r="AC66" s="4" t="n">
        <v>300</v>
      </c>
      <c r="AD66" s="4">
        <f>I66+J66+K66+L66+M66+N66+O66+P66</f>
        <v/>
      </c>
      <c r="AE66" s="4" t="n">
        <v>1</v>
      </c>
      <c r="AF66" s="4" t="n">
        <v>0</v>
      </c>
      <c r="AG66" s="4" t="n">
        <v>0</v>
      </c>
      <c r="AH66" s="4" t="n">
        <v>0</v>
      </c>
      <c r="AI66" s="4" t="n">
        <v>1</v>
      </c>
    </row>
    <row r="67">
      <c r="A67" s="4" t="inlineStr">
        <is>
          <t>G066</t>
        </is>
      </c>
      <c r="B67" s="8" t="inlineStr">
        <is>
          <t>US11753523B2</t>
        </is>
      </c>
      <c r="C67" s="8" t="inlineStr">
        <is>
          <t>Daikin Industries, Ltd.</t>
        </is>
      </c>
      <c r="D67" s="8" t="inlineStr">
        <is>
          <t>Comparative Example 9</t>
        </is>
      </c>
      <c r="E67" s="8" t="inlineStr">
        <is>
          <t>FFKM</t>
        </is>
      </c>
      <c r="F67" s="8" t="inlineStr">
        <is>
          <t>TFE/PMVE/CNVE 59.4/40.1/0.5 mol</t>
        </is>
      </c>
      <c r="G67" s="8" t="inlineStr">
        <is>
          <t>nitrile_triazine</t>
        </is>
      </c>
      <c r="H67" s="8" t="n">
        <v>100</v>
      </c>
      <c r="I67" s="8" t="n">
        <v>0</v>
      </c>
      <c r="J67" s="8" t="n">
        <v>15</v>
      </c>
      <c r="K67" s="8" t="n">
        <v>0</v>
      </c>
      <c r="L67" s="8" t="n">
        <v>0</v>
      </c>
      <c r="M67" s="8" t="n">
        <v>0</v>
      </c>
      <c r="N67" s="8" t="n">
        <v>0</v>
      </c>
      <c r="O67" s="8" t="n">
        <v>0</v>
      </c>
      <c r="P67" s="8" t="n">
        <v>0</v>
      </c>
      <c r="Q67" s="8" t="n">
        <v>0</v>
      </c>
      <c r="R67" s="8" t="n">
        <v>0</v>
      </c>
      <c r="S67" s="8" t="n">
        <v>0.4</v>
      </c>
      <c r="T67" s="8" t="n">
        <v>0</v>
      </c>
      <c r="U67" s="8" t="n">
        <v>0</v>
      </c>
      <c r="V67" s="8" t="n">
        <v>0</v>
      </c>
      <c r="W67" s="8" t="n">
        <v>75</v>
      </c>
      <c r="X67" s="8" t="n"/>
      <c r="Y67" s="8" t="n"/>
      <c r="Z67" s="8" t="n"/>
      <c r="AA67" s="8" t="n">
        <v>33</v>
      </c>
      <c r="AB67" s="8" t="inlineStr">
        <is>
          <t>300C x 70h, AS-568A-214 O-ring (JIS K6262)</t>
        </is>
      </c>
      <c r="AC67" s="4" t="n">
        <v>300</v>
      </c>
      <c r="AD67" s="4">
        <f>I67+J67+K67+L67+M67+N67+O67+P67</f>
        <v/>
      </c>
      <c r="AE67" s="4" t="n">
        <v>1</v>
      </c>
      <c r="AF67" s="4" t="n">
        <v>0</v>
      </c>
      <c r="AG67" s="4" t="n">
        <v>0</v>
      </c>
      <c r="AH67" s="4" t="n">
        <v>0</v>
      </c>
      <c r="AI67" s="4" t="n">
        <v>1</v>
      </c>
    </row>
    <row r="68">
      <c r="A68" s="4" t="inlineStr">
        <is>
          <t>G067</t>
        </is>
      </c>
      <c r="B68" s="8" t="inlineStr">
        <is>
          <t>US11753523B2</t>
        </is>
      </c>
      <c r="C68" s="8" t="inlineStr">
        <is>
          <t>Daikin Industries, Ltd.</t>
        </is>
      </c>
      <c r="D68" s="8" t="inlineStr">
        <is>
          <t>Comparative Example 10</t>
        </is>
      </c>
      <c r="E68" s="8" t="inlineStr">
        <is>
          <t>FFKM</t>
        </is>
      </c>
      <c r="F68" s="8" t="inlineStr">
        <is>
          <t>TFE/PMVE/CNVE 59.4/40.1/0.5 mol</t>
        </is>
      </c>
      <c r="G68" s="8" t="inlineStr">
        <is>
          <t>nitrile_other</t>
        </is>
      </c>
      <c r="H68" s="8" t="n">
        <v>100</v>
      </c>
      <c r="I68" s="8" t="n">
        <v>0</v>
      </c>
      <c r="J68" s="8" t="n">
        <v>0</v>
      </c>
      <c r="K68" s="8" t="n">
        <v>0</v>
      </c>
      <c r="L68" s="8" t="n">
        <v>0</v>
      </c>
      <c r="M68" s="8" t="n">
        <v>0</v>
      </c>
      <c r="N68" s="8" t="n">
        <v>0</v>
      </c>
      <c r="O68" s="8" t="n">
        <v>0</v>
      </c>
      <c r="P68" s="8" t="n">
        <v>0</v>
      </c>
      <c r="Q68" s="8" t="n">
        <v>0</v>
      </c>
      <c r="R68" s="8" t="n">
        <v>0</v>
      </c>
      <c r="S68" s="8" t="n">
        <v>0.9</v>
      </c>
      <c r="T68" s="8" t="n">
        <v>0</v>
      </c>
      <c r="U68" s="8" t="n">
        <v>0</v>
      </c>
      <c r="V68" s="8" t="n">
        <v>0</v>
      </c>
      <c r="W68" s="8" t="n">
        <v>60</v>
      </c>
      <c r="X68" s="8" t="n"/>
      <c r="Y68" s="8" t="n"/>
      <c r="Z68" s="8" t="n"/>
      <c r="AA68" s="8" t="n">
        <v>34</v>
      </c>
      <c r="AB68" s="8" t="inlineStr">
        <is>
          <t>300C x 70h, AS-568A-214 O-ring (JIS K6262)</t>
        </is>
      </c>
      <c r="AC68" s="4" t="n">
        <v>300</v>
      </c>
      <c r="AD68" s="4">
        <f>I68+J68+K68+L68+M68+N68+O68+P68</f>
        <v/>
      </c>
      <c r="AE68" s="4" t="n">
        <v>1</v>
      </c>
      <c r="AF68" s="4" t="n">
        <v>0</v>
      </c>
      <c r="AG68" s="4" t="n">
        <v>0</v>
      </c>
      <c r="AH68" s="4" t="n">
        <v>0</v>
      </c>
      <c r="AI68" s="4" t="n">
        <v>1</v>
      </c>
    </row>
    <row r="69">
      <c r="A69" s="4" t="inlineStr">
        <is>
          <t>G068</t>
        </is>
      </c>
      <c r="B69" s="8" t="inlineStr">
        <is>
          <t>US11072700B2</t>
        </is>
      </c>
      <c r="C69" s="8" t="inlineStr">
        <is>
          <t>Daikin Industries, Ltd.</t>
        </is>
      </c>
      <c r="D69" s="8" t="inlineStr">
        <is>
          <t>Example 1</t>
        </is>
      </c>
      <c r="E69" s="8" t="inlineStr">
        <is>
          <t>FFKM</t>
        </is>
      </c>
      <c r="F69" s="8" t="inlineStr">
        <is>
          <t>TFE/PMVE/cyano-group monomer 59.4/40.1/0.5 mol (Daikin)</t>
        </is>
      </c>
      <c r="G69" s="8" t="inlineStr">
        <is>
          <t>nitrile_triazine</t>
        </is>
      </c>
      <c r="H69" s="8" t="n">
        <v>100</v>
      </c>
      <c r="I69" s="8" t="n">
        <v>0</v>
      </c>
      <c r="J69" s="8" t="n">
        <v>0</v>
      </c>
      <c r="K69" s="8" t="n">
        <v>0</v>
      </c>
      <c r="L69" s="8" t="n">
        <v>0</v>
      </c>
      <c r="M69" s="8" t="n">
        <v>0</v>
      </c>
      <c r="N69" s="8" t="n">
        <v>0</v>
      </c>
      <c r="O69" s="8" t="n">
        <v>0</v>
      </c>
      <c r="P69" s="8" t="n">
        <v>0</v>
      </c>
      <c r="Q69" s="8" t="n">
        <v>0</v>
      </c>
      <c r="R69" s="8" t="n">
        <v>0</v>
      </c>
      <c r="S69" s="8" t="n">
        <v>1</v>
      </c>
      <c r="T69" s="8" t="n">
        <v>0</v>
      </c>
      <c r="U69" s="8" t="n">
        <v>0</v>
      </c>
      <c r="V69" s="8" t="n">
        <v>0</v>
      </c>
      <c r="W69" s="8" t="n">
        <v>58</v>
      </c>
      <c r="X69" s="8" t="n">
        <v>14.5</v>
      </c>
      <c r="Y69" s="8" t="n">
        <v>320</v>
      </c>
      <c r="Z69" s="8" t="n">
        <v>1.2</v>
      </c>
      <c r="AA69" s="8" t="n"/>
      <c r="AB69" s="8" t="n"/>
      <c r="AC69" s="4" t="n"/>
      <c r="AD69" s="4">
        <f>I69+J69+K69+L69+M69+N69+O69+P69</f>
        <v/>
      </c>
      <c r="AE69" s="4" t="n">
        <v>1</v>
      </c>
      <c r="AF69" s="4" t="n">
        <v>1</v>
      </c>
      <c r="AG69" s="4" t="n">
        <v>1</v>
      </c>
      <c r="AH69" s="4" t="n">
        <v>1</v>
      </c>
      <c r="AI69" s="4" t="n">
        <v>0</v>
      </c>
    </row>
    <row r="70">
      <c r="A70" s="4" t="inlineStr">
        <is>
          <t>G069</t>
        </is>
      </c>
      <c r="B70" s="8" t="inlineStr">
        <is>
          <t>US11072700B2</t>
        </is>
      </c>
      <c r="C70" s="8" t="inlineStr">
        <is>
          <t>Daikin Industries, Ltd.</t>
        </is>
      </c>
      <c r="D70" s="8" t="inlineStr">
        <is>
          <t>Example 2</t>
        </is>
      </c>
      <c r="E70" s="8" t="inlineStr">
        <is>
          <t>FFKM</t>
        </is>
      </c>
      <c r="F70" s="8" t="inlineStr">
        <is>
          <t>TFE/PMVE/cyano-group monomer 59.4/40.1/0.5 mol (Daikin)</t>
        </is>
      </c>
      <c r="G70" s="8" t="inlineStr">
        <is>
          <t>nitrile_other</t>
        </is>
      </c>
      <c r="H70" s="8" t="n">
        <v>100</v>
      </c>
      <c r="I70" s="8" t="n">
        <v>0</v>
      </c>
      <c r="J70" s="8" t="n">
        <v>0</v>
      </c>
      <c r="K70" s="8" t="n">
        <v>0</v>
      </c>
      <c r="L70" s="8" t="n">
        <v>0</v>
      </c>
      <c r="M70" s="8" t="n">
        <v>0</v>
      </c>
      <c r="N70" s="8" t="n">
        <v>0</v>
      </c>
      <c r="O70" s="8" t="n">
        <v>0</v>
      </c>
      <c r="P70" s="8" t="n">
        <v>0</v>
      </c>
      <c r="Q70" s="8" t="n">
        <v>0</v>
      </c>
      <c r="R70" s="8" t="n">
        <v>0</v>
      </c>
      <c r="S70" s="8" t="n">
        <v>1.8</v>
      </c>
      <c r="T70" s="8" t="n">
        <v>0</v>
      </c>
      <c r="U70" s="8" t="n">
        <v>0</v>
      </c>
      <c r="V70" s="8" t="n">
        <v>0</v>
      </c>
      <c r="W70" s="8" t="n">
        <v>60</v>
      </c>
      <c r="X70" s="8" t="n">
        <v>14.4</v>
      </c>
      <c r="Y70" s="8" t="n">
        <v>290</v>
      </c>
      <c r="Z70" s="8" t="n">
        <v>1.4</v>
      </c>
      <c r="AA70" s="8" t="n"/>
      <c r="AB70" s="8" t="n"/>
      <c r="AC70" s="4" t="n"/>
      <c r="AD70" s="4">
        <f>I70+J70+K70+L70+M70+N70+O70+P70</f>
        <v/>
      </c>
      <c r="AE70" s="4" t="n">
        <v>1</v>
      </c>
      <c r="AF70" s="4" t="n">
        <v>1</v>
      </c>
      <c r="AG70" s="4" t="n">
        <v>1</v>
      </c>
      <c r="AH70" s="4" t="n">
        <v>1</v>
      </c>
      <c r="AI70" s="4" t="n">
        <v>0</v>
      </c>
    </row>
    <row r="71">
      <c r="A71" s="4" t="inlineStr">
        <is>
          <t>G070</t>
        </is>
      </c>
      <c r="B71" s="8" t="inlineStr">
        <is>
          <t>US11072700B2</t>
        </is>
      </c>
      <c r="C71" s="8" t="inlineStr">
        <is>
          <t>Daikin Industries, Ltd.</t>
        </is>
      </c>
      <c r="D71" s="8" t="inlineStr">
        <is>
          <t>Comparative Example 1</t>
        </is>
      </c>
      <c r="E71" s="8" t="inlineStr">
        <is>
          <t>FFKM</t>
        </is>
      </c>
      <c r="F71" s="8" t="inlineStr">
        <is>
          <t>TFE/PMVE/cyano-group monomer 59.4/40.1/0.5 mol (Daikin)</t>
        </is>
      </c>
      <c r="G71" s="8" t="inlineStr">
        <is>
          <t>nitrile_triazine</t>
        </is>
      </c>
      <c r="H71" s="8" t="n">
        <v>100</v>
      </c>
      <c r="I71" s="8" t="n">
        <v>0</v>
      </c>
      <c r="J71" s="8" t="n">
        <v>0</v>
      </c>
      <c r="K71" s="8" t="n">
        <v>0</v>
      </c>
      <c r="L71" s="8" t="n">
        <v>0</v>
      </c>
      <c r="M71" s="8" t="n">
        <v>0</v>
      </c>
      <c r="N71" s="8" t="n">
        <v>0</v>
      </c>
      <c r="O71" s="8" t="n">
        <v>0</v>
      </c>
      <c r="P71" s="8" t="n">
        <v>0</v>
      </c>
      <c r="Q71" s="8" t="n">
        <v>0</v>
      </c>
      <c r="R71" s="8" t="n">
        <v>0</v>
      </c>
      <c r="S71" s="8" t="n">
        <v>0.25</v>
      </c>
      <c r="T71" s="8" t="n">
        <v>0</v>
      </c>
      <c r="U71" s="8" t="n">
        <v>0</v>
      </c>
      <c r="V71" s="8" t="n">
        <v>0</v>
      </c>
      <c r="W71" s="8" t="n">
        <v>58</v>
      </c>
      <c r="X71" s="8" t="n">
        <v>13.5</v>
      </c>
      <c r="Y71" s="8" t="n">
        <v>300</v>
      </c>
      <c r="Z71" s="8" t="n">
        <v>1.2</v>
      </c>
      <c r="AA71" s="8" t="n"/>
      <c r="AB71" s="8" t="n"/>
      <c r="AC71" s="4" t="n"/>
      <c r="AD71" s="4">
        <f>I71+J71+K71+L71+M71+N71+O71+P71</f>
        <v/>
      </c>
      <c r="AE71" s="4" t="n">
        <v>1</v>
      </c>
      <c r="AF71" s="4" t="n">
        <v>1</v>
      </c>
      <c r="AG71" s="4" t="n">
        <v>1</v>
      </c>
      <c r="AH71" s="4" t="n">
        <v>1</v>
      </c>
      <c r="AI71" s="4" t="n">
        <v>0</v>
      </c>
    </row>
    <row r="72">
      <c r="A72" s="4" t="inlineStr">
        <is>
          <t>G071</t>
        </is>
      </c>
      <c r="B72" s="8" t="inlineStr">
        <is>
          <t>US11072700B2</t>
        </is>
      </c>
      <c r="C72" s="8" t="inlineStr">
        <is>
          <t>Daikin Industries, Ltd.</t>
        </is>
      </c>
      <c r="D72" s="8" t="inlineStr">
        <is>
          <t>Comparative Example 2</t>
        </is>
      </c>
      <c r="E72" s="8" t="inlineStr">
        <is>
          <t>FFKM</t>
        </is>
      </c>
      <c r="F72" s="8" t="inlineStr">
        <is>
          <t>TFE/PMVE/cyano-group monomer 59.4/40.1/0.5 mol (Daikin)</t>
        </is>
      </c>
      <c r="G72" s="8" t="inlineStr">
        <is>
          <t>nitrile_other</t>
        </is>
      </c>
      <c r="H72" s="8" t="n">
        <v>100</v>
      </c>
      <c r="I72" s="8" t="n">
        <v>0</v>
      </c>
      <c r="J72" s="8" t="n">
        <v>0</v>
      </c>
      <c r="K72" s="8" t="n">
        <v>0</v>
      </c>
      <c r="L72" s="8" t="n">
        <v>0</v>
      </c>
      <c r="M72" s="8" t="n">
        <v>0</v>
      </c>
      <c r="N72" s="8" t="n">
        <v>0</v>
      </c>
      <c r="O72" s="8" t="n">
        <v>0</v>
      </c>
      <c r="P72" s="8" t="n">
        <v>0</v>
      </c>
      <c r="Q72" s="8" t="n">
        <v>0</v>
      </c>
      <c r="R72" s="8" t="n">
        <v>0</v>
      </c>
      <c r="S72" s="8" t="n">
        <v>1.05</v>
      </c>
      <c r="T72" s="8" t="n">
        <v>0</v>
      </c>
      <c r="U72" s="8" t="n">
        <v>0</v>
      </c>
      <c r="V72" s="8" t="n">
        <v>0</v>
      </c>
      <c r="W72" s="8" t="n">
        <v>60</v>
      </c>
      <c r="X72" s="8" t="n">
        <v>10.4</v>
      </c>
      <c r="Y72" s="8" t="n">
        <v>270</v>
      </c>
      <c r="Z72" s="8" t="n">
        <v>1.3</v>
      </c>
      <c r="AA72" s="8" t="n"/>
      <c r="AB72" s="8" t="n"/>
      <c r="AC72" s="4" t="n"/>
      <c r="AD72" s="4">
        <f>I72+J72+K72+L72+M72+N72+O72+P72</f>
        <v/>
      </c>
      <c r="AE72" s="4" t="n">
        <v>1</v>
      </c>
      <c r="AF72" s="4" t="n">
        <v>1</v>
      </c>
      <c r="AG72" s="4" t="n">
        <v>1</v>
      </c>
      <c r="AH72" s="4" t="n">
        <v>1</v>
      </c>
      <c r="AI72" s="4" t="n">
        <v>0</v>
      </c>
    </row>
    <row r="73">
      <c r="A73" s="4" t="inlineStr">
        <is>
          <t>G072</t>
        </is>
      </c>
      <c r="B73" s="8" t="inlineStr">
        <is>
          <t>US11072700B2</t>
        </is>
      </c>
      <c r="C73" s="8" t="inlineStr">
        <is>
          <t>Daikin Industries, Ltd.</t>
        </is>
      </c>
      <c r="D73" s="8" t="inlineStr">
        <is>
          <t>Example 3</t>
        </is>
      </c>
      <c r="E73" s="8" t="inlineStr">
        <is>
          <t>FFKM</t>
        </is>
      </c>
      <c r="F73" s="8" t="inlineStr">
        <is>
          <t>TFE/PMVE/cyano-group monomer 59.4/40.1/0.5 mol (Daikin)</t>
        </is>
      </c>
      <c r="G73" s="8" t="inlineStr">
        <is>
          <t>nitrile_triazine</t>
        </is>
      </c>
      <c r="H73" s="8" t="n">
        <v>100</v>
      </c>
      <c r="I73" s="8" t="n">
        <v>23</v>
      </c>
      <c r="J73" s="8" t="n">
        <v>0</v>
      </c>
      <c r="K73" s="8" t="n">
        <v>0</v>
      </c>
      <c r="L73" s="8" t="n">
        <v>0</v>
      </c>
      <c r="M73" s="8" t="n">
        <v>0</v>
      </c>
      <c r="N73" s="8" t="n">
        <v>0</v>
      </c>
      <c r="O73" s="8" t="n">
        <v>0</v>
      </c>
      <c r="P73" s="8" t="n">
        <v>0</v>
      </c>
      <c r="Q73" s="8" t="n">
        <v>0</v>
      </c>
      <c r="R73" s="8" t="n">
        <v>0</v>
      </c>
      <c r="S73" s="8" t="n">
        <v>0.5</v>
      </c>
      <c r="T73" s="8" t="n">
        <v>0</v>
      </c>
      <c r="U73" s="8" t="n">
        <v>0</v>
      </c>
      <c r="V73" s="8" t="n">
        <v>0</v>
      </c>
      <c r="W73" s="8" t="n">
        <v>74</v>
      </c>
      <c r="X73" s="8" t="n">
        <v>18.9</v>
      </c>
      <c r="Y73" s="8" t="n">
        <v>185</v>
      </c>
      <c r="Z73" s="8" t="n">
        <v>7</v>
      </c>
      <c r="AA73" s="8" t="n"/>
      <c r="AB73" s="8" t="n"/>
      <c r="AC73" s="4" t="n"/>
      <c r="AD73" s="4">
        <f>I73+J73+K73+L73+M73+N73+O73+P73</f>
        <v/>
      </c>
      <c r="AE73" s="4" t="n">
        <v>1</v>
      </c>
      <c r="AF73" s="4" t="n">
        <v>1</v>
      </c>
      <c r="AG73" s="4" t="n">
        <v>1</v>
      </c>
      <c r="AH73" s="4" t="n">
        <v>1</v>
      </c>
      <c r="AI73" s="4" t="n">
        <v>0</v>
      </c>
    </row>
    <row r="74">
      <c r="A74" s="4" t="inlineStr">
        <is>
          <t>G073</t>
        </is>
      </c>
      <c r="B74" s="8" t="inlineStr">
        <is>
          <t>US11072700B2</t>
        </is>
      </c>
      <c r="C74" s="8" t="inlineStr">
        <is>
          <t>Daikin Industries, Ltd.</t>
        </is>
      </c>
      <c r="D74" s="8" t="inlineStr">
        <is>
          <t>Comparative Example 3</t>
        </is>
      </c>
      <c r="E74" s="8" t="inlineStr">
        <is>
          <t>FFKM</t>
        </is>
      </c>
      <c r="F74" s="8" t="inlineStr">
        <is>
          <t>TFE/PMVE/cyano-group monomer 59.4/40.1/0.5 mol (Daikin)</t>
        </is>
      </c>
      <c r="G74" s="8" t="inlineStr">
        <is>
          <t>nitrile_triazine</t>
        </is>
      </c>
      <c r="H74" s="8" t="n">
        <v>100</v>
      </c>
      <c r="I74" s="8" t="n">
        <v>23</v>
      </c>
      <c r="J74" s="8" t="n">
        <v>0</v>
      </c>
      <c r="K74" s="8" t="n">
        <v>0</v>
      </c>
      <c r="L74" s="8" t="n">
        <v>0</v>
      </c>
      <c r="M74" s="8" t="n">
        <v>0</v>
      </c>
      <c r="N74" s="8" t="n">
        <v>0</v>
      </c>
      <c r="O74" s="8" t="n">
        <v>0</v>
      </c>
      <c r="P74" s="8" t="n">
        <v>0</v>
      </c>
      <c r="Q74" s="8" t="n">
        <v>0</v>
      </c>
      <c r="R74" s="8" t="n">
        <v>0</v>
      </c>
      <c r="S74" s="8" t="n">
        <v>0.25</v>
      </c>
      <c r="T74" s="8" t="n">
        <v>0</v>
      </c>
      <c r="U74" s="8" t="n">
        <v>0</v>
      </c>
      <c r="V74" s="8" t="n">
        <v>0</v>
      </c>
      <c r="W74" s="8" t="n">
        <v>74</v>
      </c>
      <c r="X74" s="8" t="n">
        <v>19.9</v>
      </c>
      <c r="Y74" s="8" t="n">
        <v>180</v>
      </c>
      <c r="Z74" s="8" t="n">
        <v>7.4</v>
      </c>
      <c r="AA74" s="8" t="n"/>
      <c r="AB74" s="8" t="n"/>
      <c r="AC74" s="4" t="n"/>
      <c r="AD74" s="4">
        <f>I74+J74+K74+L74+M74+N74+O74+P74</f>
        <v/>
      </c>
      <c r="AE74" s="4" t="n">
        <v>1</v>
      </c>
      <c r="AF74" s="4" t="n">
        <v>1</v>
      </c>
      <c r="AG74" s="4" t="n">
        <v>1</v>
      </c>
      <c r="AH74" s="4" t="n">
        <v>1</v>
      </c>
      <c r="AI74" s="4" t="n">
        <v>0</v>
      </c>
    </row>
    <row r="75">
      <c r="A75" s="4" t="inlineStr">
        <is>
          <t>G074</t>
        </is>
      </c>
      <c r="B75" s="8" t="inlineStr">
        <is>
          <t>US12091537B2</t>
        </is>
      </c>
      <c r="C75" s="8" t="inlineStr">
        <is>
          <t>Daikin Industries, Ltd.</t>
        </is>
      </c>
      <c r="D75" s="8" t="inlineStr">
        <is>
          <t>Example 1</t>
        </is>
      </c>
      <c r="E75" s="8" t="inlineStr">
        <is>
          <t>FFKM</t>
        </is>
      </c>
      <c r="F75" s="8" t="inlineStr">
        <is>
          <t>TFE/PMVE/cyano-group monomer 59.4/40.1/0.5 mol</t>
        </is>
      </c>
      <c r="G75" s="8" t="inlineStr">
        <is>
          <t>nitrile_other</t>
        </is>
      </c>
      <c r="H75" s="8" t="n">
        <v>100</v>
      </c>
      <c r="I75" s="8" t="n">
        <v>23</v>
      </c>
      <c r="J75" s="8" t="n">
        <v>0</v>
      </c>
      <c r="K75" s="8" t="n">
        <v>0</v>
      </c>
      <c r="L75" s="8" t="n">
        <v>0</v>
      </c>
      <c r="M75" s="8" t="n">
        <v>0</v>
      </c>
      <c r="N75" s="8" t="n">
        <v>0</v>
      </c>
      <c r="O75" s="8" t="n">
        <v>0</v>
      </c>
      <c r="P75" s="8" t="n">
        <v>0</v>
      </c>
      <c r="Q75" s="8" t="n">
        <v>0</v>
      </c>
      <c r="R75" s="8" t="n">
        <v>0</v>
      </c>
      <c r="S75" s="8" t="n">
        <v>1.3</v>
      </c>
      <c r="T75" s="8" t="n">
        <v>0</v>
      </c>
      <c r="U75" s="8" t="n">
        <v>0</v>
      </c>
      <c r="V75" s="8" t="n">
        <v>0</v>
      </c>
      <c r="W75" s="8" t="n">
        <v>79</v>
      </c>
      <c r="X75" s="8" t="n">
        <v>19.6</v>
      </c>
      <c r="Y75" s="8" t="n">
        <v>190</v>
      </c>
      <c r="Z75" s="8" t="n">
        <v>8.4</v>
      </c>
      <c r="AA75" s="8" t="n"/>
      <c r="AB75" s="8" t="n"/>
      <c r="AC75" s="4" t="n"/>
      <c r="AD75" s="4">
        <f>I75+J75+K75+L75+M75+N75+O75+P75</f>
        <v/>
      </c>
      <c r="AE75" s="4" t="n">
        <v>1</v>
      </c>
      <c r="AF75" s="4" t="n">
        <v>1</v>
      </c>
      <c r="AG75" s="4" t="n">
        <v>1</v>
      </c>
      <c r="AH75" s="4" t="n">
        <v>1</v>
      </c>
      <c r="AI75" s="4" t="n">
        <v>0</v>
      </c>
    </row>
    <row r="76">
      <c r="A76" s="4" t="inlineStr">
        <is>
          <t>G075</t>
        </is>
      </c>
      <c r="B76" s="8" t="inlineStr">
        <is>
          <t>US12091537B2</t>
        </is>
      </c>
      <c r="C76" s="8" t="inlineStr">
        <is>
          <t>Daikin Industries, Ltd.</t>
        </is>
      </c>
      <c r="D76" s="8" t="inlineStr">
        <is>
          <t>Example 2</t>
        </is>
      </c>
      <c r="E76" s="8" t="inlineStr">
        <is>
          <t>FFKM</t>
        </is>
      </c>
      <c r="F76" s="8" t="inlineStr">
        <is>
          <t>TFE/PMVE/cyano-group monomer 59.4/40.1/0.5 mol</t>
        </is>
      </c>
      <c r="G76" s="8" t="inlineStr">
        <is>
          <t>nitrile_other</t>
        </is>
      </c>
      <c r="H76" s="8" t="n">
        <v>100</v>
      </c>
      <c r="I76" s="8" t="n">
        <v>23</v>
      </c>
      <c r="J76" s="8" t="n">
        <v>0</v>
      </c>
      <c r="K76" s="8" t="n">
        <v>0</v>
      </c>
      <c r="L76" s="8" t="n">
        <v>0</v>
      </c>
      <c r="M76" s="8" t="n">
        <v>0</v>
      </c>
      <c r="N76" s="8" t="n">
        <v>0</v>
      </c>
      <c r="O76" s="8" t="n">
        <v>0</v>
      </c>
      <c r="P76" s="8" t="n">
        <v>0</v>
      </c>
      <c r="Q76" s="8" t="n">
        <v>0</v>
      </c>
      <c r="R76" s="8" t="n">
        <v>0</v>
      </c>
      <c r="S76" s="8" t="n">
        <v>1.3</v>
      </c>
      <c r="T76" s="8" t="n">
        <v>0</v>
      </c>
      <c r="U76" s="8" t="n">
        <v>0</v>
      </c>
      <c r="V76" s="8" t="n">
        <v>0</v>
      </c>
      <c r="W76" s="8" t="n">
        <v>78</v>
      </c>
      <c r="X76" s="8" t="n">
        <v>19.1</v>
      </c>
      <c r="Y76" s="8" t="n">
        <v>210</v>
      </c>
      <c r="Z76" s="8" t="n">
        <v>8.5</v>
      </c>
      <c r="AA76" s="8" t="n"/>
      <c r="AB76" s="8" t="n"/>
      <c r="AC76" s="4" t="n"/>
      <c r="AD76" s="4">
        <f>I76+J76+K76+L76+M76+N76+O76+P76</f>
        <v/>
      </c>
      <c r="AE76" s="4" t="n">
        <v>1</v>
      </c>
      <c r="AF76" s="4" t="n">
        <v>1</v>
      </c>
      <c r="AG76" s="4" t="n">
        <v>1</v>
      </c>
      <c r="AH76" s="4" t="n">
        <v>1</v>
      </c>
      <c r="AI76" s="4" t="n">
        <v>0</v>
      </c>
    </row>
    <row r="77">
      <c r="A77" s="4" t="inlineStr">
        <is>
          <t>G076</t>
        </is>
      </c>
      <c r="B77" s="8" t="inlineStr">
        <is>
          <t>US12091537B2</t>
        </is>
      </c>
      <c r="C77" s="8" t="inlineStr">
        <is>
          <t>Daikin Industries, Ltd.</t>
        </is>
      </c>
      <c r="D77" s="8" t="inlineStr">
        <is>
          <t>Example 3</t>
        </is>
      </c>
      <c r="E77" s="8" t="inlineStr">
        <is>
          <t>FFKM</t>
        </is>
      </c>
      <c r="F77" s="8" t="inlineStr">
        <is>
          <t>TFE/PMVE/cyano-group monomer 59.4/40.1/0.5 mol</t>
        </is>
      </c>
      <c r="G77" s="8" t="inlineStr">
        <is>
          <t>nitrile_other</t>
        </is>
      </c>
      <c r="H77" s="8" t="n">
        <v>100</v>
      </c>
      <c r="I77" s="8" t="n">
        <v>23</v>
      </c>
      <c r="J77" s="8" t="n">
        <v>0</v>
      </c>
      <c r="K77" s="8" t="n">
        <v>0</v>
      </c>
      <c r="L77" s="8" t="n">
        <v>0</v>
      </c>
      <c r="M77" s="8" t="n">
        <v>0</v>
      </c>
      <c r="N77" s="8" t="n">
        <v>0</v>
      </c>
      <c r="O77" s="8" t="n">
        <v>0</v>
      </c>
      <c r="P77" s="8" t="n">
        <v>0</v>
      </c>
      <c r="Q77" s="8" t="n">
        <v>0</v>
      </c>
      <c r="R77" s="8" t="n">
        <v>0</v>
      </c>
      <c r="S77" s="8" t="n">
        <v>1.3</v>
      </c>
      <c r="T77" s="8" t="n">
        <v>0</v>
      </c>
      <c r="U77" s="8" t="n">
        <v>0</v>
      </c>
      <c r="V77" s="8" t="n">
        <v>0</v>
      </c>
      <c r="W77" s="8" t="n">
        <v>79</v>
      </c>
      <c r="X77" s="8" t="n">
        <v>19.3</v>
      </c>
      <c r="Y77" s="8" t="n">
        <v>190</v>
      </c>
      <c r="Z77" s="8" t="n">
        <v>9</v>
      </c>
      <c r="AA77" s="8" t="n"/>
      <c r="AB77" s="8" t="n"/>
      <c r="AC77" s="4" t="n"/>
      <c r="AD77" s="4">
        <f>I77+J77+K77+L77+M77+N77+O77+P77</f>
        <v/>
      </c>
      <c r="AE77" s="4" t="n">
        <v>1</v>
      </c>
      <c r="AF77" s="4" t="n">
        <v>1</v>
      </c>
      <c r="AG77" s="4" t="n">
        <v>1</v>
      </c>
      <c r="AH77" s="4" t="n">
        <v>1</v>
      </c>
      <c r="AI77" s="4" t="n">
        <v>0</v>
      </c>
    </row>
    <row r="78">
      <c r="A78" s="4" t="inlineStr">
        <is>
          <t>G077</t>
        </is>
      </c>
      <c r="B78" s="8" t="inlineStr">
        <is>
          <t>US12091537B2</t>
        </is>
      </c>
      <c r="C78" s="8" t="inlineStr">
        <is>
          <t>Daikin Industries, Ltd.</t>
        </is>
      </c>
      <c r="D78" s="8" t="inlineStr">
        <is>
          <t>Example 4</t>
        </is>
      </c>
      <c r="E78" s="8" t="inlineStr">
        <is>
          <t>FFKM</t>
        </is>
      </c>
      <c r="F78" s="8" t="inlineStr">
        <is>
          <t>TFE/PMVE/cyano-group monomer 59.4/40.1/0.5 mol</t>
        </is>
      </c>
      <c r="G78" s="8" t="inlineStr">
        <is>
          <t>nitrile_other</t>
        </is>
      </c>
      <c r="H78" s="8" t="n">
        <v>100</v>
      </c>
      <c r="I78" s="8" t="n">
        <v>23</v>
      </c>
      <c r="J78" s="8" t="n">
        <v>0</v>
      </c>
      <c r="K78" s="8" t="n">
        <v>0</v>
      </c>
      <c r="L78" s="8" t="n">
        <v>0</v>
      </c>
      <c r="M78" s="8" t="n">
        <v>0</v>
      </c>
      <c r="N78" s="8" t="n">
        <v>0</v>
      </c>
      <c r="O78" s="8" t="n">
        <v>0</v>
      </c>
      <c r="P78" s="8" t="n">
        <v>0</v>
      </c>
      <c r="Q78" s="8" t="n">
        <v>0</v>
      </c>
      <c r="R78" s="8" t="n">
        <v>0</v>
      </c>
      <c r="S78" s="8" t="n">
        <v>1.3</v>
      </c>
      <c r="T78" s="8" t="n">
        <v>0</v>
      </c>
      <c r="U78" s="8" t="n">
        <v>0</v>
      </c>
      <c r="V78" s="8" t="n">
        <v>0</v>
      </c>
      <c r="W78" s="8" t="n">
        <v>79</v>
      </c>
      <c r="X78" s="8" t="n">
        <v>18.2</v>
      </c>
      <c r="Y78" s="8" t="n">
        <v>210</v>
      </c>
      <c r="Z78" s="8" t="n">
        <v>7.9</v>
      </c>
      <c r="AA78" s="8" t="n"/>
      <c r="AB78" s="8" t="n"/>
      <c r="AC78" s="4" t="n"/>
      <c r="AD78" s="4">
        <f>I78+J78+K78+L78+M78+N78+O78+P78</f>
        <v/>
      </c>
      <c r="AE78" s="4" t="n">
        <v>1</v>
      </c>
      <c r="AF78" s="4" t="n">
        <v>1</v>
      </c>
      <c r="AG78" s="4" t="n">
        <v>1</v>
      </c>
      <c r="AH78" s="4" t="n">
        <v>1</v>
      </c>
      <c r="AI78" s="4" t="n">
        <v>0</v>
      </c>
    </row>
    <row r="79">
      <c r="A79" s="4" t="inlineStr">
        <is>
          <t>G078</t>
        </is>
      </c>
      <c r="B79" s="8" t="inlineStr">
        <is>
          <t>US12091537B2</t>
        </is>
      </c>
      <c r="C79" s="8" t="inlineStr">
        <is>
          <t>Daikin Industries, Ltd.</t>
        </is>
      </c>
      <c r="D79" s="8" t="inlineStr">
        <is>
          <t>Example 5</t>
        </is>
      </c>
      <c r="E79" s="8" t="inlineStr">
        <is>
          <t>FFKM</t>
        </is>
      </c>
      <c r="F79" s="8" t="inlineStr">
        <is>
          <t>TFE/PMVE/cyano-group monomer 59.4/40.1/0.5 mol</t>
        </is>
      </c>
      <c r="G79" s="8" t="inlineStr">
        <is>
          <t>nitrile_other</t>
        </is>
      </c>
      <c r="H79" s="8" t="n">
        <v>100</v>
      </c>
      <c r="I79" s="8" t="n">
        <v>23</v>
      </c>
      <c r="J79" s="8" t="n">
        <v>0</v>
      </c>
      <c r="K79" s="8" t="n">
        <v>0</v>
      </c>
      <c r="L79" s="8" t="n">
        <v>0</v>
      </c>
      <c r="M79" s="8" t="n">
        <v>0</v>
      </c>
      <c r="N79" s="8" t="n">
        <v>0</v>
      </c>
      <c r="O79" s="8" t="n">
        <v>0</v>
      </c>
      <c r="P79" s="8" t="n">
        <v>0</v>
      </c>
      <c r="Q79" s="8" t="n">
        <v>0</v>
      </c>
      <c r="R79" s="8" t="n">
        <v>0</v>
      </c>
      <c r="S79" s="8" t="n">
        <v>1.3</v>
      </c>
      <c r="T79" s="8" t="n">
        <v>0</v>
      </c>
      <c r="U79" s="8" t="n">
        <v>0</v>
      </c>
      <c r="V79" s="8" t="n">
        <v>0</v>
      </c>
      <c r="W79" s="8" t="n">
        <v>79</v>
      </c>
      <c r="X79" s="8" t="n">
        <v>19.4</v>
      </c>
      <c r="Y79" s="8" t="n">
        <v>200</v>
      </c>
      <c r="Z79" s="8" t="n">
        <v>8.199999999999999</v>
      </c>
      <c r="AA79" s="8" t="n"/>
      <c r="AB79" s="8" t="n"/>
      <c r="AC79" s="4" t="n"/>
      <c r="AD79" s="4">
        <f>I79+J79+K79+L79+M79+N79+O79+P79</f>
        <v/>
      </c>
      <c r="AE79" s="4" t="n">
        <v>1</v>
      </c>
      <c r="AF79" s="4" t="n">
        <v>1</v>
      </c>
      <c r="AG79" s="4" t="n">
        <v>1</v>
      </c>
      <c r="AH79" s="4" t="n">
        <v>1</v>
      </c>
      <c r="AI79" s="4" t="n">
        <v>0</v>
      </c>
    </row>
    <row r="80">
      <c r="A80" s="4" t="inlineStr">
        <is>
          <t>G079</t>
        </is>
      </c>
      <c r="B80" s="8" t="inlineStr">
        <is>
          <t>US12091537B2</t>
        </is>
      </c>
      <c r="C80" s="8" t="inlineStr">
        <is>
          <t>Daikin Industries, Ltd.</t>
        </is>
      </c>
      <c r="D80" s="8" t="inlineStr">
        <is>
          <t>Comparative Example 1</t>
        </is>
      </c>
      <c r="E80" s="8" t="inlineStr">
        <is>
          <t>FFKM</t>
        </is>
      </c>
      <c r="F80" s="8" t="inlineStr">
        <is>
          <t>TFE/PMVE/cyano-group monomer 59.4/40.1/0.5 mol</t>
        </is>
      </c>
      <c r="G80" s="8" t="inlineStr">
        <is>
          <t>nitrile_other</t>
        </is>
      </c>
      <c r="H80" s="8" t="n">
        <v>100</v>
      </c>
      <c r="I80" s="8" t="n">
        <v>23</v>
      </c>
      <c r="J80" s="8" t="n">
        <v>0</v>
      </c>
      <c r="K80" s="8" t="n">
        <v>0</v>
      </c>
      <c r="L80" s="8" t="n">
        <v>0</v>
      </c>
      <c r="M80" s="8" t="n">
        <v>0</v>
      </c>
      <c r="N80" s="8" t="n">
        <v>0</v>
      </c>
      <c r="O80" s="8" t="n">
        <v>0</v>
      </c>
      <c r="P80" s="8" t="n">
        <v>0</v>
      </c>
      <c r="Q80" s="8" t="n">
        <v>0</v>
      </c>
      <c r="R80" s="8" t="n">
        <v>0</v>
      </c>
      <c r="S80" s="8" t="n">
        <v>1.3</v>
      </c>
      <c r="T80" s="8" t="n">
        <v>0</v>
      </c>
      <c r="U80" s="8" t="n">
        <v>0</v>
      </c>
      <c r="V80" s="8" t="n">
        <v>0</v>
      </c>
      <c r="W80" s="8" t="n">
        <v>79</v>
      </c>
      <c r="X80" s="8" t="n">
        <v>19.9</v>
      </c>
      <c r="Y80" s="8" t="n">
        <v>200</v>
      </c>
      <c r="Z80" s="8" t="n">
        <v>8.9</v>
      </c>
      <c r="AA80" s="8" t="n"/>
      <c r="AB80" s="8" t="n"/>
      <c r="AC80" s="4" t="n"/>
      <c r="AD80" s="4">
        <f>I80+J80+K80+L80+M80+N80+O80+P80</f>
        <v/>
      </c>
      <c r="AE80" s="4" t="n">
        <v>1</v>
      </c>
      <c r="AF80" s="4" t="n">
        <v>1</v>
      </c>
      <c r="AG80" s="4" t="n">
        <v>1</v>
      </c>
      <c r="AH80" s="4" t="n">
        <v>1</v>
      </c>
      <c r="AI80" s="4" t="n">
        <v>0</v>
      </c>
    </row>
    <row r="81">
      <c r="A81" s="4" t="inlineStr">
        <is>
          <t>G080</t>
        </is>
      </c>
      <c r="B81" s="8" t="inlineStr">
        <is>
          <t>US12091537B2</t>
        </is>
      </c>
      <c r="C81" s="8" t="inlineStr">
        <is>
          <t>Daikin Industries, Ltd.</t>
        </is>
      </c>
      <c r="D81" s="8" t="inlineStr">
        <is>
          <t>Reference Example 1</t>
        </is>
      </c>
      <c r="E81" s="8" t="inlineStr">
        <is>
          <t>FFKM</t>
        </is>
      </c>
      <c r="F81" s="8" t="inlineStr">
        <is>
          <t>TFE/PMVE/cyano-group monomer 59.4/40.1/0.5 mol</t>
        </is>
      </c>
      <c r="G81" s="8" t="inlineStr">
        <is>
          <t>nitrile_other</t>
        </is>
      </c>
      <c r="H81" s="8" t="n">
        <v>100</v>
      </c>
      <c r="I81" s="8" t="n">
        <v>23</v>
      </c>
      <c r="J81" s="8" t="n">
        <v>0</v>
      </c>
      <c r="K81" s="8" t="n">
        <v>0</v>
      </c>
      <c r="L81" s="8" t="n">
        <v>0</v>
      </c>
      <c r="M81" s="8" t="n">
        <v>0</v>
      </c>
      <c r="N81" s="8" t="n">
        <v>0</v>
      </c>
      <c r="O81" s="8" t="n">
        <v>0</v>
      </c>
      <c r="P81" s="8" t="n">
        <v>0</v>
      </c>
      <c r="Q81" s="8" t="n">
        <v>0</v>
      </c>
      <c r="R81" s="8" t="n">
        <v>0</v>
      </c>
      <c r="S81" s="8" t="n">
        <v>1.05</v>
      </c>
      <c r="T81" s="8" t="n">
        <v>0</v>
      </c>
      <c r="U81" s="8" t="n">
        <v>0</v>
      </c>
      <c r="V81" s="8" t="n">
        <v>0</v>
      </c>
      <c r="W81" s="8" t="n">
        <v>75</v>
      </c>
      <c r="X81" s="8" t="n">
        <v>19.3</v>
      </c>
      <c r="Y81" s="8" t="n">
        <v>180</v>
      </c>
      <c r="Z81" s="8" t="n">
        <v>8</v>
      </c>
      <c r="AA81" s="8" t="n"/>
      <c r="AB81" s="8" t="n"/>
      <c r="AC81" s="4" t="n"/>
      <c r="AD81" s="4">
        <f>I81+J81+K81+L81+M81+N81+O81+P81</f>
        <v/>
      </c>
      <c r="AE81" s="4" t="n">
        <v>1</v>
      </c>
      <c r="AF81" s="4" t="n">
        <v>1</v>
      </c>
      <c r="AG81" s="4" t="n">
        <v>1</v>
      </c>
      <c r="AH81" s="4" t="n">
        <v>1</v>
      </c>
      <c r="AI81" s="4" t="n">
        <v>0</v>
      </c>
    </row>
    <row r="82">
      <c r="A82" s="4" t="inlineStr">
        <is>
          <t>G081</t>
        </is>
      </c>
      <c r="B82" s="8" t="inlineStr">
        <is>
          <t>US12304984B2</t>
        </is>
      </c>
      <c r="C82" s="8" t="inlineStr">
        <is>
          <t>Daikin Industries, Ltd.</t>
        </is>
      </c>
      <c r="D82" s="8" t="inlineStr">
        <is>
          <t>Example 1</t>
        </is>
      </c>
      <c r="E82" s="8" t="inlineStr">
        <is>
          <t>FFKM</t>
        </is>
      </c>
      <c r="F82" s="8" t="inlineStr">
        <is>
          <t>TFE/PMVE/CNVE 59.3/39.9/0.8 mol%, Mooney ML1+20(170C)=80</t>
        </is>
      </c>
      <c r="G82" s="8" t="inlineStr">
        <is>
          <t>nitrile_other</t>
        </is>
      </c>
      <c r="H82" s="8" t="n">
        <v>100</v>
      </c>
      <c r="I82" s="8" t="n">
        <v>0</v>
      </c>
      <c r="J82" s="8" t="n">
        <v>0</v>
      </c>
      <c r="K82" s="8" t="n">
        <v>0</v>
      </c>
      <c r="L82" s="8" t="n">
        <v>0</v>
      </c>
      <c r="M82" s="8" t="n">
        <v>0</v>
      </c>
      <c r="N82" s="8" t="n">
        <v>0</v>
      </c>
      <c r="O82" s="8" t="n">
        <v>10</v>
      </c>
      <c r="P82" s="8" t="n">
        <v>0</v>
      </c>
      <c r="Q82" s="8" t="n">
        <v>0</v>
      </c>
      <c r="R82" s="8" t="n">
        <v>0</v>
      </c>
      <c r="S82" s="8" t="n">
        <v>0.8</v>
      </c>
      <c r="T82" s="8" t="n">
        <v>0</v>
      </c>
      <c r="U82" s="8" t="n">
        <v>0</v>
      </c>
      <c r="V82" s="8" t="n">
        <v>0</v>
      </c>
      <c r="W82" s="8" t="n">
        <v>75</v>
      </c>
      <c r="X82" s="8" t="n">
        <v>10.2</v>
      </c>
      <c r="Y82" s="8" t="n">
        <v>201</v>
      </c>
      <c r="Z82" s="8" t="n">
        <v>3.6</v>
      </c>
      <c r="AA82" s="8" t="n"/>
      <c r="AB82" s="8" t="n"/>
      <c r="AC82" s="4" t="n"/>
      <c r="AD82" s="4">
        <f>I82+J82+K82+L82+M82+N82+O82+P82</f>
        <v/>
      </c>
      <c r="AE82" s="4" t="n">
        <v>1</v>
      </c>
      <c r="AF82" s="4" t="n">
        <v>1</v>
      </c>
      <c r="AG82" s="4" t="n">
        <v>1</v>
      </c>
      <c r="AH82" s="4" t="n">
        <v>1</v>
      </c>
      <c r="AI82" s="4" t="n">
        <v>0</v>
      </c>
    </row>
    <row r="83">
      <c r="A83" s="4" t="inlineStr">
        <is>
          <t>G082</t>
        </is>
      </c>
      <c r="B83" s="8" t="inlineStr">
        <is>
          <t>US12304984B2</t>
        </is>
      </c>
      <c r="C83" s="8" t="inlineStr">
        <is>
          <t>Daikin Industries, Ltd.</t>
        </is>
      </c>
      <c r="D83" s="8" t="inlineStr">
        <is>
          <t>Example 2</t>
        </is>
      </c>
      <c r="E83" s="8" t="inlineStr">
        <is>
          <t>FFKM</t>
        </is>
      </c>
      <c r="F83" s="8" t="inlineStr">
        <is>
          <t>TFE/PMVE/CNVE 59.3/39.9/0.8 mol%, Mooney ML1+20(170C)=80</t>
        </is>
      </c>
      <c r="G83" s="8" t="inlineStr">
        <is>
          <t>nitrile_other</t>
        </is>
      </c>
      <c r="H83" s="8" t="n">
        <v>100</v>
      </c>
      <c r="I83" s="8" t="n">
        <v>0</v>
      </c>
      <c r="J83" s="8" t="n">
        <v>0</v>
      </c>
      <c r="K83" s="8" t="n">
        <v>0</v>
      </c>
      <c r="L83" s="8" t="n">
        <v>0</v>
      </c>
      <c r="M83" s="8" t="n">
        <v>0</v>
      </c>
      <c r="N83" s="8" t="n">
        <v>0</v>
      </c>
      <c r="O83" s="8" t="n">
        <v>20</v>
      </c>
      <c r="P83" s="8" t="n">
        <v>0</v>
      </c>
      <c r="Q83" s="8" t="n">
        <v>0</v>
      </c>
      <c r="R83" s="8" t="n">
        <v>0</v>
      </c>
      <c r="S83" s="8" t="n">
        <v>0.8</v>
      </c>
      <c r="T83" s="8" t="n">
        <v>0</v>
      </c>
      <c r="U83" s="8" t="n">
        <v>0</v>
      </c>
      <c r="V83" s="8" t="n">
        <v>0</v>
      </c>
      <c r="W83" s="8" t="n">
        <v>88</v>
      </c>
      <c r="X83" s="8" t="n">
        <v>20.4</v>
      </c>
      <c r="Y83" s="8" t="n">
        <v>216</v>
      </c>
      <c r="Z83" s="8" t="n">
        <v>9.9</v>
      </c>
      <c r="AA83" s="8" t="n"/>
      <c r="AB83" s="8" t="n"/>
      <c r="AC83" s="4" t="n"/>
      <c r="AD83" s="4">
        <f>I83+J83+K83+L83+M83+N83+O83+P83</f>
        <v/>
      </c>
      <c r="AE83" s="4" t="n">
        <v>1</v>
      </c>
      <c r="AF83" s="4" t="n">
        <v>1</v>
      </c>
      <c r="AG83" s="4" t="n">
        <v>1</v>
      </c>
      <c r="AH83" s="4" t="n">
        <v>1</v>
      </c>
      <c r="AI83" s="4" t="n">
        <v>0</v>
      </c>
    </row>
    <row r="84">
      <c r="A84" s="4" t="inlineStr">
        <is>
          <t>G083</t>
        </is>
      </c>
      <c r="B84" s="8" t="inlineStr">
        <is>
          <t>US8367776B2</t>
        </is>
      </c>
      <c r="C84" s="8" t="inlineStr">
        <is>
          <t>Daikin Industries Ltd; Greene Tweed of Delaware Inc</t>
        </is>
      </c>
      <c r="D84" s="8" t="inlineStr">
        <is>
          <t>Example 3</t>
        </is>
      </c>
      <c r="E84" s="8" t="inlineStr">
        <is>
          <t>FFKM</t>
        </is>
      </c>
      <c r="F84" s="8" t="inlineStr">
        <is>
          <t>50/50 blend: Perfluoroelastomer (1) TFE/PMVE/CF2=CFO(CF2)5CN 57.9/41.7/0.43 mol% + Perfluoroelastomer (2) TFE/PMVE/CF2=CFO(CF2)5CN 69.4/30.2/0.43 mol%</t>
        </is>
      </c>
      <c r="G84" s="8" t="inlineStr">
        <is>
          <t>nitrile_other</t>
        </is>
      </c>
      <c r="H84" s="8" t="n">
        <v>100</v>
      </c>
      <c r="I84" s="8" t="n">
        <v>0</v>
      </c>
      <c r="J84" s="8" t="n">
        <v>0</v>
      </c>
      <c r="K84" s="8" t="n">
        <v>0</v>
      </c>
      <c r="L84" s="8" t="n">
        <v>0</v>
      </c>
      <c r="M84" s="8" t="n">
        <v>0</v>
      </c>
      <c r="N84" s="8" t="n">
        <v>0</v>
      </c>
      <c r="O84" s="8" t="n">
        <v>0</v>
      </c>
      <c r="P84" s="8" t="n">
        <v>0</v>
      </c>
      <c r="Q84" s="8" t="n">
        <v>0</v>
      </c>
      <c r="R84" s="8" t="n">
        <v>0</v>
      </c>
      <c r="S84" s="8" t="n">
        <v>1</v>
      </c>
      <c r="T84" s="8" t="n">
        <v>0</v>
      </c>
      <c r="U84" s="8" t="n">
        <v>0</v>
      </c>
      <c r="V84" s="8" t="n">
        <v>0</v>
      </c>
      <c r="W84" s="8" t="n">
        <v>68</v>
      </c>
      <c r="X84" s="8" t="n">
        <v>16</v>
      </c>
      <c r="Y84" s="8" t="n">
        <v>250</v>
      </c>
      <c r="Z84" s="8" t="n">
        <v>2.1</v>
      </c>
      <c r="AA84" s="8" t="n"/>
      <c r="AB84" s="8" t="n"/>
      <c r="AC84" s="4" t="n"/>
      <c r="AD84" s="4">
        <f>I84+J84+K84+L84+M84+N84+O84+P84</f>
        <v/>
      </c>
      <c r="AE84" s="4" t="n">
        <v>1</v>
      </c>
      <c r="AF84" s="4" t="n">
        <v>1</v>
      </c>
      <c r="AG84" s="4" t="n">
        <v>1</v>
      </c>
      <c r="AH84" s="4" t="n">
        <v>1</v>
      </c>
      <c r="AI84" s="4" t="n">
        <v>0</v>
      </c>
    </row>
    <row r="85">
      <c r="A85" s="4" t="inlineStr">
        <is>
          <t>G084</t>
        </is>
      </c>
      <c r="B85" s="8" t="inlineStr">
        <is>
          <t>US8367776B2</t>
        </is>
      </c>
      <c r="C85" s="8" t="inlineStr">
        <is>
          <t>Daikin Industries Ltd; Greene Tweed of Delaware Inc</t>
        </is>
      </c>
      <c r="D85" s="8" t="inlineStr">
        <is>
          <t>Comparative Example 1</t>
        </is>
      </c>
      <c r="E85" s="8" t="inlineStr">
        <is>
          <t>FFKM</t>
        </is>
      </c>
      <c r="F85" s="8" t="inlineStr">
        <is>
          <t>Perfluoroelastomer (1) TFE/PMVE/CF2=CFO(CF2)5CN 57.9/41.7/0.43 mol%</t>
        </is>
      </c>
      <c r="G85" s="8" t="inlineStr">
        <is>
          <t>nitrile_other</t>
        </is>
      </c>
      <c r="H85" s="8" t="n">
        <v>100</v>
      </c>
      <c r="I85" s="8" t="n">
        <v>0</v>
      </c>
      <c r="J85" s="8" t="n">
        <v>0</v>
      </c>
      <c r="K85" s="8" t="n">
        <v>0</v>
      </c>
      <c r="L85" s="8" t="n">
        <v>0</v>
      </c>
      <c r="M85" s="8" t="n">
        <v>0</v>
      </c>
      <c r="N85" s="8" t="n">
        <v>0</v>
      </c>
      <c r="O85" s="8" t="n">
        <v>0</v>
      </c>
      <c r="P85" s="8" t="n">
        <v>0</v>
      </c>
      <c r="Q85" s="8" t="n">
        <v>0</v>
      </c>
      <c r="R85" s="8" t="n">
        <v>0</v>
      </c>
      <c r="S85" s="8" t="n">
        <v>1</v>
      </c>
      <c r="T85" s="8" t="n">
        <v>0</v>
      </c>
      <c r="U85" s="8" t="n">
        <v>0</v>
      </c>
      <c r="V85" s="8" t="n">
        <v>0</v>
      </c>
      <c r="W85" s="8" t="n">
        <v>59</v>
      </c>
      <c r="X85" s="8" t="n">
        <v>6.7</v>
      </c>
      <c r="Y85" s="8" t="n">
        <v>275</v>
      </c>
      <c r="Z85" s="8" t="n">
        <v>1.3</v>
      </c>
      <c r="AA85" s="8" t="n"/>
      <c r="AB85" s="8" t="n"/>
      <c r="AC85" s="4" t="n"/>
      <c r="AD85" s="4">
        <f>I85+J85+K85+L85+M85+N85+O85+P85</f>
        <v/>
      </c>
      <c r="AE85" s="4" t="n">
        <v>1</v>
      </c>
      <c r="AF85" s="4" t="n">
        <v>1</v>
      </c>
      <c r="AG85" s="4" t="n">
        <v>1</v>
      </c>
      <c r="AH85" s="4" t="n">
        <v>1</v>
      </c>
      <c r="AI85" s="4" t="n">
        <v>0</v>
      </c>
    </row>
    <row r="86">
      <c r="A86" s="4" t="inlineStr">
        <is>
          <t>G085</t>
        </is>
      </c>
      <c r="B86" s="8" t="inlineStr">
        <is>
          <t>US8367776B2</t>
        </is>
      </c>
      <c r="C86" s="8" t="inlineStr">
        <is>
          <t>Daikin Industries Ltd; Greene Tweed of Delaware Inc</t>
        </is>
      </c>
      <c r="D86" s="8" t="inlineStr">
        <is>
          <t>Comparative Example 2</t>
        </is>
      </c>
      <c r="E86" s="8" t="inlineStr">
        <is>
          <t>FFKM</t>
        </is>
      </c>
      <c r="F86" s="8" t="inlineStr">
        <is>
          <t>Perfluoroelastomer (2) TFE/PMVE/CF2=CFO(CF2)5CN 69.4/30.2/0.43 mol%</t>
        </is>
      </c>
      <c r="G86" s="8" t="inlineStr">
        <is>
          <t>nitrile_other</t>
        </is>
      </c>
      <c r="H86" s="8" t="n">
        <v>100</v>
      </c>
      <c r="I86" s="8" t="n">
        <v>0</v>
      </c>
      <c r="J86" s="8" t="n">
        <v>0</v>
      </c>
      <c r="K86" s="8" t="n">
        <v>0</v>
      </c>
      <c r="L86" s="8" t="n">
        <v>0</v>
      </c>
      <c r="M86" s="8" t="n">
        <v>0</v>
      </c>
      <c r="N86" s="8" t="n">
        <v>0</v>
      </c>
      <c r="O86" s="8" t="n">
        <v>0</v>
      </c>
      <c r="P86" s="8" t="n">
        <v>0</v>
      </c>
      <c r="Q86" s="8" t="n">
        <v>0</v>
      </c>
      <c r="R86" s="8" t="n">
        <v>0</v>
      </c>
      <c r="S86" s="8" t="n">
        <v>1</v>
      </c>
      <c r="T86" s="8" t="n">
        <v>0</v>
      </c>
      <c r="U86" s="8" t="n">
        <v>0</v>
      </c>
      <c r="V86" s="8" t="n">
        <v>0</v>
      </c>
      <c r="W86" s="8" t="n">
        <v>78</v>
      </c>
      <c r="X86" s="8" t="n">
        <v>20.8</v>
      </c>
      <c r="Y86" s="8" t="n">
        <v>225</v>
      </c>
      <c r="Z86" s="8" t="n">
        <v>3.2</v>
      </c>
      <c r="AA86" s="8" t="n"/>
      <c r="AB86" s="8" t="n"/>
      <c r="AC86" s="4" t="n"/>
      <c r="AD86" s="4">
        <f>I86+J86+K86+L86+M86+N86+O86+P86</f>
        <v/>
      </c>
      <c r="AE86" s="4" t="n">
        <v>1</v>
      </c>
      <c r="AF86" s="4" t="n">
        <v>1</v>
      </c>
      <c r="AG86" s="4" t="n">
        <v>1</v>
      </c>
      <c r="AH86" s="4" t="n">
        <v>1</v>
      </c>
      <c r="AI86" s="4" t="n">
        <v>0</v>
      </c>
    </row>
    <row r="87">
      <c r="A87" s="4" t="inlineStr">
        <is>
          <t>G086</t>
        </is>
      </c>
      <c r="B87" s="8" t="inlineStr">
        <is>
          <t>US8367776B2</t>
        </is>
      </c>
      <c r="C87" s="8" t="inlineStr">
        <is>
          <t>Daikin Industries Ltd; Greene Tweed of Delaware Inc</t>
        </is>
      </c>
      <c r="D87" s="8" t="inlineStr">
        <is>
          <t>Example 4</t>
        </is>
      </c>
      <c r="E87" s="8" t="inlineStr">
        <is>
          <t>FFKM</t>
        </is>
      </c>
      <c r="F87" s="8" t="inlineStr">
        <is>
          <t>Daikin Polymer B/Polymer A blend 50/50 (TFE/PMVE + cyano cure site)</t>
        </is>
      </c>
      <c r="G87" s="8" t="inlineStr">
        <is>
          <t>nitrile_other</t>
        </is>
      </c>
      <c r="H87" s="8" t="n">
        <v>100</v>
      </c>
      <c r="I87" s="8" t="n">
        <v>0</v>
      </c>
      <c r="J87" s="8" t="n">
        <v>0</v>
      </c>
      <c r="K87" s="8" t="n">
        <v>0</v>
      </c>
      <c r="L87" s="8" t="n">
        <v>0</v>
      </c>
      <c r="M87" s="8" t="n">
        <v>0</v>
      </c>
      <c r="N87" s="8" t="n">
        <v>0</v>
      </c>
      <c r="O87" s="8" t="n">
        <v>0</v>
      </c>
      <c r="P87" s="8" t="n">
        <v>0</v>
      </c>
      <c r="Q87" s="8" t="n">
        <v>0</v>
      </c>
      <c r="R87" s="8" t="n">
        <v>0</v>
      </c>
      <c r="S87" s="8" t="n">
        <v>0.7</v>
      </c>
      <c r="T87" s="8" t="n">
        <v>0</v>
      </c>
      <c r="U87" s="8" t="n">
        <v>0</v>
      </c>
      <c r="V87" s="8" t="n">
        <v>0</v>
      </c>
      <c r="W87" s="8" t="n">
        <v>63.5</v>
      </c>
      <c r="X87" s="8" t="n">
        <v>6.51</v>
      </c>
      <c r="Y87" s="8" t="n">
        <v>271</v>
      </c>
      <c r="Z87" s="8" t="n">
        <v>1.33</v>
      </c>
      <c r="AA87" s="8" t="n">
        <v>21.2</v>
      </c>
      <c r="AB87" s="8" t="inlineStr">
        <is>
          <t>300C x 70h, O-ring, ASTM D1414/D395</t>
        </is>
      </c>
      <c r="AC87" s="4" t="n">
        <v>300</v>
      </c>
      <c r="AD87" s="4">
        <f>I87+J87+K87+L87+M87+N87+O87+P87</f>
        <v/>
      </c>
      <c r="AE87" s="4" t="n">
        <v>1</v>
      </c>
      <c r="AF87" s="4" t="n">
        <v>1</v>
      </c>
      <c r="AG87" s="4" t="n">
        <v>1</v>
      </c>
      <c r="AH87" s="4" t="n">
        <v>1</v>
      </c>
      <c r="AI87" s="4" t="n">
        <v>1</v>
      </c>
    </row>
    <row r="88">
      <c r="A88" s="4" t="inlineStr">
        <is>
          <t>G087</t>
        </is>
      </c>
      <c r="B88" s="8" t="inlineStr">
        <is>
          <t>US8367776B2</t>
        </is>
      </c>
      <c r="C88" s="8" t="inlineStr">
        <is>
          <t>Daikin Industries Ltd; Greene Tweed of Delaware Inc</t>
        </is>
      </c>
      <c r="D88" s="8" t="inlineStr">
        <is>
          <t>Example 5</t>
        </is>
      </c>
      <c r="E88" s="8" t="inlineStr">
        <is>
          <t>FFKM</t>
        </is>
      </c>
      <c r="F88" s="8" t="inlineStr">
        <is>
          <t>Daikin Polymer B/Polymer A blend 50/50 (TFE/PMVE + cyano cure site)</t>
        </is>
      </c>
      <c r="G88" s="8" t="inlineStr">
        <is>
          <t>nitrile_other</t>
        </is>
      </c>
      <c r="H88" s="8" t="n">
        <v>100</v>
      </c>
      <c r="I88" s="8" t="n">
        <v>0</v>
      </c>
      <c r="J88" s="8" t="n">
        <v>0</v>
      </c>
      <c r="K88" s="8" t="n">
        <v>0</v>
      </c>
      <c r="L88" s="8" t="n">
        <v>0</v>
      </c>
      <c r="M88" s="8" t="n">
        <v>0</v>
      </c>
      <c r="N88" s="8" t="n">
        <v>0</v>
      </c>
      <c r="O88" s="8" t="n">
        <v>0</v>
      </c>
      <c r="P88" s="8" t="n">
        <v>0</v>
      </c>
      <c r="Q88" s="8" t="n">
        <v>0</v>
      </c>
      <c r="R88" s="8" t="n">
        <v>0</v>
      </c>
      <c r="S88" s="8" t="n">
        <v>0.8</v>
      </c>
      <c r="T88" s="8" t="n">
        <v>0</v>
      </c>
      <c r="U88" s="8" t="n">
        <v>0</v>
      </c>
      <c r="V88" s="8" t="n">
        <v>0</v>
      </c>
      <c r="W88" s="8" t="n">
        <v>64</v>
      </c>
      <c r="X88" s="8" t="n">
        <v>7.23</v>
      </c>
      <c r="Y88" s="8" t="n">
        <v>262</v>
      </c>
      <c r="Z88" s="8" t="n">
        <v>1.49</v>
      </c>
      <c r="AA88" s="8" t="n">
        <v>19.7</v>
      </c>
      <c r="AB88" s="8" t="inlineStr">
        <is>
          <t>300C x 70h, O-ring, ASTM D1414/D395</t>
        </is>
      </c>
      <c r="AC88" s="4" t="n">
        <v>300</v>
      </c>
      <c r="AD88" s="4">
        <f>I88+J88+K88+L88+M88+N88+O88+P88</f>
        <v/>
      </c>
      <c r="AE88" s="4" t="n">
        <v>1</v>
      </c>
      <c r="AF88" s="4" t="n">
        <v>1</v>
      </c>
      <c r="AG88" s="4" t="n">
        <v>1</v>
      </c>
      <c r="AH88" s="4" t="n">
        <v>1</v>
      </c>
      <c r="AI88" s="4" t="n">
        <v>1</v>
      </c>
    </row>
    <row r="89">
      <c r="A89" s="4" t="inlineStr">
        <is>
          <t>G088</t>
        </is>
      </c>
      <c r="B89" s="8" t="inlineStr">
        <is>
          <t>US8367776B2</t>
        </is>
      </c>
      <c r="C89" s="8" t="inlineStr">
        <is>
          <t>Daikin Industries Ltd; Greene Tweed of Delaware Inc</t>
        </is>
      </c>
      <c r="D89" s="8" t="inlineStr">
        <is>
          <t>Example 6</t>
        </is>
      </c>
      <c r="E89" s="8" t="inlineStr">
        <is>
          <t>FFKM</t>
        </is>
      </c>
      <c r="F89" s="8" t="inlineStr">
        <is>
          <t>Daikin Polymer B/Polymer A blend 50/50 (TFE/PMVE + cyano cure site)</t>
        </is>
      </c>
      <c r="G89" s="8" t="inlineStr">
        <is>
          <t>nitrile_other</t>
        </is>
      </c>
      <c r="H89" s="8" t="n">
        <v>100</v>
      </c>
      <c r="I89" s="8" t="n">
        <v>0</v>
      </c>
      <c r="J89" s="8" t="n">
        <v>0</v>
      </c>
      <c r="K89" s="8" t="n">
        <v>0</v>
      </c>
      <c r="L89" s="8" t="n">
        <v>0</v>
      </c>
      <c r="M89" s="8" t="n">
        <v>0</v>
      </c>
      <c r="N89" s="8" t="n">
        <v>0</v>
      </c>
      <c r="O89" s="8" t="n">
        <v>0</v>
      </c>
      <c r="P89" s="8" t="n">
        <v>0</v>
      </c>
      <c r="Q89" s="8" t="n">
        <v>0</v>
      </c>
      <c r="R89" s="8" t="n">
        <v>0</v>
      </c>
      <c r="S89" s="8" t="n">
        <v>0.9</v>
      </c>
      <c r="T89" s="8" t="n">
        <v>0</v>
      </c>
      <c r="U89" s="8" t="n">
        <v>0</v>
      </c>
      <c r="V89" s="8" t="n">
        <v>0</v>
      </c>
      <c r="W89" s="8" t="n">
        <v>64.5</v>
      </c>
      <c r="X89" s="8" t="n">
        <v>6.74</v>
      </c>
      <c r="Y89" s="8" t="n">
        <v>261</v>
      </c>
      <c r="Z89" s="8" t="n">
        <v>1.38</v>
      </c>
      <c r="AA89" s="8" t="n">
        <v>17.3</v>
      </c>
      <c r="AB89" s="8" t="inlineStr">
        <is>
          <t>300C x 70h, O-ring, ASTM D1414/D395</t>
        </is>
      </c>
      <c r="AC89" s="4" t="n">
        <v>300</v>
      </c>
      <c r="AD89" s="4">
        <f>I89+J89+K89+L89+M89+N89+O89+P89</f>
        <v/>
      </c>
      <c r="AE89" s="4" t="n">
        <v>1</v>
      </c>
      <c r="AF89" s="4" t="n">
        <v>1</v>
      </c>
      <c r="AG89" s="4" t="n">
        <v>1</v>
      </c>
      <c r="AH89" s="4" t="n">
        <v>1</v>
      </c>
      <c r="AI89" s="4" t="n">
        <v>1</v>
      </c>
    </row>
    <row r="90">
      <c r="A90" s="4" t="inlineStr">
        <is>
          <t>G089</t>
        </is>
      </c>
      <c r="B90" s="8" t="inlineStr">
        <is>
          <t>US8367776B2</t>
        </is>
      </c>
      <c r="C90" s="8" t="inlineStr">
        <is>
          <t>Daikin Industries Ltd; Greene Tweed of Delaware Inc</t>
        </is>
      </c>
      <c r="D90" s="8" t="inlineStr">
        <is>
          <t>Example 7</t>
        </is>
      </c>
      <c r="E90" s="8" t="inlineStr">
        <is>
          <t>FFKM</t>
        </is>
      </c>
      <c r="F90" s="8" t="inlineStr">
        <is>
          <t>Daikin Polymer B/Polymer A blend 65/35 (TFE/PMVE + cyano cure site)</t>
        </is>
      </c>
      <c r="G90" s="8" t="inlineStr">
        <is>
          <t>nitrile_other</t>
        </is>
      </c>
      <c r="H90" s="8" t="n">
        <v>100</v>
      </c>
      <c r="I90" s="8" t="n">
        <v>0</v>
      </c>
      <c r="J90" s="8" t="n">
        <v>0</v>
      </c>
      <c r="K90" s="8" t="n">
        <v>0</v>
      </c>
      <c r="L90" s="8" t="n">
        <v>0</v>
      </c>
      <c r="M90" s="8" t="n">
        <v>0</v>
      </c>
      <c r="N90" s="8" t="n">
        <v>0</v>
      </c>
      <c r="O90" s="8" t="n">
        <v>0</v>
      </c>
      <c r="P90" s="8" t="n">
        <v>0</v>
      </c>
      <c r="Q90" s="8" t="n">
        <v>0</v>
      </c>
      <c r="R90" s="8" t="n">
        <v>0</v>
      </c>
      <c r="S90" s="8" t="n">
        <v>0.7</v>
      </c>
      <c r="T90" s="8" t="n">
        <v>0</v>
      </c>
      <c r="U90" s="8" t="n">
        <v>0</v>
      </c>
      <c r="V90" s="8" t="n">
        <v>0</v>
      </c>
      <c r="W90" s="8" t="n">
        <v>65</v>
      </c>
      <c r="X90" s="8" t="n">
        <v>9.57</v>
      </c>
      <c r="Y90" s="8" t="n">
        <v>263</v>
      </c>
      <c r="Z90" s="8" t="n">
        <v>1.67</v>
      </c>
      <c r="AA90" s="8" t="n">
        <v>20.3</v>
      </c>
      <c r="AB90" s="8" t="inlineStr">
        <is>
          <t>300C x 70h, O-ring, ASTM D1414/D395</t>
        </is>
      </c>
      <c r="AC90" s="4" t="n">
        <v>300</v>
      </c>
      <c r="AD90" s="4">
        <f>I90+J90+K90+L90+M90+N90+O90+P90</f>
        <v/>
      </c>
      <c r="AE90" s="4" t="n">
        <v>1</v>
      </c>
      <c r="AF90" s="4" t="n">
        <v>1</v>
      </c>
      <c r="AG90" s="4" t="n">
        <v>1</v>
      </c>
      <c r="AH90" s="4" t="n">
        <v>1</v>
      </c>
      <c r="AI90" s="4" t="n">
        <v>1</v>
      </c>
    </row>
    <row r="91">
      <c r="A91" s="4" t="inlineStr">
        <is>
          <t>G090</t>
        </is>
      </c>
      <c r="B91" s="8" t="inlineStr">
        <is>
          <t>US8367776B2</t>
        </is>
      </c>
      <c r="C91" s="8" t="inlineStr">
        <is>
          <t>Daikin Industries Ltd; Greene Tweed of Delaware Inc</t>
        </is>
      </c>
      <c r="D91" s="8" t="inlineStr">
        <is>
          <t>Example 8</t>
        </is>
      </c>
      <c r="E91" s="8" t="inlineStr">
        <is>
          <t>FFKM</t>
        </is>
      </c>
      <c r="F91" s="8" t="inlineStr">
        <is>
          <t>Daikin Polymer B/Polymer A blend 65/35 (TFE/PMVE + cyano cure site)</t>
        </is>
      </c>
      <c r="G91" s="8" t="inlineStr">
        <is>
          <t>nitrile_other</t>
        </is>
      </c>
      <c r="H91" s="8" t="n">
        <v>100</v>
      </c>
      <c r="I91" s="8" t="n">
        <v>0</v>
      </c>
      <c r="J91" s="8" t="n">
        <v>0</v>
      </c>
      <c r="K91" s="8" t="n">
        <v>0</v>
      </c>
      <c r="L91" s="8" t="n">
        <v>0</v>
      </c>
      <c r="M91" s="8" t="n">
        <v>0</v>
      </c>
      <c r="N91" s="8" t="n">
        <v>0</v>
      </c>
      <c r="O91" s="8" t="n">
        <v>0</v>
      </c>
      <c r="P91" s="8" t="n">
        <v>0</v>
      </c>
      <c r="Q91" s="8" t="n">
        <v>0</v>
      </c>
      <c r="R91" s="8" t="n">
        <v>0</v>
      </c>
      <c r="S91" s="8" t="n">
        <v>0.8</v>
      </c>
      <c r="T91" s="8" t="n">
        <v>0</v>
      </c>
      <c r="U91" s="8" t="n">
        <v>0</v>
      </c>
      <c r="V91" s="8" t="n">
        <v>0</v>
      </c>
      <c r="W91" s="8" t="n">
        <v>65.5</v>
      </c>
      <c r="X91" s="8" t="n">
        <v>7.79</v>
      </c>
      <c r="Y91" s="8" t="n">
        <v>258</v>
      </c>
      <c r="Z91" s="8" t="n">
        <v>1.63</v>
      </c>
      <c r="AA91" s="8" t="n">
        <v>20.3</v>
      </c>
      <c r="AB91" s="8" t="inlineStr">
        <is>
          <t>300C x 70h, O-ring, ASTM D1414/D395</t>
        </is>
      </c>
      <c r="AC91" s="4" t="n">
        <v>300</v>
      </c>
      <c r="AD91" s="4">
        <f>I91+J91+K91+L91+M91+N91+O91+P91</f>
        <v/>
      </c>
      <c r="AE91" s="4" t="n">
        <v>1</v>
      </c>
      <c r="AF91" s="4" t="n">
        <v>1</v>
      </c>
      <c r="AG91" s="4" t="n">
        <v>1</v>
      </c>
      <c r="AH91" s="4" t="n">
        <v>1</v>
      </c>
      <c r="AI91" s="4" t="n">
        <v>1</v>
      </c>
    </row>
    <row r="92">
      <c r="A92" s="4" t="inlineStr">
        <is>
          <t>G091</t>
        </is>
      </c>
      <c r="B92" s="8" t="inlineStr">
        <is>
          <t>US8367776B2</t>
        </is>
      </c>
      <c r="C92" s="8" t="inlineStr">
        <is>
          <t>Daikin Industries Ltd; Greene Tweed of Delaware Inc</t>
        </is>
      </c>
      <c r="D92" s="8" t="inlineStr">
        <is>
          <t>Example 9</t>
        </is>
      </c>
      <c r="E92" s="8" t="inlineStr">
        <is>
          <t>FFKM</t>
        </is>
      </c>
      <c r="F92" s="8" t="inlineStr">
        <is>
          <t>Daikin Polymer B/Polymer A blend 65/35 (TFE/PMVE + cyano cure site)</t>
        </is>
      </c>
      <c r="G92" s="8" t="inlineStr">
        <is>
          <t>nitrile_other</t>
        </is>
      </c>
      <c r="H92" s="8" t="n">
        <v>100</v>
      </c>
      <c r="I92" s="8" t="n">
        <v>0</v>
      </c>
      <c r="J92" s="8" t="n">
        <v>0</v>
      </c>
      <c r="K92" s="8" t="n">
        <v>0</v>
      </c>
      <c r="L92" s="8" t="n">
        <v>0</v>
      </c>
      <c r="M92" s="8" t="n">
        <v>0</v>
      </c>
      <c r="N92" s="8" t="n">
        <v>0</v>
      </c>
      <c r="O92" s="8" t="n">
        <v>0</v>
      </c>
      <c r="P92" s="8" t="n">
        <v>0</v>
      </c>
      <c r="Q92" s="8" t="n">
        <v>0</v>
      </c>
      <c r="R92" s="8" t="n">
        <v>0</v>
      </c>
      <c r="S92" s="8" t="n">
        <v>0.9</v>
      </c>
      <c r="T92" s="8" t="n">
        <v>0</v>
      </c>
      <c r="U92" s="8" t="n">
        <v>0</v>
      </c>
      <c r="V92" s="8" t="n">
        <v>0</v>
      </c>
      <c r="W92" s="8" t="n">
        <v>66.5</v>
      </c>
      <c r="X92" s="8" t="n">
        <v>9.449999999999999</v>
      </c>
      <c r="Y92" s="8" t="n">
        <v>260</v>
      </c>
      <c r="Z92" s="8" t="n">
        <v>1.72</v>
      </c>
      <c r="AA92" s="8" t="n">
        <v>17.4</v>
      </c>
      <c r="AB92" s="8" t="inlineStr">
        <is>
          <t>300C x 70h, O-ring, ASTM D1414/D395</t>
        </is>
      </c>
      <c r="AC92" s="4" t="n">
        <v>300</v>
      </c>
      <c r="AD92" s="4">
        <f>I92+J92+K92+L92+M92+N92+O92+P92</f>
        <v/>
      </c>
      <c r="AE92" s="4" t="n">
        <v>1</v>
      </c>
      <c r="AF92" s="4" t="n">
        <v>1</v>
      </c>
      <c r="AG92" s="4" t="n">
        <v>1</v>
      </c>
      <c r="AH92" s="4" t="n">
        <v>1</v>
      </c>
      <c r="AI92" s="4" t="n">
        <v>1</v>
      </c>
    </row>
    <row r="93">
      <c r="A93" s="4" t="inlineStr">
        <is>
          <t>G092</t>
        </is>
      </c>
      <c r="B93" s="8" t="inlineStr">
        <is>
          <t>US8367776B2</t>
        </is>
      </c>
      <c r="C93" s="8" t="inlineStr">
        <is>
          <t>Daikin Industries Ltd; Greene Tweed of Delaware Inc</t>
        </is>
      </c>
      <c r="D93" s="8" t="inlineStr">
        <is>
          <t>Example 10</t>
        </is>
      </c>
      <c r="E93" s="8" t="inlineStr">
        <is>
          <t>FFKM</t>
        </is>
      </c>
      <c r="F93" s="8" t="inlineStr">
        <is>
          <t>Daikin Polymer B/Polymer A blend 35/65 (TFE/PMVE + cyano cure site)</t>
        </is>
      </c>
      <c r="G93" s="8" t="inlineStr">
        <is>
          <t>nitrile_other</t>
        </is>
      </c>
      <c r="H93" s="8" t="n">
        <v>100</v>
      </c>
      <c r="I93" s="8" t="n">
        <v>0</v>
      </c>
      <c r="J93" s="8" t="n">
        <v>0</v>
      </c>
      <c r="K93" s="8" t="n">
        <v>0</v>
      </c>
      <c r="L93" s="8" t="n">
        <v>0</v>
      </c>
      <c r="M93" s="8" t="n">
        <v>0</v>
      </c>
      <c r="N93" s="8" t="n">
        <v>0</v>
      </c>
      <c r="O93" s="8" t="n">
        <v>0</v>
      </c>
      <c r="P93" s="8" t="n">
        <v>0</v>
      </c>
      <c r="Q93" s="8" t="n">
        <v>0</v>
      </c>
      <c r="R93" s="8" t="n">
        <v>0</v>
      </c>
      <c r="S93" s="8" t="n">
        <v>0.7</v>
      </c>
      <c r="T93" s="8" t="n">
        <v>0</v>
      </c>
      <c r="U93" s="8" t="n">
        <v>0</v>
      </c>
      <c r="V93" s="8" t="n">
        <v>0</v>
      </c>
      <c r="W93" s="8" t="n">
        <v>61.5</v>
      </c>
      <c r="X93" s="8" t="n">
        <v>5.84</v>
      </c>
      <c r="Y93" s="8" t="n">
        <v>270</v>
      </c>
      <c r="Z93" s="8" t="n">
        <v>1.27</v>
      </c>
      <c r="AA93" s="8" t="n">
        <v>17.7</v>
      </c>
      <c r="AB93" s="8" t="inlineStr">
        <is>
          <t>300C x 70h, O-ring, ASTM D1414/D395</t>
        </is>
      </c>
      <c r="AC93" s="4" t="n">
        <v>300</v>
      </c>
      <c r="AD93" s="4">
        <f>I93+J93+K93+L93+M93+N93+O93+P93</f>
        <v/>
      </c>
      <c r="AE93" s="4" t="n">
        <v>1</v>
      </c>
      <c r="AF93" s="4" t="n">
        <v>1</v>
      </c>
      <c r="AG93" s="4" t="n">
        <v>1</v>
      </c>
      <c r="AH93" s="4" t="n">
        <v>1</v>
      </c>
      <c r="AI93" s="4" t="n">
        <v>1</v>
      </c>
    </row>
    <row r="94">
      <c r="A94" s="4" t="inlineStr">
        <is>
          <t>G093</t>
        </is>
      </c>
      <c r="B94" s="8" t="inlineStr">
        <is>
          <t>US8367776B2</t>
        </is>
      </c>
      <c r="C94" s="8" t="inlineStr">
        <is>
          <t>Daikin Industries Ltd; Greene Tweed of Delaware Inc</t>
        </is>
      </c>
      <c r="D94" s="8" t="inlineStr">
        <is>
          <t>Example 11</t>
        </is>
      </c>
      <c r="E94" s="8" t="inlineStr">
        <is>
          <t>FFKM</t>
        </is>
      </c>
      <c r="F94" s="8" t="inlineStr">
        <is>
          <t>Daikin Polymer B/Polymer A blend 35/65 (TFE/PMVE + cyano cure site)</t>
        </is>
      </c>
      <c r="G94" s="8" t="inlineStr">
        <is>
          <t>nitrile_other</t>
        </is>
      </c>
      <c r="H94" s="8" t="n">
        <v>100</v>
      </c>
      <c r="I94" s="8" t="n">
        <v>0</v>
      </c>
      <c r="J94" s="8" t="n">
        <v>0</v>
      </c>
      <c r="K94" s="8" t="n">
        <v>0</v>
      </c>
      <c r="L94" s="8" t="n">
        <v>0</v>
      </c>
      <c r="M94" s="8" t="n">
        <v>0</v>
      </c>
      <c r="N94" s="8" t="n">
        <v>0</v>
      </c>
      <c r="O94" s="8" t="n">
        <v>0</v>
      </c>
      <c r="P94" s="8" t="n">
        <v>0</v>
      </c>
      <c r="Q94" s="8" t="n">
        <v>0</v>
      </c>
      <c r="R94" s="8" t="n">
        <v>0</v>
      </c>
      <c r="S94" s="8" t="n">
        <v>0.8</v>
      </c>
      <c r="T94" s="8" t="n">
        <v>0</v>
      </c>
      <c r="U94" s="8" t="n">
        <v>0</v>
      </c>
      <c r="V94" s="8" t="n">
        <v>0</v>
      </c>
      <c r="W94" s="8" t="n">
        <v>62</v>
      </c>
      <c r="X94" s="8" t="n">
        <v>6.43</v>
      </c>
      <c r="Y94" s="8" t="n">
        <v>262</v>
      </c>
      <c r="Z94" s="8" t="n">
        <v>1.37</v>
      </c>
      <c r="AA94" s="8" t="n">
        <v>18.5</v>
      </c>
      <c r="AB94" s="8" t="inlineStr">
        <is>
          <t>300C x 70h, O-ring, ASTM D1414/D395</t>
        </is>
      </c>
      <c r="AC94" s="4" t="n">
        <v>300</v>
      </c>
      <c r="AD94" s="4">
        <f>I94+J94+K94+L94+M94+N94+O94+P94</f>
        <v/>
      </c>
      <c r="AE94" s="4" t="n">
        <v>1</v>
      </c>
      <c r="AF94" s="4" t="n">
        <v>1</v>
      </c>
      <c r="AG94" s="4" t="n">
        <v>1</v>
      </c>
      <c r="AH94" s="4" t="n">
        <v>1</v>
      </c>
      <c r="AI94" s="4" t="n">
        <v>1</v>
      </c>
    </row>
    <row r="95">
      <c r="A95" s="4" t="inlineStr">
        <is>
          <t>G094</t>
        </is>
      </c>
      <c r="B95" s="8" t="inlineStr">
        <is>
          <t>US8367776B2</t>
        </is>
      </c>
      <c r="C95" s="8" t="inlineStr">
        <is>
          <t>Daikin Industries Ltd; Greene Tweed of Delaware Inc</t>
        </is>
      </c>
      <c r="D95" s="8" t="inlineStr">
        <is>
          <t>Example 12</t>
        </is>
      </c>
      <c r="E95" s="8" t="inlineStr">
        <is>
          <t>FFKM</t>
        </is>
      </c>
      <c r="F95" s="8" t="inlineStr">
        <is>
          <t>Daikin Polymer B/Polymer A blend 35/65 (TFE/PMVE + cyano cure site)</t>
        </is>
      </c>
      <c r="G95" s="8" t="inlineStr">
        <is>
          <t>nitrile_other</t>
        </is>
      </c>
      <c r="H95" s="8" t="n">
        <v>100</v>
      </c>
      <c r="I95" s="8" t="n">
        <v>0</v>
      </c>
      <c r="J95" s="8" t="n">
        <v>0</v>
      </c>
      <c r="K95" s="8" t="n">
        <v>0</v>
      </c>
      <c r="L95" s="8" t="n">
        <v>0</v>
      </c>
      <c r="M95" s="8" t="n">
        <v>0</v>
      </c>
      <c r="N95" s="8" t="n">
        <v>0</v>
      </c>
      <c r="O95" s="8" t="n">
        <v>0</v>
      </c>
      <c r="P95" s="8" t="n">
        <v>0</v>
      </c>
      <c r="Q95" s="8" t="n">
        <v>0</v>
      </c>
      <c r="R95" s="8" t="n">
        <v>0</v>
      </c>
      <c r="S95" s="8" t="n">
        <v>0.9</v>
      </c>
      <c r="T95" s="8" t="n">
        <v>0</v>
      </c>
      <c r="U95" s="8" t="n">
        <v>0</v>
      </c>
      <c r="V95" s="8" t="n">
        <v>0</v>
      </c>
      <c r="W95" s="8" t="n">
        <v>62.5</v>
      </c>
      <c r="X95" s="8" t="n">
        <v>6.16</v>
      </c>
      <c r="Y95" s="8" t="n">
        <v>249</v>
      </c>
      <c r="Z95" s="8" t="n">
        <v>1.5</v>
      </c>
      <c r="AA95" s="8" t="n">
        <v>17.1</v>
      </c>
      <c r="AB95" s="8" t="inlineStr">
        <is>
          <t>300C x 70h, O-ring, ASTM D1414/D395</t>
        </is>
      </c>
      <c r="AC95" s="4" t="n">
        <v>300</v>
      </c>
      <c r="AD95" s="4">
        <f>I95+J95+K95+L95+M95+N95+O95+P95</f>
        <v/>
      </c>
      <c r="AE95" s="4" t="n">
        <v>1</v>
      </c>
      <c r="AF95" s="4" t="n">
        <v>1</v>
      </c>
      <c r="AG95" s="4" t="n">
        <v>1</v>
      </c>
      <c r="AH95" s="4" t="n">
        <v>1</v>
      </c>
      <c r="AI95" s="4" t="n">
        <v>1</v>
      </c>
    </row>
    <row r="96">
      <c r="A96" s="4" t="inlineStr">
        <is>
          <t>G095</t>
        </is>
      </c>
      <c r="B96" s="8" t="inlineStr">
        <is>
          <t>US8367776B2</t>
        </is>
      </c>
      <c r="C96" s="8" t="inlineStr">
        <is>
          <t>Daikin Industries Ltd; Greene Tweed of Delaware Inc</t>
        </is>
      </c>
      <c r="D96" s="8" t="inlineStr">
        <is>
          <t>Example 13</t>
        </is>
      </c>
      <c r="E96" s="8" t="inlineStr">
        <is>
          <t>FFKM</t>
        </is>
      </c>
      <c r="F96" s="8" t="inlineStr">
        <is>
          <t>Daikin Polymer B/Polymer A blend 50/50 (TFE/PMVE + cyano cure site)</t>
        </is>
      </c>
      <c r="G96" s="8" t="inlineStr">
        <is>
          <t>nitrile_other</t>
        </is>
      </c>
      <c r="H96" s="8" t="n">
        <v>100</v>
      </c>
      <c r="I96" s="8" t="n">
        <v>0</v>
      </c>
      <c r="J96" s="8" t="n">
        <v>0</v>
      </c>
      <c r="K96" s="8" t="n">
        <v>0</v>
      </c>
      <c r="L96" s="8" t="n">
        <v>0</v>
      </c>
      <c r="M96" s="8" t="n">
        <v>0</v>
      </c>
      <c r="N96" s="8" t="n">
        <v>0</v>
      </c>
      <c r="O96" s="8" t="n">
        <v>0</v>
      </c>
      <c r="P96" s="8" t="n">
        <v>0</v>
      </c>
      <c r="Q96" s="8" t="n">
        <v>0</v>
      </c>
      <c r="R96" s="8" t="n">
        <v>0</v>
      </c>
      <c r="S96" s="8" t="n">
        <v>0.9</v>
      </c>
      <c r="T96" s="8" t="n">
        <v>0</v>
      </c>
      <c r="U96" s="8" t="n">
        <v>0</v>
      </c>
      <c r="V96" s="8" t="n">
        <v>0</v>
      </c>
      <c r="W96" s="8" t="n">
        <v>65.5</v>
      </c>
      <c r="X96" s="8" t="n">
        <v>7.61</v>
      </c>
      <c r="Y96" s="8" t="n">
        <v>256</v>
      </c>
      <c r="Z96" s="8" t="n">
        <v>1.59</v>
      </c>
      <c r="AA96" s="8" t="n">
        <v>17.1</v>
      </c>
      <c r="AB96" s="8" t="inlineStr">
        <is>
          <t>300C x 70h, O-ring, ASTM D1414/D395</t>
        </is>
      </c>
      <c r="AC96" s="4" t="n">
        <v>300</v>
      </c>
      <c r="AD96" s="4">
        <f>I96+J96+K96+L96+M96+N96+O96+P96</f>
        <v/>
      </c>
      <c r="AE96" s="4" t="n">
        <v>1</v>
      </c>
      <c r="AF96" s="4" t="n">
        <v>1</v>
      </c>
      <c r="AG96" s="4" t="n">
        <v>1</v>
      </c>
      <c r="AH96" s="4" t="n">
        <v>1</v>
      </c>
      <c r="AI96" s="4" t="n">
        <v>1</v>
      </c>
    </row>
    <row r="97">
      <c r="A97" s="4" t="inlineStr">
        <is>
          <t>G096</t>
        </is>
      </c>
      <c r="B97" s="8" t="inlineStr">
        <is>
          <t>US8367776B2</t>
        </is>
      </c>
      <c r="C97" s="8" t="inlineStr">
        <is>
          <t>Daikin Industries Ltd; Greene Tweed of Delaware Inc</t>
        </is>
      </c>
      <c r="D97" s="8" t="inlineStr">
        <is>
          <t>Example 14</t>
        </is>
      </c>
      <c r="E97" s="8" t="inlineStr">
        <is>
          <t>FFKM</t>
        </is>
      </c>
      <c r="F97" s="8" t="inlineStr">
        <is>
          <t>Daikin Polymer B/Polymer A blend 50/50 (TFE/PMVE + cyano cure site)</t>
        </is>
      </c>
      <c r="G97" s="8" t="inlineStr">
        <is>
          <t>nitrile_other</t>
        </is>
      </c>
      <c r="H97" s="8" t="n">
        <v>100</v>
      </c>
      <c r="I97" s="8" t="n">
        <v>0</v>
      </c>
      <c r="J97" s="8" t="n">
        <v>0</v>
      </c>
      <c r="K97" s="8" t="n">
        <v>0</v>
      </c>
      <c r="L97" s="8" t="n">
        <v>0</v>
      </c>
      <c r="M97" s="8" t="n">
        <v>0</v>
      </c>
      <c r="N97" s="8" t="n">
        <v>0</v>
      </c>
      <c r="O97" s="8" t="n">
        <v>0</v>
      </c>
      <c r="P97" s="8" t="n">
        <v>0</v>
      </c>
      <c r="Q97" s="8" t="n">
        <v>0</v>
      </c>
      <c r="R97" s="8" t="n">
        <v>0</v>
      </c>
      <c r="S97" s="8" t="n">
        <v>0.9</v>
      </c>
      <c r="T97" s="8" t="n">
        <v>0</v>
      </c>
      <c r="U97" s="8" t="n">
        <v>0</v>
      </c>
      <c r="V97" s="8" t="n">
        <v>0</v>
      </c>
      <c r="W97" s="8" t="n">
        <v>63.5</v>
      </c>
      <c r="X97" s="8" t="n">
        <v>7.26</v>
      </c>
      <c r="Y97" s="8" t="n">
        <v>261</v>
      </c>
      <c r="Z97" s="8" t="n">
        <v>1.5</v>
      </c>
      <c r="AA97" s="8" t="n">
        <v>17.7</v>
      </c>
      <c r="AB97" s="8" t="inlineStr">
        <is>
          <t>300C x 70h, O-ring, ASTM D1414/D395</t>
        </is>
      </c>
      <c r="AC97" s="4" t="n">
        <v>300</v>
      </c>
      <c r="AD97" s="4">
        <f>I97+J97+K97+L97+M97+N97+O97+P97</f>
        <v/>
      </c>
      <c r="AE97" s="4" t="n">
        <v>1</v>
      </c>
      <c r="AF97" s="4" t="n">
        <v>1</v>
      </c>
      <c r="AG97" s="4" t="n">
        <v>1</v>
      </c>
      <c r="AH97" s="4" t="n">
        <v>1</v>
      </c>
      <c r="AI97" s="4" t="n">
        <v>1</v>
      </c>
    </row>
    <row r="98">
      <c r="A98" s="4" t="inlineStr">
        <is>
          <t>G097</t>
        </is>
      </c>
      <c r="B98" s="8" t="inlineStr">
        <is>
          <t>US7354974B2</t>
        </is>
      </c>
      <c r="C98" s="8" t="inlineStr">
        <is>
          <t>DuPont Performance Elastomers LLC</t>
        </is>
      </c>
      <c r="D98" s="8" t="inlineStr">
        <is>
          <t>Example 1</t>
        </is>
      </c>
      <c r="E98" s="8" t="inlineStr">
        <is>
          <t>FFKM</t>
        </is>
      </c>
      <c r="F98" s="8" t="inlineStr">
        <is>
          <t>TFE/PMVE/8-CNVE 68.2/31.0/0.80 mol%</t>
        </is>
      </c>
      <c r="G98" s="8" t="inlineStr">
        <is>
          <t>nitrile_triazine</t>
        </is>
      </c>
      <c r="H98" s="8" t="n">
        <v>100</v>
      </c>
      <c r="I98" s="8" t="n">
        <v>0</v>
      </c>
      <c r="J98" s="8" t="n">
        <v>0</v>
      </c>
      <c r="K98" s="8" t="n">
        <v>0</v>
      </c>
      <c r="L98" s="8" t="n">
        <v>0</v>
      </c>
      <c r="M98" s="8" t="n">
        <v>0</v>
      </c>
      <c r="N98" s="8" t="n">
        <v>51</v>
      </c>
      <c r="O98" s="8" t="n">
        <v>0</v>
      </c>
      <c r="P98" s="8" t="n">
        <v>0</v>
      </c>
      <c r="Q98" s="8" t="n">
        <v>0</v>
      </c>
      <c r="R98" s="8" t="n">
        <v>0</v>
      </c>
      <c r="S98" s="8" t="n">
        <v>0.3</v>
      </c>
      <c r="T98" s="8" t="n">
        <v>0</v>
      </c>
      <c r="U98" s="8" t="n">
        <v>0</v>
      </c>
      <c r="V98" s="8" t="n">
        <v>0</v>
      </c>
      <c r="W98" s="8" t="n">
        <v>76</v>
      </c>
      <c r="X98" s="8" t="n">
        <v>16.2</v>
      </c>
      <c r="Y98" s="8" t="n">
        <v>316</v>
      </c>
      <c r="Z98" s="8" t="n">
        <v>5.9</v>
      </c>
      <c r="AA98" s="8" t="n">
        <v>40</v>
      </c>
      <c r="AB98" s="8" t="inlineStr">
        <is>
          <t>204C x 70h, 25% compression, O-ring, ASTM D395</t>
        </is>
      </c>
      <c r="AC98" s="4" t="n">
        <v>204</v>
      </c>
      <c r="AD98" s="4">
        <f>I98+J98+K98+L98+M98+N98+O98+P98</f>
        <v/>
      </c>
      <c r="AE98" s="4" t="n">
        <v>1</v>
      </c>
      <c r="AF98" s="4" t="n">
        <v>1</v>
      </c>
      <c r="AG98" s="4" t="n">
        <v>1</v>
      </c>
      <c r="AH98" s="4" t="n">
        <v>1</v>
      </c>
      <c r="AI98" s="4" t="n">
        <v>1</v>
      </c>
    </row>
    <row r="99">
      <c r="A99" s="4" t="inlineStr">
        <is>
          <t>G098</t>
        </is>
      </c>
      <c r="B99" s="8" t="inlineStr">
        <is>
          <t>US7354974B2</t>
        </is>
      </c>
      <c r="C99" s="8" t="inlineStr">
        <is>
          <t>DuPont Performance Elastomers LLC</t>
        </is>
      </c>
      <c r="D99" s="8" t="inlineStr">
        <is>
          <t>Example 2</t>
        </is>
      </c>
      <c r="E99" s="8" t="inlineStr">
        <is>
          <t>FFKM</t>
        </is>
      </c>
      <c r="F99" s="8" t="inlineStr">
        <is>
          <t>TFE/PMVE/8-CNVE 68.2/31.0/0.80 mol%</t>
        </is>
      </c>
      <c r="G99" s="8" t="inlineStr">
        <is>
          <t>nitrile_triazine</t>
        </is>
      </c>
      <c r="H99" s="8" t="n">
        <v>100</v>
      </c>
      <c r="I99" s="8" t="n">
        <v>0</v>
      </c>
      <c r="J99" s="8" t="n">
        <v>0</v>
      </c>
      <c r="K99" s="8" t="n">
        <v>0</v>
      </c>
      <c r="L99" s="8" t="n">
        <v>0</v>
      </c>
      <c r="M99" s="8" t="n">
        <v>0</v>
      </c>
      <c r="N99" s="8" t="n">
        <v>51</v>
      </c>
      <c r="O99" s="8" t="n">
        <v>0</v>
      </c>
      <c r="P99" s="8" t="n">
        <v>0</v>
      </c>
      <c r="Q99" s="8" t="n">
        <v>0</v>
      </c>
      <c r="R99" s="8" t="n">
        <v>0</v>
      </c>
      <c r="S99" s="8" t="n">
        <v>0.3</v>
      </c>
      <c r="T99" s="8" t="n">
        <v>0</v>
      </c>
      <c r="U99" s="8" t="n">
        <v>0</v>
      </c>
      <c r="V99" s="8" t="n">
        <v>0</v>
      </c>
      <c r="W99" s="8" t="n">
        <v>77</v>
      </c>
      <c r="X99" s="8" t="n">
        <v>18.7</v>
      </c>
      <c r="Y99" s="8" t="n">
        <v>318</v>
      </c>
      <c r="Z99" s="8" t="n">
        <v>6.3</v>
      </c>
      <c r="AA99" s="8" t="n">
        <v>38</v>
      </c>
      <c r="AB99" s="8" t="inlineStr">
        <is>
          <t>204C x 70h, 25% compression, O-ring, ASTM D395</t>
        </is>
      </c>
      <c r="AC99" s="4" t="n">
        <v>204</v>
      </c>
      <c r="AD99" s="4">
        <f>I99+J99+K99+L99+M99+N99+O99+P99</f>
        <v/>
      </c>
      <c r="AE99" s="4" t="n">
        <v>1</v>
      </c>
      <c r="AF99" s="4" t="n">
        <v>1</v>
      </c>
      <c r="AG99" s="4" t="n">
        <v>1</v>
      </c>
      <c r="AH99" s="4" t="n">
        <v>1</v>
      </c>
      <c r="AI99" s="4" t="n">
        <v>1</v>
      </c>
    </row>
    <row r="100">
      <c r="A100" s="4" t="inlineStr">
        <is>
          <t>G099</t>
        </is>
      </c>
      <c r="B100" s="8" t="inlineStr">
        <is>
          <t>US7354974B2</t>
        </is>
      </c>
      <c r="C100" s="8" t="inlineStr">
        <is>
          <t>DuPont Performance Elastomers LLC</t>
        </is>
      </c>
      <c r="D100" s="8" t="inlineStr">
        <is>
          <t>Example 3</t>
        </is>
      </c>
      <c r="E100" s="8" t="inlineStr">
        <is>
          <t>FFKM</t>
        </is>
      </c>
      <c r="F100" s="8" t="inlineStr">
        <is>
          <t>TFE/PMVE/8-CNVE 68.2/31.0/0.80 mol%</t>
        </is>
      </c>
      <c r="G100" s="8" t="inlineStr">
        <is>
          <t>nitrile_triazine</t>
        </is>
      </c>
      <c r="H100" s="8" t="n">
        <v>100</v>
      </c>
      <c r="I100" s="8" t="n">
        <v>0</v>
      </c>
      <c r="J100" s="8" t="n">
        <v>0</v>
      </c>
      <c r="K100" s="8" t="n">
        <v>0</v>
      </c>
      <c r="L100" s="8" t="n">
        <v>0</v>
      </c>
      <c r="M100" s="8" t="n">
        <v>0</v>
      </c>
      <c r="N100" s="8" t="n">
        <v>51</v>
      </c>
      <c r="O100" s="8" t="n">
        <v>0</v>
      </c>
      <c r="P100" s="8" t="n">
        <v>0</v>
      </c>
      <c r="Q100" s="8" t="n">
        <v>0</v>
      </c>
      <c r="R100" s="8" t="n">
        <v>0</v>
      </c>
      <c r="S100" s="8" t="n">
        <v>0.3</v>
      </c>
      <c r="T100" s="8" t="n">
        <v>0</v>
      </c>
      <c r="U100" s="8" t="n">
        <v>0</v>
      </c>
      <c r="V100" s="8" t="n">
        <v>0</v>
      </c>
      <c r="W100" s="8" t="n">
        <v>78</v>
      </c>
      <c r="X100" s="8" t="n">
        <v>18</v>
      </c>
      <c r="Y100" s="8" t="n">
        <v>336</v>
      </c>
      <c r="Z100" s="8" t="n">
        <v>5.8</v>
      </c>
      <c r="AA100" s="8" t="n">
        <v>39</v>
      </c>
      <c r="AB100" s="8" t="inlineStr">
        <is>
          <t>204C x 70h, 25% compression, O-ring, ASTM D395</t>
        </is>
      </c>
      <c r="AC100" s="4" t="n">
        <v>204</v>
      </c>
      <c r="AD100" s="4">
        <f>I100+J100+K100+L100+M100+N100+O100+P100</f>
        <v/>
      </c>
      <c r="AE100" s="4" t="n">
        <v>1</v>
      </c>
      <c r="AF100" s="4" t="n">
        <v>1</v>
      </c>
      <c r="AG100" s="4" t="n">
        <v>1</v>
      </c>
      <c r="AH100" s="4" t="n">
        <v>1</v>
      </c>
      <c r="AI100" s="4" t="n">
        <v>1</v>
      </c>
    </row>
    <row r="101">
      <c r="A101" s="4" t="inlineStr">
        <is>
          <t>G100</t>
        </is>
      </c>
      <c r="B101" s="8" t="inlineStr">
        <is>
          <t>US7354974B2</t>
        </is>
      </c>
      <c r="C101" s="8" t="inlineStr">
        <is>
          <t>DuPont Performance Elastomers LLC</t>
        </is>
      </c>
      <c r="D101" s="8" t="inlineStr">
        <is>
          <t>Example 4</t>
        </is>
      </c>
      <c r="E101" s="8" t="inlineStr">
        <is>
          <t>FFKM</t>
        </is>
      </c>
      <c r="F101" s="8" t="inlineStr">
        <is>
          <t>TFE/PMVE/8-CNVE 68.2/31.0/0.80 mol%</t>
        </is>
      </c>
      <c r="G101" s="8" t="inlineStr">
        <is>
          <t>nitrile_triazine</t>
        </is>
      </c>
      <c r="H101" s="8" t="n">
        <v>100</v>
      </c>
      <c r="I101" s="8" t="n">
        <v>0</v>
      </c>
      <c r="J101" s="8" t="n">
        <v>0</v>
      </c>
      <c r="K101" s="8" t="n">
        <v>0</v>
      </c>
      <c r="L101" s="8" t="n">
        <v>0</v>
      </c>
      <c r="M101" s="8" t="n">
        <v>0</v>
      </c>
      <c r="N101" s="8" t="n">
        <v>100</v>
      </c>
      <c r="O101" s="8" t="n">
        <v>0</v>
      </c>
      <c r="P101" s="8" t="n">
        <v>0</v>
      </c>
      <c r="Q101" s="8" t="n">
        <v>0</v>
      </c>
      <c r="R101" s="8" t="n">
        <v>0</v>
      </c>
      <c r="S101" s="8" t="n">
        <v>0.3</v>
      </c>
      <c r="T101" s="8" t="n">
        <v>0</v>
      </c>
      <c r="U101" s="8" t="n">
        <v>0</v>
      </c>
      <c r="V101" s="8" t="n">
        <v>0</v>
      </c>
      <c r="W101" s="8" t="n">
        <v>89</v>
      </c>
      <c r="X101" s="8" t="n">
        <v>22</v>
      </c>
      <c r="Y101" s="8" t="n">
        <v>332</v>
      </c>
      <c r="Z101" s="8" t="n">
        <v>8.800000000000001</v>
      </c>
      <c r="AA101" s="8" t="n">
        <v>50</v>
      </c>
      <c r="AB101" s="8" t="inlineStr">
        <is>
          <t>204C x 70h, 25% compression, O-ring, ASTM D395</t>
        </is>
      </c>
      <c r="AC101" s="4" t="n">
        <v>204</v>
      </c>
      <c r="AD101" s="4">
        <f>I101+J101+K101+L101+M101+N101+O101+P101</f>
        <v/>
      </c>
      <c r="AE101" s="4" t="n">
        <v>1</v>
      </c>
      <c r="AF101" s="4" t="n">
        <v>1</v>
      </c>
      <c r="AG101" s="4" t="n">
        <v>1</v>
      </c>
      <c r="AH101" s="4" t="n">
        <v>1</v>
      </c>
      <c r="AI101" s="4" t="n">
        <v>1</v>
      </c>
    </row>
    <row r="102">
      <c r="A102" s="4" t="inlineStr">
        <is>
          <t>G101</t>
        </is>
      </c>
      <c r="B102" s="8" t="inlineStr">
        <is>
          <t>US7354974B2</t>
        </is>
      </c>
      <c r="C102" s="8" t="inlineStr">
        <is>
          <t>DuPont Performance Elastomers LLC</t>
        </is>
      </c>
      <c r="D102" s="8" t="inlineStr">
        <is>
          <t>Example 5</t>
        </is>
      </c>
      <c r="E102" s="8" t="inlineStr">
        <is>
          <t>FFKM</t>
        </is>
      </c>
      <c r="F102" s="8" t="inlineStr">
        <is>
          <t>TFE/PMVE/8-CNVE 68.2/31.0/0.80 mol%</t>
        </is>
      </c>
      <c r="G102" s="8" t="inlineStr">
        <is>
          <t>nitrile_triazine</t>
        </is>
      </c>
      <c r="H102" s="8" t="n">
        <v>100</v>
      </c>
      <c r="I102" s="8" t="n">
        <v>0</v>
      </c>
      <c r="J102" s="8" t="n">
        <v>0</v>
      </c>
      <c r="K102" s="8" t="n">
        <v>0</v>
      </c>
      <c r="L102" s="8" t="n">
        <v>0</v>
      </c>
      <c r="M102" s="8" t="n">
        <v>0</v>
      </c>
      <c r="N102" s="8" t="n">
        <v>200</v>
      </c>
      <c r="O102" s="8" t="n">
        <v>0</v>
      </c>
      <c r="P102" s="8" t="n">
        <v>0</v>
      </c>
      <c r="Q102" s="8" t="n">
        <v>0</v>
      </c>
      <c r="R102" s="8" t="n">
        <v>0</v>
      </c>
      <c r="S102" s="8" t="n">
        <v>0.3</v>
      </c>
      <c r="T102" s="8" t="n">
        <v>0</v>
      </c>
      <c r="U102" s="8" t="n">
        <v>0</v>
      </c>
      <c r="V102" s="8" t="n">
        <v>0</v>
      </c>
      <c r="W102" s="8" t="n">
        <v>95</v>
      </c>
      <c r="X102" s="8" t="n">
        <v>27.6</v>
      </c>
      <c r="Y102" s="8" t="n">
        <v>327</v>
      </c>
      <c r="Z102" s="8" t="n">
        <v>11.9</v>
      </c>
      <c r="AA102" s="8" t="n">
        <v>62</v>
      </c>
      <c r="AB102" s="8" t="inlineStr">
        <is>
          <t>204C x 70h, 25% compression, O-ring, ASTM D395</t>
        </is>
      </c>
      <c r="AC102" s="4" t="n">
        <v>204</v>
      </c>
      <c r="AD102" s="4">
        <f>I102+J102+K102+L102+M102+N102+O102+P102</f>
        <v/>
      </c>
      <c r="AE102" s="4" t="n">
        <v>1</v>
      </c>
      <c r="AF102" s="4" t="n">
        <v>1</v>
      </c>
      <c r="AG102" s="4" t="n">
        <v>1</v>
      </c>
      <c r="AH102" s="4" t="n">
        <v>1</v>
      </c>
      <c r="AI102" s="4" t="n">
        <v>1</v>
      </c>
    </row>
    <row r="103">
      <c r="A103" s="4" t="inlineStr">
        <is>
          <t>G102</t>
        </is>
      </c>
      <c r="B103" s="8" t="inlineStr">
        <is>
          <t>US7354974B2</t>
        </is>
      </c>
      <c r="C103" s="8" t="inlineStr">
        <is>
          <t>DuPont Performance Elastomers LLC</t>
        </is>
      </c>
      <c r="D103" s="8" t="inlineStr">
        <is>
          <t>Example 6</t>
        </is>
      </c>
      <c r="E103" s="8" t="inlineStr">
        <is>
          <t>FFKM</t>
        </is>
      </c>
      <c r="F103" s="8" t="inlineStr">
        <is>
          <t>TFE/PMVE/8-CNVE 68.2/31.0/0.80 mol%</t>
        </is>
      </c>
      <c r="G103" s="8" t="inlineStr">
        <is>
          <t>nitrile_triazine</t>
        </is>
      </c>
      <c r="H103" s="8" t="n">
        <v>100</v>
      </c>
      <c r="I103" s="8" t="n">
        <v>0</v>
      </c>
      <c r="J103" s="8" t="n">
        <v>0</v>
      </c>
      <c r="K103" s="8" t="n">
        <v>0</v>
      </c>
      <c r="L103" s="8" t="n">
        <v>0</v>
      </c>
      <c r="M103" s="8" t="n">
        <v>0</v>
      </c>
      <c r="N103" s="8" t="n">
        <v>300</v>
      </c>
      <c r="O103" s="8" t="n">
        <v>0</v>
      </c>
      <c r="P103" s="8" t="n">
        <v>0</v>
      </c>
      <c r="Q103" s="8" t="n">
        <v>0</v>
      </c>
      <c r="R103" s="8" t="n">
        <v>0</v>
      </c>
      <c r="S103" s="8" t="n">
        <v>0.3</v>
      </c>
      <c r="T103" s="8" t="n">
        <v>0</v>
      </c>
      <c r="U103" s="8" t="n">
        <v>0</v>
      </c>
      <c r="V103" s="8" t="n">
        <v>0</v>
      </c>
      <c r="W103" s="8" t="n">
        <v>97</v>
      </c>
      <c r="X103" s="8" t="n">
        <v>26.1</v>
      </c>
      <c r="Y103" s="8" t="n">
        <v>228</v>
      </c>
      <c r="Z103" s="8" t="n">
        <v>15.3</v>
      </c>
      <c r="AA103" s="8" t="n"/>
      <c r="AB103" s="8" t="n"/>
      <c r="AC103" s="4" t="n"/>
      <c r="AD103" s="4">
        <f>I103+J103+K103+L103+M103+N103+O103+P103</f>
        <v/>
      </c>
      <c r="AE103" s="4" t="n">
        <v>1</v>
      </c>
      <c r="AF103" s="4" t="n">
        <v>1</v>
      </c>
      <c r="AG103" s="4" t="n">
        <v>1</v>
      </c>
      <c r="AH103" s="4" t="n">
        <v>1</v>
      </c>
      <c r="AI103" s="4" t="n">
        <v>0</v>
      </c>
    </row>
    <row r="104">
      <c r="A104" s="4" t="inlineStr">
        <is>
          <t>G103</t>
        </is>
      </c>
      <c r="B104" s="8" t="inlineStr">
        <is>
          <t>US7354974B2</t>
        </is>
      </c>
      <c r="C104" s="8" t="inlineStr">
        <is>
          <t>DuPont Performance Elastomers LLC</t>
        </is>
      </c>
      <c r="D104" s="8" t="inlineStr">
        <is>
          <t>Example 7</t>
        </is>
      </c>
      <c r="E104" s="8" t="inlineStr">
        <is>
          <t>FFKM</t>
        </is>
      </c>
      <c r="F104" s="8" t="inlineStr">
        <is>
          <t>TFE/PMVE/8-CNVE 68.2/31.0/0.80 mol%</t>
        </is>
      </c>
      <c r="G104" s="8" t="inlineStr">
        <is>
          <t>nitrile_triazine</t>
        </is>
      </c>
      <c r="H104" s="8" t="n">
        <v>100</v>
      </c>
      <c r="I104" s="8" t="n">
        <v>0</v>
      </c>
      <c r="J104" s="8" t="n">
        <v>0</v>
      </c>
      <c r="K104" s="8" t="n">
        <v>0</v>
      </c>
      <c r="L104" s="8" t="n">
        <v>0</v>
      </c>
      <c r="M104" s="8" t="n">
        <v>0</v>
      </c>
      <c r="N104" s="8" t="n">
        <v>51</v>
      </c>
      <c r="O104" s="8" t="n">
        <v>0</v>
      </c>
      <c r="P104" s="8" t="n">
        <v>0</v>
      </c>
      <c r="Q104" s="8" t="n">
        <v>0</v>
      </c>
      <c r="R104" s="8" t="n">
        <v>0</v>
      </c>
      <c r="S104" s="8" t="n">
        <v>0.3</v>
      </c>
      <c r="T104" s="8" t="n">
        <v>0</v>
      </c>
      <c r="U104" s="8" t="n">
        <v>0</v>
      </c>
      <c r="V104" s="8" t="n">
        <v>0</v>
      </c>
      <c r="W104" s="8" t="n">
        <v>78</v>
      </c>
      <c r="X104" s="8" t="n">
        <v>17.7</v>
      </c>
      <c r="Y104" s="8" t="n">
        <v>330</v>
      </c>
      <c r="Z104" s="8" t="n">
        <v>6.2</v>
      </c>
      <c r="AA104" s="8" t="n"/>
      <c r="AB104" s="8" t="n"/>
      <c r="AC104" s="4" t="n"/>
      <c r="AD104" s="4">
        <f>I104+J104+K104+L104+M104+N104+O104+P104</f>
        <v/>
      </c>
      <c r="AE104" s="4" t="n">
        <v>1</v>
      </c>
      <c r="AF104" s="4" t="n">
        <v>1</v>
      </c>
      <c r="AG104" s="4" t="n">
        <v>1</v>
      </c>
      <c r="AH104" s="4" t="n">
        <v>1</v>
      </c>
      <c r="AI104" s="4" t="n">
        <v>0</v>
      </c>
    </row>
    <row r="105">
      <c r="A105" s="4" t="inlineStr">
        <is>
          <t>G104</t>
        </is>
      </c>
      <c r="B105" s="8" t="inlineStr">
        <is>
          <t>US7354974B2</t>
        </is>
      </c>
      <c r="C105" s="8" t="inlineStr">
        <is>
          <t>DuPont Performance Elastomers LLC</t>
        </is>
      </c>
      <c r="D105" s="8" t="inlineStr">
        <is>
          <t>Control A</t>
        </is>
      </c>
      <c r="E105" s="8" t="inlineStr">
        <is>
          <t>FFKM</t>
        </is>
      </c>
      <c r="F105" s="8" t="inlineStr">
        <is>
          <t>TFE/PMVE/8-CNVE 68.2/31.0/0.80 mol%</t>
        </is>
      </c>
      <c r="G105" s="8" t="inlineStr">
        <is>
          <t>nitrile_triazine</t>
        </is>
      </c>
      <c r="H105" s="8" t="n">
        <v>100</v>
      </c>
      <c r="I105" s="8" t="n">
        <v>0</v>
      </c>
      <c r="J105" s="8" t="n">
        <v>0</v>
      </c>
      <c r="K105" s="8" t="n">
        <v>0</v>
      </c>
      <c r="L105" s="8" t="n">
        <v>0</v>
      </c>
      <c r="M105" s="8" t="n">
        <v>0</v>
      </c>
      <c r="N105" s="8" t="n">
        <v>0</v>
      </c>
      <c r="O105" s="8" t="n">
        <v>0</v>
      </c>
      <c r="P105" s="8" t="n">
        <v>0</v>
      </c>
      <c r="Q105" s="8" t="n">
        <v>0</v>
      </c>
      <c r="R105" s="8" t="n">
        <v>0</v>
      </c>
      <c r="S105" s="8" t="n">
        <v>0.3</v>
      </c>
      <c r="T105" s="8" t="n">
        <v>0</v>
      </c>
      <c r="U105" s="8" t="n">
        <v>0</v>
      </c>
      <c r="V105" s="8" t="n">
        <v>0</v>
      </c>
      <c r="W105" s="8" t="n">
        <v>54</v>
      </c>
      <c r="X105" s="8" t="n">
        <v>10.6</v>
      </c>
      <c r="Y105" s="8" t="n">
        <v>358</v>
      </c>
      <c r="Z105" s="8" t="n">
        <v>1.5</v>
      </c>
      <c r="AA105" s="8" t="n">
        <v>80</v>
      </c>
      <c r="AB105" s="8" t="inlineStr">
        <is>
          <t>204C x 70h, 25% compression, O-ring, ASTM D395</t>
        </is>
      </c>
      <c r="AC105" s="4" t="n">
        <v>204</v>
      </c>
      <c r="AD105" s="4">
        <f>I105+J105+K105+L105+M105+N105+O105+P105</f>
        <v/>
      </c>
      <c r="AE105" s="4" t="n">
        <v>1</v>
      </c>
      <c r="AF105" s="4" t="n">
        <v>1</v>
      </c>
      <c r="AG105" s="4" t="n">
        <v>1</v>
      </c>
      <c r="AH105" s="4" t="n">
        <v>1</v>
      </c>
      <c r="AI105" s="4" t="n">
        <v>1</v>
      </c>
    </row>
    <row r="106">
      <c r="A106" s="4" t="inlineStr">
        <is>
          <t>G105</t>
        </is>
      </c>
      <c r="B106" s="8" t="inlineStr">
        <is>
          <t>US7354974B2</t>
        </is>
      </c>
      <c r="C106" s="8" t="inlineStr">
        <is>
          <t>DuPont Performance Elastomers LLC</t>
        </is>
      </c>
      <c r="D106" s="8" t="inlineStr">
        <is>
          <t>Control B</t>
        </is>
      </c>
      <c r="E106" s="8" t="inlineStr">
        <is>
          <t>FFKM</t>
        </is>
      </c>
      <c r="F106" s="8" t="inlineStr">
        <is>
          <t>TFE/PMVE/8-CNVE 68.2/31.0/0.80 mol%</t>
        </is>
      </c>
      <c r="G106" s="8" t="inlineStr">
        <is>
          <t>nitrile_triazine</t>
        </is>
      </c>
      <c r="H106" s="8" t="n">
        <v>100</v>
      </c>
      <c r="I106" s="8" t="n">
        <v>30</v>
      </c>
      <c r="J106" s="8" t="n">
        <v>0</v>
      </c>
      <c r="K106" s="8" t="n">
        <v>0</v>
      </c>
      <c r="L106" s="8" t="n">
        <v>0</v>
      </c>
      <c r="M106" s="8" t="n">
        <v>0</v>
      </c>
      <c r="N106" s="8" t="n">
        <v>0</v>
      </c>
      <c r="O106" s="8" t="n">
        <v>0</v>
      </c>
      <c r="P106" s="8" t="n">
        <v>0</v>
      </c>
      <c r="Q106" s="8" t="n">
        <v>0</v>
      </c>
      <c r="R106" s="8" t="n">
        <v>0</v>
      </c>
      <c r="S106" s="8" t="n">
        <v>0.3</v>
      </c>
      <c r="T106" s="8" t="n">
        <v>0</v>
      </c>
      <c r="U106" s="8" t="n">
        <v>0</v>
      </c>
      <c r="V106" s="8" t="n">
        <v>0</v>
      </c>
      <c r="W106" s="8" t="n">
        <v>73</v>
      </c>
      <c r="X106" s="8" t="n">
        <v>17.3</v>
      </c>
      <c r="Y106" s="8" t="n">
        <v>242</v>
      </c>
      <c r="Z106" s="8" t="n">
        <v>7.5</v>
      </c>
      <c r="AA106" s="8" t="n">
        <v>12</v>
      </c>
      <c r="AB106" s="8" t="inlineStr">
        <is>
          <t>204C x 70h, 25% compression, O-ring, ASTM D395</t>
        </is>
      </c>
      <c r="AC106" s="4" t="n">
        <v>204</v>
      </c>
      <c r="AD106" s="4">
        <f>I106+J106+K106+L106+M106+N106+O106+P106</f>
        <v/>
      </c>
      <c r="AE106" s="4" t="n">
        <v>1</v>
      </c>
      <c r="AF106" s="4" t="n">
        <v>1</v>
      </c>
      <c r="AG106" s="4" t="n">
        <v>1</v>
      </c>
      <c r="AH106" s="4" t="n">
        <v>1</v>
      </c>
      <c r="AI106" s="4" t="n">
        <v>1</v>
      </c>
    </row>
    <row r="107">
      <c r="A107" s="4" t="inlineStr">
        <is>
          <t>G106</t>
        </is>
      </c>
      <c r="B107" s="8" t="inlineStr">
        <is>
          <t>US7354974B2</t>
        </is>
      </c>
      <c r="C107" s="8" t="inlineStr">
        <is>
          <t>DuPont Performance Elastomers LLC</t>
        </is>
      </c>
      <c r="D107" s="8" t="inlineStr">
        <is>
          <t>Control D</t>
        </is>
      </c>
      <c r="E107" s="8" t="inlineStr">
        <is>
          <t>FFKM</t>
        </is>
      </c>
      <c r="F107" s="8" t="inlineStr">
        <is>
          <t>TFE/PMVE/8-CNVE 68.2/31.0/0.80 mol%</t>
        </is>
      </c>
      <c r="G107" s="8" t="inlineStr">
        <is>
          <t>nitrile_triazine</t>
        </is>
      </c>
      <c r="H107" s="8" t="n">
        <v>100</v>
      </c>
      <c r="I107" s="8" t="n">
        <v>0</v>
      </c>
      <c r="J107" s="8" t="n">
        <v>0</v>
      </c>
      <c r="K107" s="8" t="n">
        <v>0</v>
      </c>
      <c r="L107" s="8" t="n">
        <v>0</v>
      </c>
      <c r="M107" s="8" t="n">
        <v>0</v>
      </c>
      <c r="N107" s="8" t="n">
        <v>40</v>
      </c>
      <c r="O107" s="8" t="n">
        <v>0</v>
      </c>
      <c r="P107" s="8" t="n">
        <v>0</v>
      </c>
      <c r="Q107" s="8" t="n">
        <v>0</v>
      </c>
      <c r="R107" s="8" t="n">
        <v>0</v>
      </c>
      <c r="S107" s="8" t="n">
        <v>0.3</v>
      </c>
      <c r="T107" s="8" t="n">
        <v>0</v>
      </c>
      <c r="U107" s="8" t="n">
        <v>0</v>
      </c>
      <c r="V107" s="8" t="n">
        <v>0</v>
      </c>
      <c r="W107" s="8" t="n"/>
      <c r="X107" s="8" t="n"/>
      <c r="Y107" s="8" t="n"/>
      <c r="Z107" s="8" t="n">
        <v>5.4</v>
      </c>
      <c r="AA107" s="8" t="n"/>
      <c r="AB107" s="8" t="n"/>
      <c r="AC107" s="4" t="n"/>
      <c r="AD107" s="4">
        <f>I107+J107+K107+L107+M107+N107+O107+P107</f>
        <v/>
      </c>
      <c r="AE107" s="4" t="n">
        <v>0</v>
      </c>
      <c r="AF107" s="4" t="n">
        <v>0</v>
      </c>
      <c r="AG107" s="4" t="n">
        <v>0</v>
      </c>
      <c r="AH107" s="4" t="n">
        <v>1</v>
      </c>
      <c r="AI107" s="4" t="n">
        <v>0</v>
      </c>
    </row>
    <row r="108">
      <c r="A108" s="4" t="inlineStr">
        <is>
          <t>G107</t>
        </is>
      </c>
      <c r="B108" s="8" t="inlineStr">
        <is>
          <t>US6992143B2</t>
        </is>
      </c>
      <c r="C108" s="8" t="inlineStr">
        <is>
          <t>DuPont Dow Elastomers LLC</t>
        </is>
      </c>
      <c r="D108" s="8" t="inlineStr">
        <is>
          <t>Control Example 1</t>
        </is>
      </c>
      <c r="E108" s="8" t="inlineStr">
        <is>
          <t>FFKM</t>
        </is>
      </c>
      <c r="F108" s="8" t="inlineStr">
        <is>
          <t>FFKM A: TFE/PMVE/8-CNVE 68.2/31.0/0.80 mol%</t>
        </is>
      </c>
      <c r="G108" s="8" t="inlineStr">
        <is>
          <t>peroxide</t>
        </is>
      </c>
      <c r="H108" s="8" t="n">
        <v>100</v>
      </c>
      <c r="I108" s="8" t="n">
        <v>0</v>
      </c>
      <c r="J108" s="8" t="n">
        <v>10</v>
      </c>
      <c r="K108" s="8" t="n">
        <v>0</v>
      </c>
      <c r="L108" s="8" t="n">
        <v>0</v>
      </c>
      <c r="M108" s="8" t="n">
        <v>0</v>
      </c>
      <c r="N108" s="8" t="n">
        <v>0</v>
      </c>
      <c r="O108" s="8" t="n">
        <v>0</v>
      </c>
      <c r="P108" s="8" t="n">
        <v>0</v>
      </c>
      <c r="Q108" s="8" t="n">
        <v>1.5</v>
      </c>
      <c r="R108" s="8" t="n">
        <v>3</v>
      </c>
      <c r="S108" s="8" t="n">
        <v>0</v>
      </c>
      <c r="T108" s="8" t="n">
        <v>0</v>
      </c>
      <c r="U108" s="8" t="n">
        <v>0</v>
      </c>
      <c r="V108" s="8" t="n">
        <v>0</v>
      </c>
      <c r="W108" s="8" t="n"/>
      <c r="X108" s="8" t="n">
        <v>16.7</v>
      </c>
      <c r="Y108" s="8" t="n">
        <v>162</v>
      </c>
      <c r="Z108" s="8" t="n">
        <v>7.9</v>
      </c>
      <c r="AA108" s="8" t="n">
        <v>39</v>
      </c>
      <c r="AB108" s="8" t="inlineStr">
        <is>
          <t>204C x 70h, K214 O-ring, ASTM D1414</t>
        </is>
      </c>
      <c r="AC108" s="4" t="n">
        <v>204</v>
      </c>
      <c r="AD108" s="4">
        <f>I108+J108+K108+L108+M108+N108+O108+P108</f>
        <v/>
      </c>
      <c r="AE108" s="4" t="n">
        <v>0</v>
      </c>
      <c r="AF108" s="4" t="n">
        <v>1</v>
      </c>
      <c r="AG108" s="4" t="n">
        <v>1</v>
      </c>
      <c r="AH108" s="4" t="n">
        <v>1</v>
      </c>
      <c r="AI108" s="4" t="n">
        <v>1</v>
      </c>
    </row>
    <row r="109">
      <c r="A109" s="4" t="inlineStr">
        <is>
          <t>G108</t>
        </is>
      </c>
      <c r="B109" s="8" t="inlineStr">
        <is>
          <t>US6992143B2</t>
        </is>
      </c>
      <c r="C109" s="8" t="inlineStr">
        <is>
          <t>DuPont Dow Elastomers LLC</t>
        </is>
      </c>
      <c r="D109" s="8" t="inlineStr">
        <is>
          <t>Control Example 2</t>
        </is>
      </c>
      <c r="E109" s="8" t="inlineStr">
        <is>
          <t>FFKM</t>
        </is>
      </c>
      <c r="F109" s="8" t="inlineStr">
        <is>
          <t>FFKM A: TFE/PMVE/8-CNVE 68.2/31.0/0.80 mol%</t>
        </is>
      </c>
      <c r="G109" s="8" t="inlineStr">
        <is>
          <t>peroxide</t>
        </is>
      </c>
      <c r="H109" s="8" t="n">
        <v>100</v>
      </c>
      <c r="I109" s="8" t="n">
        <v>0</v>
      </c>
      <c r="J109" s="8" t="n">
        <v>10</v>
      </c>
      <c r="K109" s="8" t="n">
        <v>0</v>
      </c>
      <c r="L109" s="8" t="n">
        <v>0</v>
      </c>
      <c r="M109" s="8" t="n">
        <v>0</v>
      </c>
      <c r="N109" s="8" t="n">
        <v>0</v>
      </c>
      <c r="O109" s="8" t="n">
        <v>0</v>
      </c>
      <c r="P109" s="8" t="n">
        <v>0</v>
      </c>
      <c r="Q109" s="8" t="n">
        <v>1.5</v>
      </c>
      <c r="R109" s="8" t="n">
        <v>3</v>
      </c>
      <c r="S109" s="8" t="n">
        <v>0</v>
      </c>
      <c r="T109" s="8" t="n">
        <v>0</v>
      </c>
      <c r="U109" s="8" t="n">
        <v>0</v>
      </c>
      <c r="V109" s="8" t="n">
        <v>0</v>
      </c>
      <c r="W109" s="8" t="n"/>
      <c r="X109" s="8" t="n">
        <v>16.3</v>
      </c>
      <c r="Y109" s="8" t="n">
        <v>181</v>
      </c>
      <c r="Z109" s="8" t="n">
        <v>6.6</v>
      </c>
      <c r="AA109" s="8" t="n">
        <v>41</v>
      </c>
      <c r="AB109" s="8" t="inlineStr">
        <is>
          <t>204C x 70h, K214 O-ring, ASTM D1414</t>
        </is>
      </c>
      <c r="AC109" s="4" t="n">
        <v>204</v>
      </c>
      <c r="AD109" s="4">
        <f>I109+J109+K109+L109+M109+N109+O109+P109</f>
        <v/>
      </c>
      <c r="AE109" s="4" t="n">
        <v>0</v>
      </c>
      <c r="AF109" s="4" t="n">
        <v>1</v>
      </c>
      <c r="AG109" s="4" t="n">
        <v>1</v>
      </c>
      <c r="AH109" s="4" t="n">
        <v>1</v>
      </c>
      <c r="AI109" s="4" t="n">
        <v>1</v>
      </c>
    </row>
    <row r="110">
      <c r="A110" s="4" t="inlineStr">
        <is>
          <t>G109</t>
        </is>
      </c>
      <c r="B110" s="8" t="inlineStr">
        <is>
          <t>US6992143B2</t>
        </is>
      </c>
      <c r="C110" s="8" t="inlineStr">
        <is>
          <t>DuPont Dow Elastomers LLC</t>
        </is>
      </c>
      <c r="D110" s="8" t="inlineStr">
        <is>
          <t>Control Example 3</t>
        </is>
      </c>
      <c r="E110" s="8" t="inlineStr">
        <is>
          <t>FFKM</t>
        </is>
      </c>
      <c r="F110" s="8" t="inlineStr">
        <is>
          <t>FFKM A: TFE/PMVE/8-CNVE 68.2/31.0/0.80 mol%</t>
        </is>
      </c>
      <c r="G110" s="8" t="inlineStr">
        <is>
          <t>peroxide</t>
        </is>
      </c>
      <c r="H110" s="8" t="n">
        <v>100</v>
      </c>
      <c r="I110" s="8" t="n">
        <v>0</v>
      </c>
      <c r="J110" s="8" t="n">
        <v>10</v>
      </c>
      <c r="K110" s="8" t="n">
        <v>0</v>
      </c>
      <c r="L110" s="8" t="n">
        <v>0</v>
      </c>
      <c r="M110" s="8" t="n">
        <v>0</v>
      </c>
      <c r="N110" s="8" t="n">
        <v>0</v>
      </c>
      <c r="O110" s="8" t="n">
        <v>0</v>
      </c>
      <c r="P110" s="8" t="n">
        <v>0</v>
      </c>
      <c r="Q110" s="8" t="n">
        <v>1.5</v>
      </c>
      <c r="R110" s="8" t="n">
        <v>3</v>
      </c>
      <c r="S110" s="8" t="n">
        <v>0</v>
      </c>
      <c r="T110" s="8" t="n">
        <v>0</v>
      </c>
      <c r="U110" s="8" t="n">
        <v>0</v>
      </c>
      <c r="V110" s="8" t="n">
        <v>0</v>
      </c>
      <c r="W110" s="8" t="n"/>
      <c r="X110" s="8" t="n">
        <v>12.3</v>
      </c>
      <c r="Y110" s="8" t="n">
        <v>160</v>
      </c>
      <c r="Z110" s="8" t="n">
        <v>5.8</v>
      </c>
      <c r="AA110" s="8" t="n">
        <v>47</v>
      </c>
      <c r="AB110" s="8" t="inlineStr">
        <is>
          <t>204C x 70h, K214 O-ring, ASTM D1414</t>
        </is>
      </c>
      <c r="AC110" s="4" t="n">
        <v>204</v>
      </c>
      <c r="AD110" s="4">
        <f>I110+J110+K110+L110+M110+N110+O110+P110</f>
        <v/>
      </c>
      <c r="AE110" s="4" t="n">
        <v>0</v>
      </c>
      <c r="AF110" s="4" t="n">
        <v>1</v>
      </c>
      <c r="AG110" s="4" t="n">
        <v>1</v>
      </c>
      <c r="AH110" s="4" t="n">
        <v>1</v>
      </c>
      <c r="AI110" s="4" t="n">
        <v>1</v>
      </c>
    </row>
    <row r="111">
      <c r="A111" s="4" t="inlineStr">
        <is>
          <t>G110</t>
        </is>
      </c>
      <c r="B111" s="8" t="inlineStr">
        <is>
          <t>US6992143B2</t>
        </is>
      </c>
      <c r="C111" s="8" t="inlineStr">
        <is>
          <t>DuPont Dow Elastomers LLC</t>
        </is>
      </c>
      <c r="D111" s="8" t="inlineStr">
        <is>
          <t>Example 1</t>
        </is>
      </c>
      <c r="E111" s="8" t="inlineStr">
        <is>
          <t>FFKM</t>
        </is>
      </c>
      <c r="F111" s="8" t="inlineStr">
        <is>
          <t>FFKM A: TFE/PMVE/8-CNVE 68.2/31.0/0.80 mol%</t>
        </is>
      </c>
      <c r="G111" s="8" t="inlineStr">
        <is>
          <t>nitrile_bisaminophenol</t>
        </is>
      </c>
      <c r="H111" s="8" t="n">
        <v>100</v>
      </c>
      <c r="I111" s="8" t="n">
        <v>0</v>
      </c>
      <c r="J111" s="8" t="n">
        <v>10</v>
      </c>
      <c r="K111" s="8" t="n">
        <v>0</v>
      </c>
      <c r="L111" s="8" t="n">
        <v>0</v>
      </c>
      <c r="M111" s="8" t="n">
        <v>0</v>
      </c>
      <c r="N111" s="8" t="n">
        <v>0</v>
      </c>
      <c r="O111" s="8" t="n">
        <v>0</v>
      </c>
      <c r="P111" s="8" t="n">
        <v>0</v>
      </c>
      <c r="Q111" s="8" t="n">
        <v>0</v>
      </c>
      <c r="R111" s="8" t="n">
        <v>0</v>
      </c>
      <c r="S111" s="8" t="n">
        <v>1.75</v>
      </c>
      <c r="T111" s="8" t="n">
        <v>0</v>
      </c>
      <c r="U111" s="8" t="n">
        <v>0</v>
      </c>
      <c r="V111" s="8" t="n">
        <v>0</v>
      </c>
      <c r="W111" s="8" t="n"/>
      <c r="X111" s="8" t="n">
        <v>9</v>
      </c>
      <c r="Y111" s="8" t="n">
        <v>161</v>
      </c>
      <c r="Z111" s="8" t="n">
        <v>4.1</v>
      </c>
      <c r="AA111" s="8" t="n">
        <v>29</v>
      </c>
      <c r="AB111" s="8" t="inlineStr">
        <is>
          <t>204C x 70h, K214 O-ring, ASTM D1414</t>
        </is>
      </c>
      <c r="AC111" s="4" t="n">
        <v>204</v>
      </c>
      <c r="AD111" s="4">
        <f>I111+J111+K111+L111+M111+N111+O111+P111</f>
        <v/>
      </c>
      <c r="AE111" s="4" t="n">
        <v>0</v>
      </c>
      <c r="AF111" s="4" t="n">
        <v>1</v>
      </c>
      <c r="AG111" s="4" t="n">
        <v>1</v>
      </c>
      <c r="AH111" s="4" t="n">
        <v>1</v>
      </c>
      <c r="AI111" s="4" t="n">
        <v>1</v>
      </c>
    </row>
    <row r="112">
      <c r="A112" s="4" t="inlineStr">
        <is>
          <t>G111</t>
        </is>
      </c>
      <c r="B112" s="8" t="inlineStr">
        <is>
          <t>US6992143B2</t>
        </is>
      </c>
      <c r="C112" s="8" t="inlineStr">
        <is>
          <t>DuPont Dow Elastomers LLC</t>
        </is>
      </c>
      <c r="D112" s="8" t="inlineStr">
        <is>
          <t>Example 2</t>
        </is>
      </c>
      <c r="E112" s="8" t="inlineStr">
        <is>
          <t>FFKM</t>
        </is>
      </c>
      <c r="F112" s="8" t="inlineStr">
        <is>
          <t>FFKM A: TFE/PMVE/8-CNVE 68.2/31.0/0.80 mol%</t>
        </is>
      </c>
      <c r="G112" s="8" t="inlineStr">
        <is>
          <t>nitrile_bisaminophenol</t>
        </is>
      </c>
      <c r="H112" s="8" t="n">
        <v>100</v>
      </c>
      <c r="I112" s="8" t="n">
        <v>0</v>
      </c>
      <c r="J112" s="8" t="n">
        <v>10</v>
      </c>
      <c r="K112" s="8" t="n">
        <v>0</v>
      </c>
      <c r="L112" s="8" t="n">
        <v>0</v>
      </c>
      <c r="M112" s="8" t="n">
        <v>0</v>
      </c>
      <c r="N112" s="8" t="n">
        <v>0</v>
      </c>
      <c r="O112" s="8" t="n">
        <v>0</v>
      </c>
      <c r="P112" s="8" t="n">
        <v>0</v>
      </c>
      <c r="Q112" s="8" t="n">
        <v>0</v>
      </c>
      <c r="R112" s="8" t="n">
        <v>0</v>
      </c>
      <c r="S112" s="8" t="n">
        <v>1.75</v>
      </c>
      <c r="T112" s="8" t="n">
        <v>0</v>
      </c>
      <c r="U112" s="8" t="n">
        <v>0</v>
      </c>
      <c r="V112" s="8" t="n">
        <v>0</v>
      </c>
      <c r="W112" s="8" t="n"/>
      <c r="X112" s="8" t="n">
        <v>13.5</v>
      </c>
      <c r="Y112" s="8" t="n">
        <v>195</v>
      </c>
      <c r="Z112" s="8" t="n">
        <v>4.4</v>
      </c>
      <c r="AA112" s="8" t="n">
        <v>35</v>
      </c>
      <c r="AB112" s="8" t="inlineStr">
        <is>
          <t>204C x 70h, K214 O-ring, ASTM D1414</t>
        </is>
      </c>
      <c r="AC112" s="4" t="n">
        <v>204</v>
      </c>
      <c r="AD112" s="4">
        <f>I112+J112+K112+L112+M112+N112+O112+P112</f>
        <v/>
      </c>
      <c r="AE112" s="4" t="n">
        <v>0</v>
      </c>
      <c r="AF112" s="4" t="n">
        <v>1</v>
      </c>
      <c r="AG112" s="4" t="n">
        <v>1</v>
      </c>
      <c r="AH112" s="4" t="n">
        <v>1</v>
      </c>
      <c r="AI112" s="4" t="n">
        <v>1</v>
      </c>
    </row>
    <row r="113">
      <c r="A113" s="4" t="inlineStr">
        <is>
          <t>G112</t>
        </is>
      </c>
      <c r="B113" s="8" t="inlineStr">
        <is>
          <t>US6992143B2</t>
        </is>
      </c>
      <c r="C113" s="8" t="inlineStr">
        <is>
          <t>DuPont Dow Elastomers LLC</t>
        </is>
      </c>
      <c r="D113" s="8" t="inlineStr">
        <is>
          <t>Example 3</t>
        </is>
      </c>
      <c r="E113" s="8" t="inlineStr">
        <is>
          <t>FFKM</t>
        </is>
      </c>
      <c r="F113" s="8" t="inlineStr">
        <is>
          <t>FFKM A: TFE/PMVE/8-CNVE 68.2/31.0/0.80 mol%</t>
        </is>
      </c>
      <c r="G113" s="8" t="inlineStr">
        <is>
          <t>nitrile_bisaminophenol</t>
        </is>
      </c>
      <c r="H113" s="8" t="n">
        <v>100</v>
      </c>
      <c r="I113" s="8" t="n">
        <v>0</v>
      </c>
      <c r="J113" s="8" t="n">
        <v>10</v>
      </c>
      <c r="K113" s="8" t="n">
        <v>0</v>
      </c>
      <c r="L113" s="8" t="n">
        <v>0</v>
      </c>
      <c r="M113" s="8" t="n">
        <v>0</v>
      </c>
      <c r="N113" s="8" t="n">
        <v>0</v>
      </c>
      <c r="O113" s="8" t="n">
        <v>0</v>
      </c>
      <c r="P113" s="8" t="n">
        <v>0</v>
      </c>
      <c r="Q113" s="8" t="n">
        <v>0</v>
      </c>
      <c r="R113" s="8" t="n">
        <v>0</v>
      </c>
      <c r="S113" s="8" t="n">
        <v>1.75</v>
      </c>
      <c r="T113" s="8" t="n">
        <v>0</v>
      </c>
      <c r="U113" s="8" t="n">
        <v>0</v>
      </c>
      <c r="V113" s="8" t="n">
        <v>0</v>
      </c>
      <c r="W113" s="8" t="n"/>
      <c r="X113" s="8" t="n">
        <v>12.8</v>
      </c>
      <c r="Y113" s="8" t="n">
        <v>214</v>
      </c>
      <c r="Z113" s="8" t="n">
        <v>3.8</v>
      </c>
      <c r="AA113" s="8" t="n">
        <v>44</v>
      </c>
      <c r="AB113" s="8" t="inlineStr">
        <is>
          <t>204C x 70h, K214 O-ring, ASTM D1414</t>
        </is>
      </c>
      <c r="AC113" s="4" t="n">
        <v>204</v>
      </c>
      <c r="AD113" s="4">
        <f>I113+J113+K113+L113+M113+N113+O113+P113</f>
        <v/>
      </c>
      <c r="AE113" s="4" t="n">
        <v>0</v>
      </c>
      <c r="AF113" s="4" t="n">
        <v>1</v>
      </c>
      <c r="AG113" s="4" t="n">
        <v>1</v>
      </c>
      <c r="AH113" s="4" t="n">
        <v>1</v>
      </c>
      <c r="AI113" s="4" t="n">
        <v>1</v>
      </c>
    </row>
    <row r="114">
      <c r="A114" s="4" t="inlineStr">
        <is>
          <t>G113</t>
        </is>
      </c>
      <c r="B114" s="8" t="inlineStr">
        <is>
          <t>US6992143B2</t>
        </is>
      </c>
      <c r="C114" s="8" t="inlineStr">
        <is>
          <t>DuPont Dow Elastomers LLC</t>
        </is>
      </c>
      <c r="D114" s="8" t="inlineStr">
        <is>
          <t>Comparative Example A</t>
        </is>
      </c>
      <c r="E114" s="8" t="inlineStr">
        <is>
          <t>FFKM</t>
        </is>
      </c>
      <c r="F114" s="8" t="inlineStr">
        <is>
          <t>FFKM A: TFE/PMVE/8-CNVE 68.2/31.0/0.80 mol%</t>
        </is>
      </c>
      <c r="G114" s="8" t="inlineStr">
        <is>
          <t>nitrile_bisaminophenol</t>
        </is>
      </c>
      <c r="H114" s="8" t="n">
        <v>100</v>
      </c>
      <c r="I114" s="8" t="n">
        <v>0</v>
      </c>
      <c r="J114" s="8" t="n">
        <v>10</v>
      </c>
      <c r="K114" s="8" t="n">
        <v>0</v>
      </c>
      <c r="L114" s="8" t="n">
        <v>0</v>
      </c>
      <c r="M114" s="8" t="n">
        <v>0</v>
      </c>
      <c r="N114" s="8" t="n">
        <v>0</v>
      </c>
      <c r="O114" s="8" t="n">
        <v>0</v>
      </c>
      <c r="P114" s="8" t="n">
        <v>0</v>
      </c>
      <c r="Q114" s="8" t="n">
        <v>0</v>
      </c>
      <c r="R114" s="8" t="n">
        <v>0</v>
      </c>
      <c r="S114" s="8" t="n">
        <v>1.75</v>
      </c>
      <c r="T114" s="8" t="n">
        <v>0</v>
      </c>
      <c r="U114" s="8" t="n">
        <v>0</v>
      </c>
      <c r="V114" s="8" t="n">
        <v>0</v>
      </c>
      <c r="W114" s="8" t="n"/>
      <c r="X114" s="8" t="n">
        <v>12.9</v>
      </c>
      <c r="Y114" s="8" t="n">
        <v>161</v>
      </c>
      <c r="Z114" s="8" t="n">
        <v>7.6</v>
      </c>
      <c r="AA114" s="8" t="n">
        <v>55</v>
      </c>
      <c r="AB114" s="8" t="inlineStr">
        <is>
          <t>204C x 70h, K214 O-ring, ASTM D1414</t>
        </is>
      </c>
      <c r="AC114" s="4" t="n">
        <v>204</v>
      </c>
      <c r="AD114" s="4">
        <f>I114+J114+K114+L114+M114+N114+O114+P114</f>
        <v/>
      </c>
      <c r="AE114" s="4" t="n">
        <v>0</v>
      </c>
      <c r="AF114" s="4" t="n">
        <v>1</v>
      </c>
      <c r="AG114" s="4" t="n">
        <v>1</v>
      </c>
      <c r="AH114" s="4" t="n">
        <v>1</v>
      </c>
      <c r="AI114" s="4" t="n">
        <v>1</v>
      </c>
    </row>
    <row r="115">
      <c r="A115" s="4" t="inlineStr">
        <is>
          <t>G114</t>
        </is>
      </c>
      <c r="B115" s="8" t="inlineStr">
        <is>
          <t>US6992143B2</t>
        </is>
      </c>
      <c r="C115" s="8" t="inlineStr">
        <is>
          <t>DuPont Dow Elastomers LLC</t>
        </is>
      </c>
      <c r="D115" s="8" t="inlineStr">
        <is>
          <t>Example 4</t>
        </is>
      </c>
      <c r="E115" s="8" t="inlineStr">
        <is>
          <t>FFKM</t>
        </is>
      </c>
      <c r="F115" s="8" t="inlineStr">
        <is>
          <t>FFKM A: TFE/PMVE/8-CNVE 68.2/31.0/0.80 mol%</t>
        </is>
      </c>
      <c r="G115" s="8" t="inlineStr">
        <is>
          <t>nitrile_triazine</t>
        </is>
      </c>
      <c r="H115" s="8" t="n">
        <v>100</v>
      </c>
      <c r="I115" s="8" t="n">
        <v>0</v>
      </c>
      <c r="J115" s="8" t="n">
        <v>10</v>
      </c>
      <c r="K115" s="8" t="n">
        <v>0</v>
      </c>
      <c r="L115" s="8" t="n">
        <v>0</v>
      </c>
      <c r="M115" s="8" t="n">
        <v>0</v>
      </c>
      <c r="N115" s="8" t="n">
        <v>0</v>
      </c>
      <c r="O115" s="8" t="n">
        <v>0</v>
      </c>
      <c r="P115" s="8" t="n">
        <v>0</v>
      </c>
      <c r="Q115" s="8" t="n">
        <v>0</v>
      </c>
      <c r="R115" s="8" t="n">
        <v>0</v>
      </c>
      <c r="S115" s="8" t="n">
        <v>0.3</v>
      </c>
      <c r="T115" s="8" t="n">
        <v>0</v>
      </c>
      <c r="U115" s="8" t="n">
        <v>0</v>
      </c>
      <c r="V115" s="8" t="n">
        <v>0</v>
      </c>
      <c r="W115" s="8" t="n"/>
      <c r="X115" s="8" t="n">
        <v>7</v>
      </c>
      <c r="Y115" s="8" t="n">
        <v>204</v>
      </c>
      <c r="Z115" s="8" t="n">
        <v>2.4</v>
      </c>
      <c r="AA115" s="8" t="n">
        <v>15</v>
      </c>
      <c r="AB115" s="8" t="inlineStr">
        <is>
          <t>204C x 70h, K214 O-ring, ASTM D1414</t>
        </is>
      </c>
      <c r="AC115" s="4" t="n">
        <v>204</v>
      </c>
      <c r="AD115" s="4">
        <f>I115+J115+K115+L115+M115+N115+O115+P115</f>
        <v/>
      </c>
      <c r="AE115" s="4" t="n">
        <v>0</v>
      </c>
      <c r="AF115" s="4" t="n">
        <v>1</v>
      </c>
      <c r="AG115" s="4" t="n">
        <v>1</v>
      </c>
      <c r="AH115" s="4" t="n">
        <v>1</v>
      </c>
      <c r="AI115" s="4" t="n">
        <v>1</v>
      </c>
    </row>
    <row r="116">
      <c r="A116" s="4" t="inlineStr">
        <is>
          <t>G115</t>
        </is>
      </c>
      <c r="B116" s="8" t="inlineStr">
        <is>
          <t>US6992143B2</t>
        </is>
      </c>
      <c r="C116" s="8" t="inlineStr">
        <is>
          <t>DuPont Dow Elastomers LLC</t>
        </is>
      </c>
      <c r="D116" s="8" t="inlineStr">
        <is>
          <t>Comparative Example B</t>
        </is>
      </c>
      <c r="E116" s="8" t="inlineStr">
        <is>
          <t>FFKM</t>
        </is>
      </c>
      <c r="F116" s="8" t="inlineStr">
        <is>
          <t>FFKM A: TFE/PMVE/8-CNVE 68.2/31.0/0.80 mol%</t>
        </is>
      </c>
      <c r="G116" s="8" t="inlineStr">
        <is>
          <t>nitrile_triazine</t>
        </is>
      </c>
      <c r="H116" s="8" t="n">
        <v>100</v>
      </c>
      <c r="I116" s="8" t="n">
        <v>0</v>
      </c>
      <c r="J116" s="8" t="n">
        <v>10</v>
      </c>
      <c r="K116" s="8" t="n">
        <v>0</v>
      </c>
      <c r="L116" s="8" t="n">
        <v>0</v>
      </c>
      <c r="M116" s="8" t="n">
        <v>0</v>
      </c>
      <c r="N116" s="8" t="n">
        <v>0</v>
      </c>
      <c r="O116" s="8" t="n">
        <v>0</v>
      </c>
      <c r="P116" s="8" t="n">
        <v>0</v>
      </c>
      <c r="Q116" s="8" t="n">
        <v>0</v>
      </c>
      <c r="R116" s="8" t="n">
        <v>0</v>
      </c>
      <c r="S116" s="8" t="n">
        <v>0.3</v>
      </c>
      <c r="T116" s="8" t="n">
        <v>0</v>
      </c>
      <c r="U116" s="8" t="n">
        <v>0</v>
      </c>
      <c r="V116" s="8" t="n">
        <v>0</v>
      </c>
      <c r="W116" s="8" t="n"/>
      <c r="X116" s="8" t="n">
        <v>7.5</v>
      </c>
      <c r="Y116" s="8" t="n">
        <v>199</v>
      </c>
      <c r="Z116" s="8" t="n">
        <v>4.2</v>
      </c>
      <c r="AA116" s="8" t="n">
        <v>38</v>
      </c>
      <c r="AB116" s="8" t="inlineStr">
        <is>
          <t>204C x 70h, K214 O-ring, ASTM D1414</t>
        </is>
      </c>
      <c r="AC116" s="4" t="n">
        <v>204</v>
      </c>
      <c r="AD116" s="4">
        <f>I116+J116+K116+L116+M116+N116+O116+P116</f>
        <v/>
      </c>
      <c r="AE116" s="4" t="n">
        <v>0</v>
      </c>
      <c r="AF116" s="4" t="n">
        <v>1</v>
      </c>
      <c r="AG116" s="4" t="n">
        <v>1</v>
      </c>
      <c r="AH116" s="4" t="n">
        <v>1</v>
      </c>
      <c r="AI116" s="4" t="n">
        <v>1</v>
      </c>
    </row>
    <row r="117">
      <c r="A117" s="4" t="inlineStr">
        <is>
          <t>G116</t>
        </is>
      </c>
      <c r="B117" s="8" t="inlineStr">
        <is>
          <t>US5696189A</t>
        </is>
      </c>
      <c r="C117" s="8" t="inlineStr">
        <is>
          <t>EI Du Pont de Nemours and Co</t>
        </is>
      </c>
      <c r="D117" s="8" t="inlineStr">
        <is>
          <t>Comparative Example A</t>
        </is>
      </c>
      <c r="E117" s="8" t="inlineStr">
        <is>
          <t>FFKM</t>
        </is>
      </c>
      <c r="F117" s="8" t="inlineStr">
        <is>
          <t>TFE/PMVE/8-CNVE approx. 56/42/2 wt (per US4281092)</t>
        </is>
      </c>
      <c r="G117" s="8" t="inlineStr">
        <is>
          <t>nitrile_organotin</t>
        </is>
      </c>
      <c r="H117" s="8" t="n">
        <v>100</v>
      </c>
      <c r="I117" s="8" t="n">
        <v>12</v>
      </c>
      <c r="J117" s="8" t="n">
        <v>0</v>
      </c>
      <c r="K117" s="8" t="n">
        <v>0</v>
      </c>
      <c r="L117" s="8" t="n">
        <v>0</v>
      </c>
      <c r="M117" s="8" t="n">
        <v>0</v>
      </c>
      <c r="N117" s="8" t="n">
        <v>0</v>
      </c>
      <c r="O117" s="8" t="n">
        <v>0</v>
      </c>
      <c r="P117" s="8" t="n">
        <v>0</v>
      </c>
      <c r="Q117" s="8" t="n">
        <v>0</v>
      </c>
      <c r="R117" s="8" t="n">
        <v>0</v>
      </c>
      <c r="S117" s="8" t="n">
        <v>3</v>
      </c>
      <c r="T117" s="8" t="n">
        <v>0.3</v>
      </c>
      <c r="U117" s="8" t="n">
        <v>0</v>
      </c>
      <c r="V117" s="8" t="n">
        <v>0</v>
      </c>
      <c r="W117" s="8" t="n">
        <v>77</v>
      </c>
      <c r="X117" s="8" t="n">
        <v>14.34</v>
      </c>
      <c r="Y117" s="8" t="n">
        <v>145</v>
      </c>
      <c r="Z117" s="8" t="n">
        <v>6.62</v>
      </c>
      <c r="AA117" s="8" t="n">
        <v>24.5</v>
      </c>
      <c r="AB117" s="8" t="inlineStr">
        <is>
          <t>200C x 70h, pellets, ASTM D395</t>
        </is>
      </c>
      <c r="AC117" s="4" t="n">
        <v>200</v>
      </c>
      <c r="AD117" s="4">
        <f>I117+J117+K117+L117+M117+N117+O117+P117</f>
        <v/>
      </c>
      <c r="AE117" s="4" t="n">
        <v>1</v>
      </c>
      <c r="AF117" s="4" t="n">
        <v>1</v>
      </c>
      <c r="AG117" s="4" t="n">
        <v>1</v>
      </c>
      <c r="AH117" s="4" t="n">
        <v>1</v>
      </c>
      <c r="AI117" s="4" t="n">
        <v>1</v>
      </c>
    </row>
    <row r="118">
      <c r="A118" s="4" t="inlineStr">
        <is>
          <t>G117</t>
        </is>
      </c>
      <c r="B118" s="8" t="inlineStr">
        <is>
          <t>US5696189A</t>
        </is>
      </c>
      <c r="C118" s="8" t="inlineStr">
        <is>
          <t>EI Du Pont de Nemours and Co</t>
        </is>
      </c>
      <c r="D118" s="8" t="inlineStr">
        <is>
          <t>Comparative Example B</t>
        </is>
      </c>
      <c r="E118" s="8" t="inlineStr">
        <is>
          <t>FFKM</t>
        </is>
      </c>
      <c r="F118" s="8" t="inlineStr">
        <is>
          <t>TFE/PMVE/8-CNVE approx. 56/42/2 wt (per US4281092)</t>
        </is>
      </c>
      <c r="G118" s="8" t="inlineStr">
        <is>
          <t>nitrile_organotin</t>
        </is>
      </c>
      <c r="H118" s="8" t="n">
        <v>100</v>
      </c>
      <c r="I118" s="8" t="n">
        <v>0</v>
      </c>
      <c r="J118" s="8" t="n">
        <v>0</v>
      </c>
      <c r="K118" s="8" t="n">
        <v>0</v>
      </c>
      <c r="L118" s="8" t="n">
        <v>0</v>
      </c>
      <c r="M118" s="8" t="n">
        <v>3</v>
      </c>
      <c r="N118" s="8" t="n">
        <v>10</v>
      </c>
      <c r="O118" s="8" t="n">
        <v>0</v>
      </c>
      <c r="P118" s="8" t="n">
        <v>0</v>
      </c>
      <c r="Q118" s="8" t="n">
        <v>0</v>
      </c>
      <c r="R118" s="8" t="n">
        <v>0</v>
      </c>
      <c r="S118" s="8" t="n">
        <v>2</v>
      </c>
      <c r="T118" s="8" t="n">
        <v>0.2</v>
      </c>
      <c r="U118" s="8" t="n">
        <v>0</v>
      </c>
      <c r="V118" s="8" t="n">
        <v>0</v>
      </c>
      <c r="W118" s="8" t="n">
        <v>65</v>
      </c>
      <c r="X118" s="8" t="n">
        <v>10.34</v>
      </c>
      <c r="Y118" s="8" t="n">
        <v>245</v>
      </c>
      <c r="Z118" s="8" t="n">
        <v>2.28</v>
      </c>
      <c r="AA118" s="8" t="n">
        <v>17.5</v>
      </c>
      <c r="AB118" s="8" t="inlineStr">
        <is>
          <t>200C x 70h, pellets, ASTM D395</t>
        </is>
      </c>
      <c r="AC118" s="4" t="n">
        <v>200</v>
      </c>
      <c r="AD118" s="4">
        <f>I118+J118+K118+L118+M118+N118+O118+P118</f>
        <v/>
      </c>
      <c r="AE118" s="4" t="n">
        <v>1</v>
      </c>
      <c r="AF118" s="4" t="n">
        <v>1</v>
      </c>
      <c r="AG118" s="4" t="n">
        <v>1</v>
      </c>
      <c r="AH118" s="4" t="n">
        <v>1</v>
      </c>
      <c r="AI118" s="4" t="n">
        <v>1</v>
      </c>
    </row>
    <row r="119">
      <c r="A119" s="4" t="inlineStr">
        <is>
          <t>G118</t>
        </is>
      </c>
      <c r="B119" s="8" t="inlineStr">
        <is>
          <t>US5696189A</t>
        </is>
      </c>
      <c r="C119" s="8" t="inlineStr">
        <is>
          <t>EI Du Pont de Nemours and Co</t>
        </is>
      </c>
      <c r="D119" s="8" t="inlineStr">
        <is>
          <t>Example 1</t>
        </is>
      </c>
      <c r="E119" s="8" t="inlineStr">
        <is>
          <t>FFKM</t>
        </is>
      </c>
      <c r="F119" s="8" t="inlineStr">
        <is>
          <t>TFE/PMVE/8-CNVE (42.5 wt% PMVE, 3.3 wt% 8-CNVE), ML-10(150C)=30</t>
        </is>
      </c>
      <c r="G119" s="8" t="inlineStr">
        <is>
          <t>nitrile_organotin</t>
        </is>
      </c>
      <c r="H119" s="8" t="n">
        <v>100</v>
      </c>
      <c r="I119" s="8" t="n">
        <v>0</v>
      </c>
      <c r="J119" s="8" t="n">
        <v>10</v>
      </c>
      <c r="K119" s="8" t="n">
        <v>0</v>
      </c>
      <c r="L119" s="8" t="n">
        <v>0</v>
      </c>
      <c r="M119" s="8" t="n">
        <v>10</v>
      </c>
      <c r="N119" s="8" t="n">
        <v>10</v>
      </c>
      <c r="O119" s="8" t="n">
        <v>0</v>
      </c>
      <c r="P119" s="8" t="n">
        <v>0</v>
      </c>
      <c r="Q119" s="8" t="n">
        <v>0</v>
      </c>
      <c r="R119" s="8" t="n">
        <v>0</v>
      </c>
      <c r="S119" s="8" t="n">
        <v>1</v>
      </c>
      <c r="T119" s="8" t="n">
        <v>0</v>
      </c>
      <c r="U119" s="8" t="n">
        <v>1</v>
      </c>
      <c r="V119" s="8" t="n">
        <v>0</v>
      </c>
      <c r="W119" s="8" t="n">
        <v>76</v>
      </c>
      <c r="X119" s="8" t="n">
        <v>10.2</v>
      </c>
      <c r="Y119" s="8" t="n">
        <v>212</v>
      </c>
      <c r="Z119" s="8" t="n">
        <v>3.57</v>
      </c>
      <c r="AA119" s="8" t="n">
        <v>26</v>
      </c>
      <c r="AB119" s="8" t="inlineStr">
        <is>
          <t>200C x 70h, pellets, ASTM D395</t>
        </is>
      </c>
      <c r="AC119" s="4" t="n">
        <v>200</v>
      </c>
      <c r="AD119" s="4">
        <f>I119+J119+K119+L119+M119+N119+O119+P119</f>
        <v/>
      </c>
      <c r="AE119" s="4" t="n">
        <v>1</v>
      </c>
      <c r="AF119" s="4" t="n">
        <v>1</v>
      </c>
      <c r="AG119" s="4" t="n">
        <v>1</v>
      </c>
      <c r="AH119" s="4" t="n">
        <v>1</v>
      </c>
      <c r="AI119" s="4" t="n">
        <v>1</v>
      </c>
    </row>
    <row r="120">
      <c r="A120" s="4" t="inlineStr">
        <is>
          <t>G119</t>
        </is>
      </c>
      <c r="B120" s="8" t="inlineStr">
        <is>
          <t>US5696189A</t>
        </is>
      </c>
      <c r="C120" s="8" t="inlineStr">
        <is>
          <t>EI Du Pont de Nemours and Co</t>
        </is>
      </c>
      <c r="D120" s="8" t="inlineStr">
        <is>
          <t>Example 2</t>
        </is>
      </c>
      <c r="E120" s="8" t="inlineStr">
        <is>
          <t>FFKM</t>
        </is>
      </c>
      <c r="F120" s="8" t="inlineStr">
        <is>
          <t>TFE/PMVE/8-CNVE (42.5 wt% PMVE, 3.3 wt% 8-CNVE), ML-10(150C)=30</t>
        </is>
      </c>
      <c r="G120" s="8" t="inlineStr">
        <is>
          <t>nitrile_organotin</t>
        </is>
      </c>
      <c r="H120" s="8" t="n">
        <v>100</v>
      </c>
      <c r="I120" s="8" t="n">
        <v>0</v>
      </c>
      <c r="J120" s="8" t="n">
        <v>0</v>
      </c>
      <c r="K120" s="8" t="n">
        <v>0</v>
      </c>
      <c r="L120" s="8" t="n">
        <v>12.5</v>
      </c>
      <c r="M120" s="8" t="n">
        <v>12.5</v>
      </c>
      <c r="N120" s="8" t="n">
        <v>12.5</v>
      </c>
      <c r="O120" s="8" t="n">
        <v>0</v>
      </c>
      <c r="P120" s="8" t="n">
        <v>0</v>
      </c>
      <c r="Q120" s="8" t="n">
        <v>0</v>
      </c>
      <c r="R120" s="8" t="n">
        <v>0</v>
      </c>
      <c r="S120" s="8" t="n">
        <v>1</v>
      </c>
      <c r="T120" s="8" t="n">
        <v>0</v>
      </c>
      <c r="U120" s="8" t="n">
        <v>1</v>
      </c>
      <c r="V120" s="8" t="n">
        <v>0</v>
      </c>
      <c r="W120" s="8" t="n">
        <v>76</v>
      </c>
      <c r="X120" s="8" t="n">
        <v>9.51</v>
      </c>
      <c r="Y120" s="8" t="n">
        <v>211</v>
      </c>
      <c r="Z120" s="8" t="n">
        <v>3.76</v>
      </c>
      <c r="AA120" s="8" t="n">
        <v>20</v>
      </c>
      <c r="AB120" s="8" t="inlineStr">
        <is>
          <t>200C x 70h, pellets, ASTM D395</t>
        </is>
      </c>
      <c r="AC120" s="4" t="n">
        <v>200</v>
      </c>
      <c r="AD120" s="4">
        <f>I120+J120+K120+L120+M120+N120+O120+P120</f>
        <v/>
      </c>
      <c r="AE120" s="4" t="n">
        <v>1</v>
      </c>
      <c r="AF120" s="4" t="n">
        <v>1</v>
      </c>
      <c r="AG120" s="4" t="n">
        <v>1</v>
      </c>
      <c r="AH120" s="4" t="n">
        <v>1</v>
      </c>
      <c r="AI120" s="4" t="n">
        <v>1</v>
      </c>
    </row>
    <row r="121">
      <c r="A121" s="4" t="inlineStr">
        <is>
          <t>G120</t>
        </is>
      </c>
      <c r="B121" s="8" t="inlineStr">
        <is>
          <t>US5696189A</t>
        </is>
      </c>
      <c r="C121" s="8" t="inlineStr">
        <is>
          <t>EI Du Pont de Nemours and Co</t>
        </is>
      </c>
      <c r="D121" s="8" t="inlineStr">
        <is>
          <t>Example 3</t>
        </is>
      </c>
      <c r="E121" s="8" t="inlineStr">
        <is>
          <t>FFKM</t>
        </is>
      </c>
      <c r="F121" s="8" t="inlineStr">
        <is>
          <t>TFE/PMVE/8-CNVE (42.5 wt% PMVE, 3.3 wt% 8-CNVE), ML-10(150C)=30</t>
        </is>
      </c>
      <c r="G121" s="8" t="inlineStr">
        <is>
          <t>nitrile_organotin</t>
        </is>
      </c>
      <c r="H121" s="8" t="n">
        <v>100</v>
      </c>
      <c r="I121" s="8" t="n">
        <v>0</v>
      </c>
      <c r="J121" s="8" t="n">
        <v>0</v>
      </c>
      <c r="K121" s="8" t="n">
        <v>0</v>
      </c>
      <c r="L121" s="8" t="n">
        <v>17.5</v>
      </c>
      <c r="M121" s="8" t="n">
        <v>17.5</v>
      </c>
      <c r="N121" s="8" t="n">
        <v>5</v>
      </c>
      <c r="O121" s="8" t="n">
        <v>0</v>
      </c>
      <c r="P121" s="8" t="n">
        <v>0</v>
      </c>
      <c r="Q121" s="8" t="n">
        <v>0</v>
      </c>
      <c r="R121" s="8" t="n">
        <v>0</v>
      </c>
      <c r="S121" s="8" t="n">
        <v>1</v>
      </c>
      <c r="T121" s="8" t="n">
        <v>0</v>
      </c>
      <c r="U121" s="8" t="n">
        <v>1</v>
      </c>
      <c r="V121" s="8" t="n">
        <v>0</v>
      </c>
      <c r="W121" s="8" t="n">
        <v>75</v>
      </c>
      <c r="X121" s="8" t="n">
        <v>11.72</v>
      </c>
      <c r="Y121" s="8" t="n">
        <v>215</v>
      </c>
      <c r="Z121" s="8" t="n">
        <v>4.69</v>
      </c>
      <c r="AA121" s="8" t="n">
        <v>31.9</v>
      </c>
      <c r="AB121" s="8" t="inlineStr">
        <is>
          <t>200C x 70h, pellets, ASTM D395</t>
        </is>
      </c>
      <c r="AC121" s="4" t="n">
        <v>200</v>
      </c>
      <c r="AD121" s="4">
        <f>I121+J121+K121+L121+M121+N121+O121+P121</f>
        <v/>
      </c>
      <c r="AE121" s="4" t="n">
        <v>1</v>
      </c>
      <c r="AF121" s="4" t="n">
        <v>1</v>
      </c>
      <c r="AG121" s="4" t="n">
        <v>1</v>
      </c>
      <c r="AH121" s="4" t="n">
        <v>1</v>
      </c>
      <c r="AI121" s="4" t="n">
        <v>1</v>
      </c>
    </row>
    <row r="122">
      <c r="A122" s="4" t="inlineStr">
        <is>
          <t>G121</t>
        </is>
      </c>
      <c r="B122" s="8" t="inlineStr">
        <is>
          <t>US5696189A</t>
        </is>
      </c>
      <c r="C122" s="8" t="inlineStr">
        <is>
          <t>EI Du Pont de Nemours and Co</t>
        </is>
      </c>
      <c r="D122" s="8" t="inlineStr">
        <is>
          <t>Example 4</t>
        </is>
      </c>
      <c r="E122" s="8" t="inlineStr">
        <is>
          <t>FFKM</t>
        </is>
      </c>
      <c r="F122" s="8" t="inlineStr">
        <is>
          <t>TFE/PMVE/8-CNVE (42.5 wt% PMVE, 3.3 wt% 8-CNVE), ML-10(150C)=30</t>
        </is>
      </c>
      <c r="G122" s="8" t="inlineStr">
        <is>
          <t>nitrile_organotin</t>
        </is>
      </c>
      <c r="H122" s="8" t="n">
        <v>100</v>
      </c>
      <c r="I122" s="8" t="n">
        <v>0</v>
      </c>
      <c r="J122" s="8" t="n">
        <v>0</v>
      </c>
      <c r="K122" s="8" t="n">
        <v>0</v>
      </c>
      <c r="L122" s="8" t="n">
        <v>12.5</v>
      </c>
      <c r="M122" s="8" t="n">
        <v>12.5</v>
      </c>
      <c r="N122" s="8" t="n">
        <v>12.5</v>
      </c>
      <c r="O122" s="8" t="n">
        <v>0</v>
      </c>
      <c r="P122" s="8" t="n">
        <v>0</v>
      </c>
      <c r="Q122" s="8" t="n">
        <v>1</v>
      </c>
      <c r="R122" s="8" t="n">
        <v>1</v>
      </c>
      <c r="S122" s="8" t="n">
        <v>2</v>
      </c>
      <c r="T122" s="8" t="n">
        <v>0</v>
      </c>
      <c r="U122" s="8" t="n">
        <v>1</v>
      </c>
      <c r="V122" s="8" t="n">
        <v>0</v>
      </c>
      <c r="W122" s="8" t="n">
        <v>79</v>
      </c>
      <c r="X122" s="8" t="n">
        <v>15.07</v>
      </c>
      <c r="Y122" s="8" t="n">
        <v>205</v>
      </c>
      <c r="Z122" s="8" t="n">
        <v>5.41</v>
      </c>
      <c r="AA122" s="8" t="n">
        <v>34</v>
      </c>
      <c r="AB122" s="8" t="inlineStr">
        <is>
          <t>200C x 70h, pellets, ASTM D395</t>
        </is>
      </c>
      <c r="AC122" s="4" t="n">
        <v>200</v>
      </c>
      <c r="AD122" s="4">
        <f>I122+J122+K122+L122+M122+N122+O122+P122</f>
        <v/>
      </c>
      <c r="AE122" s="4" t="n">
        <v>1</v>
      </c>
      <c r="AF122" s="4" t="n">
        <v>1</v>
      </c>
      <c r="AG122" s="4" t="n">
        <v>1</v>
      </c>
      <c r="AH122" s="4" t="n">
        <v>1</v>
      </c>
      <c r="AI122" s="4" t="n">
        <v>1</v>
      </c>
    </row>
    <row r="123">
      <c r="A123" s="4" t="inlineStr">
        <is>
          <t>G122</t>
        </is>
      </c>
      <c r="B123" s="8" t="inlineStr">
        <is>
          <t>US5696189A</t>
        </is>
      </c>
      <c r="C123" s="8" t="inlineStr">
        <is>
          <t>EI Du Pont de Nemours and Co</t>
        </is>
      </c>
      <c r="D123" s="8" t="inlineStr">
        <is>
          <t>Example 5</t>
        </is>
      </c>
      <c r="E123" s="8" t="inlineStr">
        <is>
          <t>FFKM</t>
        </is>
      </c>
      <c r="F123" s="8" t="inlineStr">
        <is>
          <t>TFE/PMVE/8-CNVE (42.5 wt% PMVE, 3.3 wt% 8-CNVE), ML-10(150C)=30</t>
        </is>
      </c>
      <c r="G123" s="8" t="inlineStr">
        <is>
          <t>nitrile_organotin</t>
        </is>
      </c>
      <c r="H123" s="8" t="n">
        <v>100</v>
      </c>
      <c r="I123" s="8" t="n">
        <v>0</v>
      </c>
      <c r="J123" s="8" t="n">
        <v>17.5</v>
      </c>
      <c r="K123" s="8" t="n">
        <v>0</v>
      </c>
      <c r="L123" s="8" t="n">
        <v>0</v>
      </c>
      <c r="M123" s="8" t="n">
        <v>17.5</v>
      </c>
      <c r="N123" s="8" t="n">
        <v>5</v>
      </c>
      <c r="O123" s="8" t="n">
        <v>0</v>
      </c>
      <c r="P123" s="8" t="n">
        <v>0</v>
      </c>
      <c r="Q123" s="8" t="n">
        <v>1</v>
      </c>
      <c r="R123" s="8" t="n">
        <v>1</v>
      </c>
      <c r="S123" s="8" t="n">
        <v>2</v>
      </c>
      <c r="T123" s="8" t="n">
        <v>0</v>
      </c>
      <c r="U123" s="8" t="n">
        <v>1</v>
      </c>
      <c r="V123" s="8" t="n">
        <v>0</v>
      </c>
      <c r="W123" s="8" t="n">
        <v>82</v>
      </c>
      <c r="X123" s="8" t="n">
        <v>15.35</v>
      </c>
      <c r="Y123" s="8" t="n">
        <v>186</v>
      </c>
      <c r="Z123" s="8" t="n">
        <v>7.89</v>
      </c>
      <c r="AA123" s="8" t="n">
        <v>30.5</v>
      </c>
      <c r="AB123" s="8" t="inlineStr">
        <is>
          <t>200C x 70h, pellets, ASTM D395</t>
        </is>
      </c>
      <c r="AC123" s="4" t="n">
        <v>200</v>
      </c>
      <c r="AD123" s="4">
        <f>I123+J123+K123+L123+M123+N123+O123+P123</f>
        <v/>
      </c>
      <c r="AE123" s="4" t="n">
        <v>1</v>
      </c>
      <c r="AF123" s="4" t="n">
        <v>1</v>
      </c>
      <c r="AG123" s="4" t="n">
        <v>1</v>
      </c>
      <c r="AH123" s="4" t="n">
        <v>1</v>
      </c>
      <c r="AI123" s="4" t="n">
        <v>1</v>
      </c>
    </row>
    <row r="124">
      <c r="A124" s="4" t="inlineStr">
        <is>
          <t>G123</t>
        </is>
      </c>
      <c r="B124" s="8" t="inlineStr">
        <is>
          <t>US5696189A</t>
        </is>
      </c>
      <c r="C124" s="8" t="inlineStr">
        <is>
          <t>EI Du Pont de Nemours and Co</t>
        </is>
      </c>
      <c r="D124" s="8" t="inlineStr">
        <is>
          <t>Example 6</t>
        </is>
      </c>
      <c r="E124" s="8" t="inlineStr">
        <is>
          <t>FFKM</t>
        </is>
      </c>
      <c r="F124" s="8" t="inlineStr">
        <is>
          <t>TFE/PMVE/8-CNVE (42.5 wt% PMVE, 3.3 wt% 8-CNVE), ML-10(150C)=30</t>
        </is>
      </c>
      <c r="G124" s="8" t="inlineStr">
        <is>
          <t>nitrile_organotin</t>
        </is>
      </c>
      <c r="H124" s="8" t="n">
        <v>100</v>
      </c>
      <c r="I124" s="8" t="n">
        <v>0</v>
      </c>
      <c r="J124" s="8" t="n">
        <v>17.5</v>
      </c>
      <c r="K124" s="8" t="n">
        <v>0</v>
      </c>
      <c r="L124" s="8" t="n">
        <v>0</v>
      </c>
      <c r="M124" s="8" t="n">
        <v>17.5</v>
      </c>
      <c r="N124" s="8" t="n">
        <v>5</v>
      </c>
      <c r="O124" s="8" t="n">
        <v>0</v>
      </c>
      <c r="P124" s="8" t="n">
        <v>0</v>
      </c>
      <c r="Q124" s="8" t="n">
        <v>1</v>
      </c>
      <c r="R124" s="8" t="n">
        <v>1</v>
      </c>
      <c r="S124" s="8" t="n">
        <v>2</v>
      </c>
      <c r="T124" s="8" t="n">
        <v>0</v>
      </c>
      <c r="U124" s="8" t="n">
        <v>0</v>
      </c>
      <c r="V124" s="8" t="n">
        <v>0</v>
      </c>
      <c r="W124" s="8" t="n">
        <v>80</v>
      </c>
      <c r="X124" s="8" t="n">
        <v>14.3</v>
      </c>
      <c r="Y124" s="8" t="n">
        <v>227</v>
      </c>
      <c r="Z124" s="8" t="n">
        <v>6.42</v>
      </c>
      <c r="AA124" s="8" t="n">
        <v>31.8</v>
      </c>
      <c r="AB124" s="8" t="inlineStr">
        <is>
          <t>200C x 70h, pellets, ASTM D395</t>
        </is>
      </c>
      <c r="AC124" s="4" t="n">
        <v>200</v>
      </c>
      <c r="AD124" s="4">
        <f>I124+J124+K124+L124+M124+N124+O124+P124</f>
        <v/>
      </c>
      <c r="AE124" s="4" t="n">
        <v>1</v>
      </c>
      <c r="AF124" s="4" t="n">
        <v>1</v>
      </c>
      <c r="AG124" s="4" t="n">
        <v>1</v>
      </c>
      <c r="AH124" s="4" t="n">
        <v>1</v>
      </c>
      <c r="AI124" s="4" t="n">
        <v>1</v>
      </c>
    </row>
    <row r="125">
      <c r="A125" s="4" t="inlineStr">
        <is>
          <t>G124</t>
        </is>
      </c>
      <c r="B125" s="8" t="inlineStr">
        <is>
          <t>US5696189A</t>
        </is>
      </c>
      <c r="C125" s="8" t="inlineStr">
        <is>
          <t>EI Du Pont de Nemours and Co</t>
        </is>
      </c>
      <c r="D125" s="8" t="inlineStr">
        <is>
          <t>Example 7</t>
        </is>
      </c>
      <c r="E125" s="8" t="inlineStr">
        <is>
          <t>FFKM</t>
        </is>
      </c>
      <c r="F125" s="8" t="inlineStr">
        <is>
          <t>TFE/PMVE/8-CNVE (42.5 wt% PMVE, 3.3 wt% 8-CNVE), ML-10(150C)=30</t>
        </is>
      </c>
      <c r="G125" s="8" t="inlineStr">
        <is>
          <t>nitrile_organotin</t>
        </is>
      </c>
      <c r="H125" s="8" t="n">
        <v>100</v>
      </c>
      <c r="I125" s="8" t="n">
        <v>0</v>
      </c>
      <c r="J125" s="8" t="n">
        <v>0</v>
      </c>
      <c r="K125" s="8" t="n">
        <v>0</v>
      </c>
      <c r="L125" s="8" t="n">
        <v>0</v>
      </c>
      <c r="M125" s="8" t="n">
        <v>12.5</v>
      </c>
      <c r="N125" s="8" t="n">
        <v>12.5</v>
      </c>
      <c r="O125" s="8" t="n">
        <v>12.5</v>
      </c>
      <c r="P125" s="8" t="n">
        <v>0</v>
      </c>
      <c r="Q125" s="8" t="n">
        <v>1</v>
      </c>
      <c r="R125" s="8" t="n">
        <v>1</v>
      </c>
      <c r="S125" s="8" t="n">
        <v>2</v>
      </c>
      <c r="T125" s="8" t="n">
        <v>0</v>
      </c>
      <c r="U125" s="8" t="n">
        <v>1</v>
      </c>
      <c r="V125" s="8" t="n">
        <v>0</v>
      </c>
      <c r="W125" s="8" t="n">
        <v>78</v>
      </c>
      <c r="X125" s="8" t="n">
        <v>12.34</v>
      </c>
      <c r="Y125" s="8" t="n">
        <v>201</v>
      </c>
      <c r="Z125" s="8" t="n">
        <v>7.03</v>
      </c>
      <c r="AA125" s="8" t="n">
        <v>41.4</v>
      </c>
      <c r="AB125" s="8" t="inlineStr">
        <is>
          <t>200C x 70h, pellets, ASTM D395</t>
        </is>
      </c>
      <c r="AC125" s="4" t="n">
        <v>200</v>
      </c>
      <c r="AD125" s="4">
        <f>I125+J125+K125+L125+M125+N125+O125+P125</f>
        <v/>
      </c>
      <c r="AE125" s="4" t="n">
        <v>1</v>
      </c>
      <c r="AF125" s="4" t="n">
        <v>1</v>
      </c>
      <c r="AG125" s="4" t="n">
        <v>1</v>
      </c>
      <c r="AH125" s="4" t="n">
        <v>1</v>
      </c>
      <c r="AI125" s="4" t="n">
        <v>1</v>
      </c>
    </row>
    <row r="126">
      <c r="A126" s="4" t="inlineStr">
        <is>
          <t>G125</t>
        </is>
      </c>
      <c r="B126" s="8" t="inlineStr">
        <is>
          <t>US7247749B2</t>
        </is>
      </c>
      <c r="C126" s="8" t="inlineStr">
        <is>
          <t>Federal State Unitary Enterprise S V Lebedev Institute of Synthetic Rubber; Greene Tweed of Delaware Inc</t>
        </is>
      </c>
      <c r="D126" s="8" t="inlineStr">
        <is>
          <t>Sample 1</t>
        </is>
      </c>
      <c r="E126" s="8" t="inlineStr">
        <is>
          <t>FFKM</t>
        </is>
      </c>
      <c r="F126" s="8" t="inlineStr">
        <is>
          <t>TFE/PMVE/2 cyano CSM tetrapolymer, Polymer A (redox, ML 45)</t>
        </is>
      </c>
      <c r="G126" s="8" t="inlineStr">
        <is>
          <t>nitrile_bisaminophenol</t>
        </is>
      </c>
      <c r="H126" s="8" t="n">
        <v>100</v>
      </c>
      <c r="I126" s="8" t="n">
        <v>25</v>
      </c>
      <c r="J126" s="8" t="n">
        <v>0</v>
      </c>
      <c r="K126" s="8" t="n">
        <v>0</v>
      </c>
      <c r="L126" s="8" t="n">
        <v>0</v>
      </c>
      <c r="M126" s="8" t="n">
        <v>0</v>
      </c>
      <c r="N126" s="8" t="n">
        <v>0</v>
      </c>
      <c r="O126" s="8" t="n">
        <v>0</v>
      </c>
      <c r="P126" s="8" t="n">
        <v>0</v>
      </c>
      <c r="Q126" s="8" t="n">
        <v>0</v>
      </c>
      <c r="R126" s="8" t="n">
        <v>0</v>
      </c>
      <c r="S126" s="8" t="n">
        <v>1.8</v>
      </c>
      <c r="T126" s="8" t="n">
        <v>0</v>
      </c>
      <c r="U126" s="8" t="n">
        <v>0</v>
      </c>
      <c r="V126" s="8" t="n">
        <v>1.5</v>
      </c>
      <c r="W126" s="8" t="n"/>
      <c r="X126" s="8" t="n">
        <v>13</v>
      </c>
      <c r="Y126" s="8" t="n">
        <v>197</v>
      </c>
      <c r="Z126" s="8" t="n">
        <v>4.28</v>
      </c>
      <c r="AA126" s="8" t="n">
        <v>29</v>
      </c>
      <c r="AB126" s="8" t="inlineStr">
        <is>
          <t>204C x 70h, 25% deflection</t>
        </is>
      </c>
      <c r="AC126" s="4" t="n">
        <v>204</v>
      </c>
      <c r="AD126" s="4">
        <f>I126+J126+K126+L126+M126+N126+O126+P126</f>
        <v/>
      </c>
      <c r="AE126" s="4" t="n">
        <v>0</v>
      </c>
      <c r="AF126" s="4" t="n">
        <v>1</v>
      </c>
      <c r="AG126" s="4" t="n">
        <v>1</v>
      </c>
      <c r="AH126" s="4" t="n">
        <v>1</v>
      </c>
      <c r="AI126" s="4" t="n">
        <v>1</v>
      </c>
    </row>
    <row r="127">
      <c r="A127" s="4" t="inlineStr">
        <is>
          <t>G126</t>
        </is>
      </c>
      <c r="B127" s="8" t="inlineStr">
        <is>
          <t>US7247749B2</t>
        </is>
      </c>
      <c r="C127" s="8" t="inlineStr">
        <is>
          <t>Federal State Unitary Enterprise S V Lebedev Institute of Synthetic Rubber; Greene Tweed of Delaware Inc</t>
        </is>
      </c>
      <c r="D127" s="8" t="inlineStr">
        <is>
          <t>Sample 2</t>
        </is>
      </c>
      <c r="E127" s="8" t="inlineStr">
        <is>
          <t>FFKM</t>
        </is>
      </c>
      <c r="F127" s="8" t="inlineStr">
        <is>
          <t>TFE/PMVE/2 cyano CSM tetrapolymer, Polymer B (non-redox, ML 65)</t>
        </is>
      </c>
      <c r="G127" s="8" t="inlineStr">
        <is>
          <t>nitrile_bisaminophenol</t>
        </is>
      </c>
      <c r="H127" s="8" t="n">
        <v>100</v>
      </c>
      <c r="I127" s="8" t="n">
        <v>25</v>
      </c>
      <c r="J127" s="8" t="n">
        <v>0</v>
      </c>
      <c r="K127" s="8" t="n">
        <v>0</v>
      </c>
      <c r="L127" s="8" t="n">
        <v>0</v>
      </c>
      <c r="M127" s="8" t="n">
        <v>0</v>
      </c>
      <c r="N127" s="8" t="n">
        <v>0</v>
      </c>
      <c r="O127" s="8" t="n">
        <v>0</v>
      </c>
      <c r="P127" s="8" t="n">
        <v>0</v>
      </c>
      <c r="Q127" s="8" t="n">
        <v>0</v>
      </c>
      <c r="R127" s="8" t="n">
        <v>0</v>
      </c>
      <c r="S127" s="8" t="n">
        <v>1.8</v>
      </c>
      <c r="T127" s="8" t="n">
        <v>0</v>
      </c>
      <c r="U127" s="8" t="n">
        <v>0</v>
      </c>
      <c r="V127" s="8" t="n">
        <v>1.5</v>
      </c>
      <c r="W127" s="8" t="n"/>
      <c r="X127" s="8" t="n">
        <v>14.95</v>
      </c>
      <c r="Y127" s="8" t="n">
        <v>171</v>
      </c>
      <c r="Z127" s="8" t="n">
        <v>5.7</v>
      </c>
      <c r="AA127" s="8" t="n">
        <v>20</v>
      </c>
      <c r="AB127" s="8" t="inlineStr">
        <is>
          <t>204C x 70h, 25% deflection</t>
        </is>
      </c>
      <c r="AC127" s="4" t="n">
        <v>204</v>
      </c>
      <c r="AD127" s="4">
        <f>I127+J127+K127+L127+M127+N127+O127+P127</f>
        <v/>
      </c>
      <c r="AE127" s="4" t="n">
        <v>0</v>
      </c>
      <c r="AF127" s="4" t="n">
        <v>1</v>
      </c>
      <c r="AG127" s="4" t="n">
        <v>1</v>
      </c>
      <c r="AH127" s="4" t="n">
        <v>1</v>
      </c>
      <c r="AI127" s="4" t="n">
        <v>1</v>
      </c>
    </row>
    <row r="128">
      <c r="A128" s="4" t="inlineStr">
        <is>
          <t>G127</t>
        </is>
      </c>
      <c r="B128" s="8" t="inlineStr">
        <is>
          <t>US7247749B2</t>
        </is>
      </c>
      <c r="C128" s="8" t="inlineStr">
        <is>
          <t>Federal State Unitary Enterprise S V Lebedev Institute of Synthetic Rubber; Greene Tweed of Delaware Inc</t>
        </is>
      </c>
      <c r="D128" s="8" t="inlineStr">
        <is>
          <t>Sample 3</t>
        </is>
      </c>
      <c r="E128" s="8" t="inlineStr">
        <is>
          <t>FFKM</t>
        </is>
      </c>
      <c r="F128" s="8" t="inlineStr">
        <is>
          <t>TFE/PMVE/2 cyano CSM tetrapolymer, Polymer B (non-redox, ML 65)</t>
        </is>
      </c>
      <c r="G128" s="8" t="inlineStr">
        <is>
          <t>nitrile_bisaminophenol</t>
        </is>
      </c>
      <c r="H128" s="8" t="n">
        <v>100</v>
      </c>
      <c r="I128" s="8" t="n">
        <v>25</v>
      </c>
      <c r="J128" s="8" t="n">
        <v>0</v>
      </c>
      <c r="K128" s="8" t="n">
        <v>0</v>
      </c>
      <c r="L128" s="8" t="n">
        <v>0</v>
      </c>
      <c r="M128" s="8" t="n">
        <v>0</v>
      </c>
      <c r="N128" s="8" t="n">
        <v>0</v>
      </c>
      <c r="O128" s="8" t="n">
        <v>0</v>
      </c>
      <c r="P128" s="8" t="n">
        <v>0</v>
      </c>
      <c r="Q128" s="8" t="n">
        <v>0</v>
      </c>
      <c r="R128" s="8" t="n">
        <v>0</v>
      </c>
      <c r="S128" s="8" t="n">
        <v>1</v>
      </c>
      <c r="T128" s="8" t="n">
        <v>1</v>
      </c>
      <c r="U128" s="8" t="n">
        <v>0</v>
      </c>
      <c r="V128" s="8" t="n">
        <v>1.5</v>
      </c>
      <c r="W128" s="8" t="n"/>
      <c r="X128" s="8" t="n">
        <v>13.42</v>
      </c>
      <c r="Y128" s="8" t="n">
        <v>179</v>
      </c>
      <c r="Z128" s="8" t="n">
        <v>4.27</v>
      </c>
      <c r="AA128" s="8" t="n">
        <v>23</v>
      </c>
      <c r="AB128" s="8" t="inlineStr">
        <is>
          <t>204C x 70h, 25% deflection</t>
        </is>
      </c>
      <c r="AC128" s="4" t="n">
        <v>204</v>
      </c>
      <c r="AD128" s="4">
        <f>I128+J128+K128+L128+M128+N128+O128+P128</f>
        <v/>
      </c>
      <c r="AE128" s="4" t="n">
        <v>0</v>
      </c>
      <c r="AF128" s="4" t="n">
        <v>1</v>
      </c>
      <c r="AG128" s="4" t="n">
        <v>1</v>
      </c>
      <c r="AH128" s="4" t="n">
        <v>1</v>
      </c>
      <c r="AI128" s="4" t="n">
        <v>1</v>
      </c>
    </row>
    <row r="129">
      <c r="A129" s="4" t="inlineStr">
        <is>
          <t>G128</t>
        </is>
      </c>
      <c r="B129" s="8" t="inlineStr">
        <is>
          <t>US7247749B2</t>
        </is>
      </c>
      <c r="C129" s="8" t="inlineStr">
        <is>
          <t>Federal State Unitary Enterprise S V Lebedev Institute of Synthetic Rubber; Greene Tweed of Delaware Inc</t>
        </is>
      </c>
      <c r="D129" s="8" t="inlineStr">
        <is>
          <t>Sample 4</t>
        </is>
      </c>
      <c r="E129" s="8" t="inlineStr">
        <is>
          <t>FFKM</t>
        </is>
      </c>
      <c r="F129" s="8" t="inlineStr">
        <is>
          <t>TFE/PMVE/2 cyano CSM tetrapolymer, Polymer B (non-redox, ML 65)</t>
        </is>
      </c>
      <c r="G129" s="8" t="inlineStr">
        <is>
          <t>nitrile_bisaminophenol</t>
        </is>
      </c>
      <c r="H129" s="8" t="n">
        <v>100</v>
      </c>
      <c r="I129" s="8" t="n">
        <v>25</v>
      </c>
      <c r="J129" s="8" t="n">
        <v>0</v>
      </c>
      <c r="K129" s="8" t="n">
        <v>0</v>
      </c>
      <c r="L129" s="8" t="n">
        <v>0</v>
      </c>
      <c r="M129" s="8" t="n">
        <v>0</v>
      </c>
      <c r="N129" s="8" t="n">
        <v>0</v>
      </c>
      <c r="O129" s="8" t="n">
        <v>0</v>
      </c>
      <c r="P129" s="8" t="n">
        <v>0</v>
      </c>
      <c r="Q129" s="8" t="n">
        <v>0</v>
      </c>
      <c r="R129" s="8" t="n">
        <v>0</v>
      </c>
      <c r="S129" s="8" t="n">
        <v>1.5</v>
      </c>
      <c r="T129" s="8" t="n">
        <v>1.5</v>
      </c>
      <c r="U129" s="8" t="n">
        <v>0</v>
      </c>
      <c r="V129" s="8" t="n">
        <v>1.5</v>
      </c>
      <c r="W129" s="8" t="n"/>
      <c r="X129" s="8" t="n">
        <v>8.4</v>
      </c>
      <c r="Y129" s="8" t="n">
        <v>105</v>
      </c>
      <c r="Z129" s="8" t="n">
        <v>7.28</v>
      </c>
      <c r="AA129" s="8" t="n"/>
      <c r="AB129" s="8" t="n"/>
      <c r="AC129" s="4" t="n"/>
      <c r="AD129" s="4">
        <f>I129+J129+K129+L129+M129+N129+O129+P129</f>
        <v/>
      </c>
      <c r="AE129" s="4" t="n">
        <v>0</v>
      </c>
      <c r="AF129" s="4" t="n">
        <v>1</v>
      </c>
      <c r="AG129" s="4" t="n">
        <v>1</v>
      </c>
      <c r="AH129" s="4" t="n">
        <v>1</v>
      </c>
      <c r="AI129" s="4" t="n">
        <v>0</v>
      </c>
    </row>
    <row r="130">
      <c r="A130" s="4" t="inlineStr">
        <is>
          <t>G129</t>
        </is>
      </c>
      <c r="B130" s="8" t="inlineStr">
        <is>
          <t>US7247749B2</t>
        </is>
      </c>
      <c r="C130" s="8" t="inlineStr">
        <is>
          <t>Federal State Unitary Enterprise S V Lebedev Institute of Synthetic Rubber; Greene Tweed of Delaware Inc</t>
        </is>
      </c>
      <c r="D130" s="8" t="inlineStr">
        <is>
          <t>Sample 5</t>
        </is>
      </c>
      <c r="E130" s="8" t="inlineStr">
        <is>
          <t>FFKM</t>
        </is>
      </c>
      <c r="F130" s="8" t="inlineStr">
        <is>
          <t>TFE/PMVE/2 cyano CSM tetrapolymer, Polymer B (non-redox, ML 65)</t>
        </is>
      </c>
      <c r="G130" s="8" t="inlineStr">
        <is>
          <t>nitrile_bisaminophenol</t>
        </is>
      </c>
      <c r="H130" s="8" t="n">
        <v>100</v>
      </c>
      <c r="I130" s="8" t="n">
        <v>25</v>
      </c>
      <c r="J130" s="8" t="n">
        <v>0</v>
      </c>
      <c r="K130" s="8" t="n">
        <v>0</v>
      </c>
      <c r="L130" s="8" t="n">
        <v>0</v>
      </c>
      <c r="M130" s="8" t="n">
        <v>0</v>
      </c>
      <c r="N130" s="8" t="n">
        <v>0</v>
      </c>
      <c r="O130" s="8" t="n">
        <v>0</v>
      </c>
      <c r="P130" s="8" t="n">
        <v>0</v>
      </c>
      <c r="Q130" s="8" t="n">
        <v>0</v>
      </c>
      <c r="R130" s="8" t="n">
        <v>0</v>
      </c>
      <c r="S130" s="8" t="n">
        <v>2.5</v>
      </c>
      <c r="T130" s="8" t="n">
        <v>1.5</v>
      </c>
      <c r="U130" s="8" t="n">
        <v>0</v>
      </c>
      <c r="V130" s="8" t="n">
        <v>1.5</v>
      </c>
      <c r="W130" s="8" t="n"/>
      <c r="X130" s="8" t="n">
        <v>13.58</v>
      </c>
      <c r="Y130" s="8" t="n">
        <v>162</v>
      </c>
      <c r="Z130" s="8" t="n">
        <v>6.09</v>
      </c>
      <c r="AA130" s="8" t="n">
        <v>13</v>
      </c>
      <c r="AB130" s="8" t="inlineStr">
        <is>
          <t>204C x 70h, 25% deflection</t>
        </is>
      </c>
      <c r="AC130" s="4" t="n">
        <v>204</v>
      </c>
      <c r="AD130" s="4">
        <f>I130+J130+K130+L130+M130+N130+O130+P130</f>
        <v/>
      </c>
      <c r="AE130" s="4" t="n">
        <v>0</v>
      </c>
      <c r="AF130" s="4" t="n">
        <v>1</v>
      </c>
      <c r="AG130" s="4" t="n">
        <v>1</v>
      </c>
      <c r="AH130" s="4" t="n">
        <v>1</v>
      </c>
      <c r="AI130" s="4" t="n">
        <v>1</v>
      </c>
    </row>
    <row r="131">
      <c r="A131" s="4" t="inlineStr">
        <is>
          <t>G130</t>
        </is>
      </c>
      <c r="B131" s="8" t="inlineStr">
        <is>
          <t>US7247749B2</t>
        </is>
      </c>
      <c r="C131" s="8" t="inlineStr">
        <is>
          <t>Federal State Unitary Enterprise S V Lebedev Institute of Synthetic Rubber; Greene Tweed of Delaware Inc</t>
        </is>
      </c>
      <c r="D131" s="8" t="inlineStr">
        <is>
          <t>Sample 6</t>
        </is>
      </c>
      <c r="E131" s="8" t="inlineStr">
        <is>
          <t>FFKM</t>
        </is>
      </c>
      <c r="F131" s="8" t="inlineStr">
        <is>
          <t>TFE/PMVE/2 cyano CSM tetrapolymer, Polymer B (non-redox, ML 65)</t>
        </is>
      </c>
      <c r="G131" s="8" t="inlineStr">
        <is>
          <t>nitrile_bisaminophenol</t>
        </is>
      </c>
      <c r="H131" s="8" t="n">
        <v>100</v>
      </c>
      <c r="I131" s="8" t="n">
        <v>25</v>
      </c>
      <c r="J131" s="8" t="n">
        <v>0</v>
      </c>
      <c r="K131" s="8" t="n">
        <v>0</v>
      </c>
      <c r="L131" s="8" t="n">
        <v>0</v>
      </c>
      <c r="M131" s="8" t="n">
        <v>0</v>
      </c>
      <c r="N131" s="8" t="n">
        <v>0</v>
      </c>
      <c r="O131" s="8" t="n">
        <v>0</v>
      </c>
      <c r="P131" s="8" t="n">
        <v>0</v>
      </c>
      <c r="Q131" s="8" t="n">
        <v>0</v>
      </c>
      <c r="R131" s="8" t="n">
        <v>0</v>
      </c>
      <c r="S131" s="8" t="n">
        <v>3</v>
      </c>
      <c r="T131" s="8" t="n">
        <v>1</v>
      </c>
      <c r="U131" s="8" t="n">
        <v>0</v>
      </c>
      <c r="V131" s="8" t="n">
        <v>1.5</v>
      </c>
      <c r="W131" s="8" t="n"/>
      <c r="X131" s="8" t="n">
        <v>13.72</v>
      </c>
      <c r="Y131" s="8" t="n">
        <v>145</v>
      </c>
      <c r="Z131" s="8" t="n">
        <v>6.93</v>
      </c>
      <c r="AA131" s="8" t="n">
        <v>9.199999999999999</v>
      </c>
      <c r="AB131" s="8" t="inlineStr">
        <is>
          <t>204C x 70h, 25% deflection</t>
        </is>
      </c>
      <c r="AC131" s="4" t="n">
        <v>204</v>
      </c>
      <c r="AD131" s="4">
        <f>I131+J131+K131+L131+M131+N131+O131+P131</f>
        <v/>
      </c>
      <c r="AE131" s="4" t="n">
        <v>0</v>
      </c>
      <c r="AF131" s="4" t="n">
        <v>1</v>
      </c>
      <c r="AG131" s="4" t="n">
        <v>1</v>
      </c>
      <c r="AH131" s="4" t="n">
        <v>1</v>
      </c>
      <c r="AI131" s="4" t="n">
        <v>1</v>
      </c>
    </row>
    <row r="132">
      <c r="A132" s="4" t="inlineStr">
        <is>
          <t>G131</t>
        </is>
      </c>
      <c r="B132" s="8" t="inlineStr">
        <is>
          <t>US7247749B2</t>
        </is>
      </c>
      <c r="C132" s="8" t="inlineStr">
        <is>
          <t>Federal State Unitary Enterprise S V Lebedev Institute of Synthetic Rubber; Greene Tweed of Delaware Inc</t>
        </is>
      </c>
      <c r="D132" s="8" t="inlineStr">
        <is>
          <t>Sample 7</t>
        </is>
      </c>
      <c r="E132" s="8" t="inlineStr">
        <is>
          <t>FFKM</t>
        </is>
      </c>
      <c r="F132" s="8" t="inlineStr">
        <is>
          <t>TFE/PMVE/2 cyano CSM tetrapolymer, Polymer B (non-redox, ML 65)</t>
        </is>
      </c>
      <c r="G132" s="8" t="inlineStr">
        <is>
          <t>nitrile_bisaminophenol</t>
        </is>
      </c>
      <c r="H132" s="8" t="n">
        <v>100</v>
      </c>
      <c r="I132" s="8" t="n">
        <v>25</v>
      </c>
      <c r="J132" s="8" t="n">
        <v>0</v>
      </c>
      <c r="K132" s="8" t="n">
        <v>0</v>
      </c>
      <c r="L132" s="8" t="n">
        <v>0</v>
      </c>
      <c r="M132" s="8" t="n">
        <v>0</v>
      </c>
      <c r="N132" s="8" t="n">
        <v>0</v>
      </c>
      <c r="O132" s="8" t="n">
        <v>0</v>
      </c>
      <c r="P132" s="8" t="n">
        <v>0</v>
      </c>
      <c r="Q132" s="8" t="n">
        <v>0</v>
      </c>
      <c r="R132" s="8" t="n">
        <v>0</v>
      </c>
      <c r="S132" s="8" t="n">
        <v>3</v>
      </c>
      <c r="T132" s="8" t="n">
        <v>1.5</v>
      </c>
      <c r="U132" s="8" t="n">
        <v>0</v>
      </c>
      <c r="V132" s="8" t="n">
        <v>1.5</v>
      </c>
      <c r="W132" s="8" t="n"/>
      <c r="X132" s="8" t="n">
        <v>12.87</v>
      </c>
      <c r="Y132" s="8" t="n">
        <v>148</v>
      </c>
      <c r="Z132" s="8" t="n">
        <v>6.34</v>
      </c>
      <c r="AA132" s="8" t="n">
        <v>10</v>
      </c>
      <c r="AB132" s="8" t="inlineStr">
        <is>
          <t>204C x 70h, 25% deflection</t>
        </is>
      </c>
      <c r="AC132" s="4" t="n">
        <v>204</v>
      </c>
      <c r="AD132" s="4">
        <f>I132+J132+K132+L132+M132+N132+O132+P132</f>
        <v/>
      </c>
      <c r="AE132" s="4" t="n">
        <v>0</v>
      </c>
      <c r="AF132" s="4" t="n">
        <v>1</v>
      </c>
      <c r="AG132" s="4" t="n">
        <v>1</v>
      </c>
      <c r="AH132" s="4" t="n">
        <v>1</v>
      </c>
      <c r="AI132" s="4" t="n">
        <v>1</v>
      </c>
    </row>
    <row r="133">
      <c r="A133" s="4" t="inlineStr">
        <is>
          <t>G132</t>
        </is>
      </c>
      <c r="B133" s="8" t="inlineStr">
        <is>
          <t>US7247749B2</t>
        </is>
      </c>
      <c r="C133" s="8" t="inlineStr">
        <is>
          <t>Federal State Unitary Enterprise S V Lebedev Institute of Synthetic Rubber; Greene Tweed of Delaware Inc</t>
        </is>
      </c>
      <c r="D133" s="8" t="inlineStr">
        <is>
          <t>Sample 8</t>
        </is>
      </c>
      <c r="E133" s="8" t="inlineStr">
        <is>
          <t>FFKM</t>
        </is>
      </c>
      <c r="F133" s="8" t="inlineStr">
        <is>
          <t>TFE/PMVE/2 cyano CSM tetrapolymer, Polymer B (non-redox, ML 65)</t>
        </is>
      </c>
      <c r="G133" s="8" t="inlineStr">
        <is>
          <t>nitrile_bisaminophenol</t>
        </is>
      </c>
      <c r="H133" s="8" t="n">
        <v>100</v>
      </c>
      <c r="I133" s="8" t="n">
        <v>25</v>
      </c>
      <c r="J133" s="8" t="n">
        <v>0</v>
      </c>
      <c r="K133" s="8" t="n">
        <v>0</v>
      </c>
      <c r="L133" s="8" t="n">
        <v>0</v>
      </c>
      <c r="M133" s="8" t="n">
        <v>0</v>
      </c>
      <c r="N133" s="8" t="n">
        <v>0</v>
      </c>
      <c r="O133" s="8" t="n">
        <v>0</v>
      </c>
      <c r="P133" s="8" t="n">
        <v>0</v>
      </c>
      <c r="Q133" s="8" t="n">
        <v>0</v>
      </c>
      <c r="R133" s="8" t="n">
        <v>0</v>
      </c>
      <c r="S133" s="8" t="n">
        <v>4</v>
      </c>
      <c r="T133" s="8" t="n">
        <v>2</v>
      </c>
      <c r="U133" s="8" t="n">
        <v>0</v>
      </c>
      <c r="V133" s="8" t="n">
        <v>1.5</v>
      </c>
      <c r="W133" s="8" t="n"/>
      <c r="X133" s="8" t="n">
        <v>12.94</v>
      </c>
      <c r="Y133" s="8" t="n">
        <v>149</v>
      </c>
      <c r="Z133" s="8" t="n">
        <v>6.77</v>
      </c>
      <c r="AA133" s="8" t="n">
        <v>11</v>
      </c>
      <c r="AB133" s="8" t="inlineStr">
        <is>
          <t>204C x 70h, 25% deflection</t>
        </is>
      </c>
      <c r="AC133" s="4" t="n">
        <v>204</v>
      </c>
      <c r="AD133" s="4">
        <f>I133+J133+K133+L133+M133+N133+O133+P133</f>
        <v/>
      </c>
      <c r="AE133" s="4" t="n">
        <v>0</v>
      </c>
      <c r="AF133" s="4" t="n">
        <v>1</v>
      </c>
      <c r="AG133" s="4" t="n">
        <v>1</v>
      </c>
      <c r="AH133" s="4" t="n">
        <v>1</v>
      </c>
      <c r="AI133" s="4" t="n">
        <v>1</v>
      </c>
    </row>
    <row r="134">
      <c r="A134" s="4" t="inlineStr">
        <is>
          <t>G133</t>
        </is>
      </c>
      <c r="B134" s="8" t="inlineStr">
        <is>
          <t>US7247749B2</t>
        </is>
      </c>
      <c r="C134" s="8" t="inlineStr">
        <is>
          <t>Federal State Unitary Enterprise S V Lebedev Institute of Synthetic Rubber; Greene Tweed of Delaware Inc</t>
        </is>
      </c>
      <c r="D134" s="8" t="inlineStr">
        <is>
          <t>Sample 9</t>
        </is>
      </c>
      <c r="E134" s="8" t="inlineStr">
        <is>
          <t>FFKM</t>
        </is>
      </c>
      <c r="F134" s="8" t="inlineStr">
        <is>
          <t>TFE/PMVE/2 cyano CSM tetrapolymer, Polymer D (non-redox, ML 93)</t>
        </is>
      </c>
      <c r="G134" s="8" t="inlineStr">
        <is>
          <t>nitrile_bisaminophenol</t>
        </is>
      </c>
      <c r="H134" s="8" t="n">
        <v>100</v>
      </c>
      <c r="I134" s="8" t="n">
        <v>25</v>
      </c>
      <c r="J134" s="8" t="n">
        <v>0</v>
      </c>
      <c r="K134" s="8" t="n">
        <v>0</v>
      </c>
      <c r="L134" s="8" t="n">
        <v>0</v>
      </c>
      <c r="M134" s="8" t="n">
        <v>0</v>
      </c>
      <c r="N134" s="8" t="n">
        <v>0</v>
      </c>
      <c r="O134" s="8" t="n">
        <v>0</v>
      </c>
      <c r="P134" s="8" t="n">
        <v>0</v>
      </c>
      <c r="Q134" s="8" t="n">
        <v>0</v>
      </c>
      <c r="R134" s="8" t="n">
        <v>0</v>
      </c>
      <c r="S134" s="8" t="n">
        <v>1</v>
      </c>
      <c r="T134" s="8" t="n">
        <v>1.25</v>
      </c>
      <c r="U134" s="8" t="n">
        <v>0</v>
      </c>
      <c r="V134" s="8" t="n">
        <v>1.5</v>
      </c>
      <c r="W134" s="8" t="n"/>
      <c r="X134" s="8" t="n">
        <v>13.28</v>
      </c>
      <c r="Y134" s="8" t="n">
        <v>151</v>
      </c>
      <c r="Z134" s="8" t="n">
        <v>6.64</v>
      </c>
      <c r="AA134" s="8" t="n">
        <v>16</v>
      </c>
      <c r="AB134" s="8" t="inlineStr">
        <is>
          <t>204C x 70h, 25% deflection</t>
        </is>
      </c>
      <c r="AC134" s="4" t="n">
        <v>204</v>
      </c>
      <c r="AD134" s="4">
        <f>I134+J134+K134+L134+M134+N134+O134+P134</f>
        <v/>
      </c>
      <c r="AE134" s="4" t="n">
        <v>0</v>
      </c>
      <c r="AF134" s="4" t="n">
        <v>1</v>
      </c>
      <c r="AG134" s="4" t="n">
        <v>1</v>
      </c>
      <c r="AH134" s="4" t="n">
        <v>1</v>
      </c>
      <c r="AI134" s="4" t="n">
        <v>1</v>
      </c>
    </row>
    <row r="135">
      <c r="A135" s="4" t="inlineStr">
        <is>
          <t>G134</t>
        </is>
      </c>
      <c r="B135" s="8" t="inlineStr">
        <is>
          <t>US7247749B2</t>
        </is>
      </c>
      <c r="C135" s="8" t="inlineStr">
        <is>
          <t>Federal State Unitary Enterprise S V Lebedev Institute of Synthetic Rubber; Greene Tweed of Delaware Inc</t>
        </is>
      </c>
      <c r="D135" s="8" t="inlineStr">
        <is>
          <t>Sample 10</t>
        </is>
      </c>
      <c r="E135" s="8" t="inlineStr">
        <is>
          <t>FFKM</t>
        </is>
      </c>
      <c r="F135" s="8" t="inlineStr">
        <is>
          <t>TFE/PMVE/2 cyano CSM tetrapolymer, Polymer D (non-redox, ML 93)</t>
        </is>
      </c>
      <c r="G135" s="8" t="inlineStr">
        <is>
          <t>nitrile_bisaminophenol</t>
        </is>
      </c>
      <c r="H135" s="8" t="n">
        <v>100</v>
      </c>
      <c r="I135" s="8" t="n">
        <v>25</v>
      </c>
      <c r="J135" s="8" t="n">
        <v>0</v>
      </c>
      <c r="K135" s="8" t="n">
        <v>0</v>
      </c>
      <c r="L135" s="8" t="n">
        <v>0</v>
      </c>
      <c r="M135" s="8" t="n">
        <v>0</v>
      </c>
      <c r="N135" s="8" t="n">
        <v>0</v>
      </c>
      <c r="O135" s="8" t="n">
        <v>0</v>
      </c>
      <c r="P135" s="8" t="n">
        <v>0</v>
      </c>
      <c r="Q135" s="8" t="n">
        <v>0</v>
      </c>
      <c r="R135" s="8" t="n">
        <v>0</v>
      </c>
      <c r="S135" s="8" t="n">
        <v>2</v>
      </c>
      <c r="T135" s="8" t="n">
        <v>1.25</v>
      </c>
      <c r="U135" s="8" t="n">
        <v>0</v>
      </c>
      <c r="V135" s="8" t="n">
        <v>1.5</v>
      </c>
      <c r="W135" s="8" t="n"/>
      <c r="X135" s="8" t="n">
        <v>11.73</v>
      </c>
      <c r="Y135" s="8" t="n">
        <v>144</v>
      </c>
      <c r="Z135" s="8" t="n">
        <v>6.17</v>
      </c>
      <c r="AA135" s="8" t="n"/>
      <c r="AB135" s="8" t="n"/>
      <c r="AC135" s="4" t="n"/>
      <c r="AD135" s="4">
        <f>I135+J135+K135+L135+M135+N135+O135+P135</f>
        <v/>
      </c>
      <c r="AE135" s="4" t="n">
        <v>0</v>
      </c>
      <c r="AF135" s="4" t="n">
        <v>1</v>
      </c>
      <c r="AG135" s="4" t="n">
        <v>1</v>
      </c>
      <c r="AH135" s="4" t="n">
        <v>1</v>
      </c>
      <c r="AI135" s="4" t="n">
        <v>0</v>
      </c>
    </row>
    <row r="136">
      <c r="A136" s="4" t="inlineStr">
        <is>
          <t>G135</t>
        </is>
      </c>
      <c r="B136" s="8" t="inlineStr">
        <is>
          <t>US7247749B2</t>
        </is>
      </c>
      <c r="C136" s="8" t="inlineStr">
        <is>
          <t>Federal State Unitary Enterprise S V Lebedev Institute of Synthetic Rubber; Greene Tweed of Delaware Inc</t>
        </is>
      </c>
      <c r="D136" s="8" t="inlineStr">
        <is>
          <t>Comparative Sample 11</t>
        </is>
      </c>
      <c r="E136" s="8" t="inlineStr">
        <is>
          <t>FFKM</t>
        </is>
      </c>
      <c r="F136" s="8" t="inlineStr">
        <is>
          <t>TFE/PMVE/2 cyano CSM tetrapolymer, Polymer C (non-redox, ML 64)</t>
        </is>
      </c>
      <c r="G136" s="8" t="inlineStr">
        <is>
          <t>nitrile_bisaminophenol</t>
        </is>
      </c>
      <c r="H136" s="8" t="n">
        <v>100</v>
      </c>
      <c r="I136" s="8" t="n">
        <v>25</v>
      </c>
      <c r="J136" s="8" t="n">
        <v>0</v>
      </c>
      <c r="K136" s="8" t="n">
        <v>0</v>
      </c>
      <c r="L136" s="8" t="n">
        <v>0</v>
      </c>
      <c r="M136" s="8" t="n">
        <v>0</v>
      </c>
      <c r="N136" s="8" t="n">
        <v>0</v>
      </c>
      <c r="O136" s="8" t="n">
        <v>0</v>
      </c>
      <c r="P136" s="8" t="n">
        <v>0</v>
      </c>
      <c r="Q136" s="8" t="n">
        <v>0</v>
      </c>
      <c r="R136" s="8" t="n">
        <v>0</v>
      </c>
      <c r="S136" s="8" t="n">
        <v>1</v>
      </c>
      <c r="T136" s="8" t="n">
        <v>0</v>
      </c>
      <c r="U136" s="8" t="n">
        <v>0</v>
      </c>
      <c r="V136" s="8" t="n">
        <v>1.5</v>
      </c>
      <c r="W136" s="8" t="n"/>
      <c r="X136" s="8" t="n">
        <v>13.4</v>
      </c>
      <c r="Y136" s="8" t="n">
        <v>165</v>
      </c>
      <c r="Z136" s="8" t="n">
        <v>7.4</v>
      </c>
      <c r="AA136" s="8" t="n">
        <v>16</v>
      </c>
      <c r="AB136" s="8" t="inlineStr">
        <is>
          <t>230C x 70h</t>
        </is>
      </c>
      <c r="AC136" s="4" t="n">
        <v>230</v>
      </c>
      <c r="AD136" s="4">
        <f>I136+J136+K136+L136+M136+N136+O136+P136</f>
        <v/>
      </c>
      <c r="AE136" s="4" t="n">
        <v>0</v>
      </c>
      <c r="AF136" s="4" t="n">
        <v>1</v>
      </c>
      <c r="AG136" s="4" t="n">
        <v>1</v>
      </c>
      <c r="AH136" s="4" t="n">
        <v>1</v>
      </c>
      <c r="AI136" s="4" t="n">
        <v>1</v>
      </c>
    </row>
    <row r="137">
      <c r="A137" s="4" t="inlineStr">
        <is>
          <t>G136</t>
        </is>
      </c>
      <c r="B137" s="8" t="inlineStr">
        <is>
          <t>US7247749B2</t>
        </is>
      </c>
      <c r="C137" s="8" t="inlineStr">
        <is>
          <t>Federal State Unitary Enterprise S V Lebedev Institute of Synthetic Rubber; Greene Tweed of Delaware Inc</t>
        </is>
      </c>
      <c r="D137" s="8" t="inlineStr">
        <is>
          <t>Sample 12</t>
        </is>
      </c>
      <c r="E137" s="8" t="inlineStr">
        <is>
          <t>FFKM</t>
        </is>
      </c>
      <c r="F137" s="8" t="inlineStr">
        <is>
          <t>TFE/PMVE/2 cyano CSM tetrapolymer, Polymer C (non-redox, ML 64)</t>
        </is>
      </c>
      <c r="G137" s="8" t="inlineStr">
        <is>
          <t>nitrile_bisaminophenol</t>
        </is>
      </c>
      <c r="H137" s="8" t="n">
        <v>100</v>
      </c>
      <c r="I137" s="8" t="n">
        <v>25</v>
      </c>
      <c r="J137" s="8" t="n">
        <v>0</v>
      </c>
      <c r="K137" s="8" t="n">
        <v>0</v>
      </c>
      <c r="L137" s="8" t="n">
        <v>0</v>
      </c>
      <c r="M137" s="8" t="n">
        <v>0</v>
      </c>
      <c r="N137" s="8" t="n">
        <v>0</v>
      </c>
      <c r="O137" s="8" t="n">
        <v>0</v>
      </c>
      <c r="P137" s="8" t="n">
        <v>0</v>
      </c>
      <c r="Q137" s="8" t="n">
        <v>0</v>
      </c>
      <c r="R137" s="8" t="n">
        <v>0</v>
      </c>
      <c r="S137" s="8" t="n">
        <v>1.9</v>
      </c>
      <c r="T137" s="8" t="n">
        <v>0</v>
      </c>
      <c r="U137" s="8" t="n">
        <v>0</v>
      </c>
      <c r="V137" s="8" t="n">
        <v>1.5</v>
      </c>
      <c r="W137" s="8" t="n"/>
      <c r="X137" s="8" t="n">
        <v>14.2</v>
      </c>
      <c r="Y137" s="8" t="n">
        <v>145</v>
      </c>
      <c r="Z137" s="8" t="n">
        <v>9.1</v>
      </c>
      <c r="AA137" s="8" t="n">
        <v>14</v>
      </c>
      <c r="AB137" s="8" t="inlineStr">
        <is>
          <t>230C x 70h</t>
        </is>
      </c>
      <c r="AC137" s="4" t="n">
        <v>230</v>
      </c>
      <c r="AD137" s="4">
        <f>I137+J137+K137+L137+M137+N137+O137+P137</f>
        <v/>
      </c>
      <c r="AE137" s="4" t="n">
        <v>0</v>
      </c>
      <c r="AF137" s="4" t="n">
        <v>1</v>
      </c>
      <c r="AG137" s="4" t="n">
        <v>1</v>
      </c>
      <c r="AH137" s="4" t="n">
        <v>1</v>
      </c>
      <c r="AI137" s="4" t="n">
        <v>1</v>
      </c>
    </row>
    <row r="138">
      <c r="A138" s="4" t="inlineStr">
        <is>
          <t>G137</t>
        </is>
      </c>
      <c r="B138" s="8" t="inlineStr">
        <is>
          <t>US7247749B2</t>
        </is>
      </c>
      <c r="C138" s="8" t="inlineStr">
        <is>
          <t>Federal State Unitary Enterprise S V Lebedev Institute of Synthetic Rubber; Greene Tweed of Delaware Inc</t>
        </is>
      </c>
      <c r="D138" s="8" t="inlineStr">
        <is>
          <t>Sample 13</t>
        </is>
      </c>
      <c r="E138" s="8" t="inlineStr">
        <is>
          <t>FFKM</t>
        </is>
      </c>
      <c r="F138" s="8" t="inlineStr">
        <is>
          <t>TFE/PMVE/2 cyano CSM tetrapolymer, Polymer A (redox, ML 45)</t>
        </is>
      </c>
      <c r="G138" s="8" t="inlineStr">
        <is>
          <t>nitrile_other</t>
        </is>
      </c>
      <c r="H138" s="8" t="n">
        <v>100</v>
      </c>
      <c r="I138" s="8" t="n">
        <v>25</v>
      </c>
      <c r="J138" s="8" t="n">
        <v>0</v>
      </c>
      <c r="K138" s="8" t="n">
        <v>0</v>
      </c>
      <c r="L138" s="8" t="n">
        <v>0</v>
      </c>
      <c r="M138" s="8" t="n">
        <v>0</v>
      </c>
      <c r="N138" s="8" t="n">
        <v>0</v>
      </c>
      <c r="O138" s="8" t="n">
        <v>0</v>
      </c>
      <c r="P138" s="8" t="n">
        <v>0</v>
      </c>
      <c r="Q138" s="8" t="n">
        <v>0</v>
      </c>
      <c r="R138" s="8" t="n">
        <v>0</v>
      </c>
      <c r="S138" s="8" t="n">
        <v>0.7</v>
      </c>
      <c r="T138" s="8" t="n">
        <v>0</v>
      </c>
      <c r="U138" s="8" t="n">
        <v>0</v>
      </c>
      <c r="V138" s="8" t="n">
        <v>1.5</v>
      </c>
      <c r="W138" s="8" t="n"/>
      <c r="X138" s="8" t="n">
        <v>8.56</v>
      </c>
      <c r="Y138" s="8" t="n">
        <v>247</v>
      </c>
      <c r="Z138" s="8" t="n">
        <v>2.46</v>
      </c>
      <c r="AA138" s="8" t="n">
        <v>11</v>
      </c>
      <c r="AB138" s="8" t="inlineStr">
        <is>
          <t>204C x 70h (deflection not stated)</t>
        </is>
      </c>
      <c r="AC138" s="4" t="n">
        <v>204</v>
      </c>
      <c r="AD138" s="4">
        <f>I138+J138+K138+L138+M138+N138+O138+P138</f>
        <v/>
      </c>
      <c r="AE138" s="4" t="n">
        <v>0</v>
      </c>
      <c r="AF138" s="4" t="n">
        <v>1</v>
      </c>
      <c r="AG138" s="4" t="n">
        <v>1</v>
      </c>
      <c r="AH138" s="4" t="n">
        <v>1</v>
      </c>
      <c r="AI138" s="4" t="n">
        <v>1</v>
      </c>
    </row>
    <row r="139">
      <c r="A139" s="4" t="inlineStr">
        <is>
          <t>G138</t>
        </is>
      </c>
      <c r="B139" s="8" t="inlineStr">
        <is>
          <t>US7247749B2</t>
        </is>
      </c>
      <c r="C139" s="8" t="inlineStr">
        <is>
          <t>Federal State Unitary Enterprise S V Lebedev Institute of Synthetic Rubber; Greene Tweed of Delaware Inc</t>
        </is>
      </c>
      <c r="D139" s="8" t="inlineStr">
        <is>
          <t>Sample 14</t>
        </is>
      </c>
      <c r="E139" s="8" t="inlineStr">
        <is>
          <t>FFKM</t>
        </is>
      </c>
      <c r="F139" s="8" t="inlineStr">
        <is>
          <t>TFE/PMVE/2 cyano CSM tetrapolymer, Polymer A (redox, ML 45)</t>
        </is>
      </c>
      <c r="G139" s="8" t="inlineStr">
        <is>
          <t>nitrile_other</t>
        </is>
      </c>
      <c r="H139" s="8" t="n">
        <v>100</v>
      </c>
      <c r="I139" s="8" t="n">
        <v>25</v>
      </c>
      <c r="J139" s="8" t="n">
        <v>0</v>
      </c>
      <c r="K139" s="8" t="n">
        <v>0</v>
      </c>
      <c r="L139" s="8" t="n">
        <v>0</v>
      </c>
      <c r="M139" s="8" t="n">
        <v>0</v>
      </c>
      <c r="N139" s="8" t="n">
        <v>0</v>
      </c>
      <c r="O139" s="8" t="n">
        <v>0</v>
      </c>
      <c r="P139" s="8" t="n">
        <v>0</v>
      </c>
      <c r="Q139" s="8" t="n">
        <v>0</v>
      </c>
      <c r="R139" s="8" t="n">
        <v>0</v>
      </c>
      <c r="S139" s="8" t="n">
        <v>1</v>
      </c>
      <c r="T139" s="8" t="n">
        <v>0</v>
      </c>
      <c r="U139" s="8" t="n">
        <v>0</v>
      </c>
      <c r="V139" s="8" t="n">
        <v>1.5</v>
      </c>
      <c r="W139" s="8" t="n"/>
      <c r="X139" s="8" t="n">
        <v>9</v>
      </c>
      <c r="Y139" s="8" t="n">
        <v>191</v>
      </c>
      <c r="Z139" s="8" t="n">
        <v>2.8</v>
      </c>
      <c r="AA139" s="8" t="n">
        <v>17</v>
      </c>
      <c r="AB139" s="8" t="inlineStr">
        <is>
          <t>204C x 70h (deflection not stated)</t>
        </is>
      </c>
      <c r="AC139" s="4" t="n">
        <v>204</v>
      </c>
      <c r="AD139" s="4">
        <f>I139+J139+K139+L139+M139+N139+O139+P139</f>
        <v/>
      </c>
      <c r="AE139" s="4" t="n">
        <v>0</v>
      </c>
      <c r="AF139" s="4" t="n">
        <v>1</v>
      </c>
      <c r="AG139" s="4" t="n">
        <v>1</v>
      </c>
      <c r="AH139" s="4" t="n">
        <v>1</v>
      </c>
      <c r="AI139" s="4" t="n">
        <v>1</v>
      </c>
    </row>
    <row r="140">
      <c r="A140" s="4" t="inlineStr">
        <is>
          <t>G139</t>
        </is>
      </c>
      <c r="B140" s="8" t="inlineStr">
        <is>
          <t>US7247749B2</t>
        </is>
      </c>
      <c r="C140" s="8" t="inlineStr">
        <is>
          <t>Federal State Unitary Enterprise S V Lebedev Institute of Synthetic Rubber; Greene Tweed of Delaware Inc</t>
        </is>
      </c>
      <c r="D140" s="8" t="inlineStr">
        <is>
          <t>Sample 15</t>
        </is>
      </c>
      <c r="E140" s="8" t="inlineStr">
        <is>
          <t>FFKM</t>
        </is>
      </c>
      <c r="F140" s="8" t="inlineStr">
        <is>
          <t>TFE/PMVE/2 cyano CSM tetrapolymer, Polymer A (redox, ML 45)</t>
        </is>
      </c>
      <c r="G140" s="8" t="inlineStr">
        <is>
          <t>nitrile_other</t>
        </is>
      </c>
      <c r="H140" s="8" t="n">
        <v>100</v>
      </c>
      <c r="I140" s="8" t="n">
        <v>25</v>
      </c>
      <c r="J140" s="8" t="n">
        <v>0</v>
      </c>
      <c r="K140" s="8" t="n">
        <v>0</v>
      </c>
      <c r="L140" s="8" t="n">
        <v>0</v>
      </c>
      <c r="M140" s="8" t="n">
        <v>0</v>
      </c>
      <c r="N140" s="8" t="n">
        <v>0</v>
      </c>
      <c r="O140" s="8" t="n">
        <v>0</v>
      </c>
      <c r="P140" s="8" t="n">
        <v>0</v>
      </c>
      <c r="Q140" s="8" t="n">
        <v>0</v>
      </c>
      <c r="R140" s="8" t="n">
        <v>0</v>
      </c>
      <c r="S140" s="8" t="n">
        <v>1.25</v>
      </c>
      <c r="T140" s="8" t="n">
        <v>0</v>
      </c>
      <c r="U140" s="8" t="n">
        <v>0</v>
      </c>
      <c r="V140" s="8" t="n">
        <v>1.5</v>
      </c>
      <c r="W140" s="8" t="n"/>
      <c r="X140" s="8" t="n">
        <v>9.720000000000001</v>
      </c>
      <c r="Y140" s="8" t="n">
        <v>168</v>
      </c>
      <c r="Z140" s="8" t="n">
        <v>3.43</v>
      </c>
      <c r="AA140" s="8" t="n">
        <v>19</v>
      </c>
      <c r="AB140" s="8" t="inlineStr">
        <is>
          <t>204C x 70h (deflection not stated)</t>
        </is>
      </c>
      <c r="AC140" s="4" t="n">
        <v>204</v>
      </c>
      <c r="AD140" s="4">
        <f>I140+J140+K140+L140+M140+N140+O140+P140</f>
        <v/>
      </c>
      <c r="AE140" s="4" t="n">
        <v>0</v>
      </c>
      <c r="AF140" s="4" t="n">
        <v>1</v>
      </c>
      <c r="AG140" s="4" t="n">
        <v>1</v>
      </c>
      <c r="AH140" s="4" t="n">
        <v>1</v>
      </c>
      <c r="AI140" s="4" t="n">
        <v>1</v>
      </c>
    </row>
    <row r="141">
      <c r="A141" s="4" t="inlineStr">
        <is>
          <t>G140</t>
        </is>
      </c>
      <c r="B141" s="8" t="inlineStr">
        <is>
          <t>US7247749B2</t>
        </is>
      </c>
      <c r="C141" s="8" t="inlineStr">
        <is>
          <t>Federal State Unitary Enterprise S V Lebedev Institute of Synthetic Rubber; Greene Tweed of Delaware Inc</t>
        </is>
      </c>
      <c r="D141" s="8" t="inlineStr">
        <is>
          <t>Sample 16</t>
        </is>
      </c>
      <c r="E141" s="8" t="inlineStr">
        <is>
          <t>FFKM</t>
        </is>
      </c>
      <c r="F141" s="8" t="inlineStr">
        <is>
          <t>TFE/PMVE/2 cyano CSM tetrapolymer, Polymer A (redox, ML 45)</t>
        </is>
      </c>
      <c r="G141" s="8" t="inlineStr">
        <is>
          <t>nitrile_other</t>
        </is>
      </c>
      <c r="H141" s="8" t="n">
        <v>100</v>
      </c>
      <c r="I141" s="8" t="n">
        <v>25</v>
      </c>
      <c r="J141" s="8" t="n">
        <v>0</v>
      </c>
      <c r="K141" s="8" t="n">
        <v>0</v>
      </c>
      <c r="L141" s="8" t="n">
        <v>0</v>
      </c>
      <c r="M141" s="8" t="n">
        <v>0</v>
      </c>
      <c r="N141" s="8" t="n">
        <v>0</v>
      </c>
      <c r="O141" s="8" t="n">
        <v>0</v>
      </c>
      <c r="P141" s="8" t="n">
        <v>0</v>
      </c>
      <c r="Q141" s="8" t="n">
        <v>0</v>
      </c>
      <c r="R141" s="8" t="n">
        <v>0</v>
      </c>
      <c r="S141" s="8" t="n">
        <v>1.5</v>
      </c>
      <c r="T141" s="8" t="n">
        <v>0</v>
      </c>
      <c r="U141" s="8" t="n">
        <v>0</v>
      </c>
      <c r="V141" s="8" t="n">
        <v>1.5</v>
      </c>
      <c r="W141" s="8" t="n"/>
      <c r="X141" s="8" t="n">
        <v>10.51</v>
      </c>
      <c r="Y141" s="8" t="n">
        <v>106</v>
      </c>
      <c r="Z141" s="8" t="n">
        <v>9.470000000000001</v>
      </c>
      <c r="AA141" s="8" t="n">
        <v>11</v>
      </c>
      <c r="AB141" s="8" t="inlineStr">
        <is>
          <t>204C x 70h (deflection not stated)</t>
        </is>
      </c>
      <c r="AC141" s="4" t="n">
        <v>204</v>
      </c>
      <c r="AD141" s="4">
        <f>I141+J141+K141+L141+M141+N141+O141+P141</f>
        <v/>
      </c>
      <c r="AE141" s="4" t="n">
        <v>0</v>
      </c>
      <c r="AF141" s="4" t="n">
        <v>1</v>
      </c>
      <c r="AG141" s="4" t="n">
        <v>1</v>
      </c>
      <c r="AH141" s="4" t="n">
        <v>1</v>
      </c>
      <c r="AI141" s="4" t="n">
        <v>1</v>
      </c>
    </row>
    <row r="142">
      <c r="A142" s="4" t="inlineStr">
        <is>
          <t>G141</t>
        </is>
      </c>
      <c r="B142" s="8" t="inlineStr">
        <is>
          <t>US7247749B2</t>
        </is>
      </c>
      <c r="C142" s="8" t="inlineStr">
        <is>
          <t>Federal State Unitary Enterprise S V Lebedev Institute of Synthetic Rubber; Greene Tweed of Delaware Inc</t>
        </is>
      </c>
      <c r="D142" s="8" t="inlineStr">
        <is>
          <t>Sample 17</t>
        </is>
      </c>
      <c r="E142" s="8" t="inlineStr">
        <is>
          <t>FFKM</t>
        </is>
      </c>
      <c r="F142" s="8" t="inlineStr">
        <is>
          <t>TFE/PMVE/2 cyano CSM tetrapolymer, Polymer A (redox, ML 45)</t>
        </is>
      </c>
      <c r="G142" s="8" t="inlineStr">
        <is>
          <t>nitrile_other</t>
        </is>
      </c>
      <c r="H142" s="8" t="n">
        <v>100</v>
      </c>
      <c r="I142" s="8" t="n">
        <v>25</v>
      </c>
      <c r="J142" s="8" t="n">
        <v>0</v>
      </c>
      <c r="K142" s="8" t="n">
        <v>0</v>
      </c>
      <c r="L142" s="8" t="n">
        <v>0</v>
      </c>
      <c r="M142" s="8" t="n">
        <v>0</v>
      </c>
      <c r="N142" s="8" t="n">
        <v>0</v>
      </c>
      <c r="O142" s="8" t="n">
        <v>0</v>
      </c>
      <c r="P142" s="8" t="n">
        <v>0</v>
      </c>
      <c r="Q142" s="8" t="n">
        <v>0</v>
      </c>
      <c r="R142" s="8" t="n">
        <v>0</v>
      </c>
      <c r="S142" s="8" t="n">
        <v>1</v>
      </c>
      <c r="T142" s="8" t="n">
        <v>0</v>
      </c>
      <c r="U142" s="8" t="n">
        <v>0</v>
      </c>
      <c r="V142" s="8" t="n">
        <v>1.5</v>
      </c>
      <c r="W142" s="8" t="n"/>
      <c r="X142" s="8" t="n">
        <v>6.63</v>
      </c>
      <c r="Y142" s="8" t="n">
        <v>328</v>
      </c>
      <c r="Z142" s="8" t="n">
        <v>1.86</v>
      </c>
      <c r="AA142" s="8" t="n">
        <v>63</v>
      </c>
      <c r="AB142" s="8" t="inlineStr">
        <is>
          <t>204C x 70h (deflection not stated)</t>
        </is>
      </c>
      <c r="AC142" s="4" t="n">
        <v>204</v>
      </c>
      <c r="AD142" s="4">
        <f>I142+J142+K142+L142+M142+N142+O142+P142</f>
        <v/>
      </c>
      <c r="AE142" s="4" t="n">
        <v>0</v>
      </c>
      <c r="AF142" s="4" t="n">
        <v>1</v>
      </c>
      <c r="AG142" s="4" t="n">
        <v>1</v>
      </c>
      <c r="AH142" s="4" t="n">
        <v>1</v>
      </c>
      <c r="AI142" s="4" t="n">
        <v>1</v>
      </c>
    </row>
    <row r="143">
      <c r="A143" s="4" t="inlineStr">
        <is>
          <t>G142</t>
        </is>
      </c>
      <c r="B143" s="8" t="inlineStr">
        <is>
          <t>US7247749B2</t>
        </is>
      </c>
      <c r="C143" s="8" t="inlineStr">
        <is>
          <t>Federal State Unitary Enterprise S V Lebedev Institute of Synthetic Rubber; Greene Tweed of Delaware Inc</t>
        </is>
      </c>
      <c r="D143" s="8" t="inlineStr">
        <is>
          <t>Sample 18</t>
        </is>
      </c>
      <c r="E143" s="8" t="inlineStr">
        <is>
          <t>FFKM</t>
        </is>
      </c>
      <c r="F143" s="8" t="inlineStr">
        <is>
          <t>TFE/PMVE/2 cyano CSM tetrapolymer, Polymer A (redox, ML 45)</t>
        </is>
      </c>
      <c r="G143" s="8" t="inlineStr">
        <is>
          <t>nitrile_other</t>
        </is>
      </c>
      <c r="H143" s="8" t="n">
        <v>100</v>
      </c>
      <c r="I143" s="8" t="n">
        <v>25</v>
      </c>
      <c r="J143" s="8" t="n">
        <v>0</v>
      </c>
      <c r="K143" s="8" t="n">
        <v>0</v>
      </c>
      <c r="L143" s="8" t="n">
        <v>0</v>
      </c>
      <c r="M143" s="8" t="n">
        <v>0</v>
      </c>
      <c r="N143" s="8" t="n">
        <v>0</v>
      </c>
      <c r="O143" s="8" t="n">
        <v>0</v>
      </c>
      <c r="P143" s="8" t="n">
        <v>0</v>
      </c>
      <c r="Q143" s="8" t="n">
        <v>0</v>
      </c>
      <c r="R143" s="8" t="n">
        <v>0</v>
      </c>
      <c r="S143" s="8" t="n">
        <v>2</v>
      </c>
      <c r="T143" s="8" t="n">
        <v>0</v>
      </c>
      <c r="U143" s="8" t="n">
        <v>0</v>
      </c>
      <c r="V143" s="8" t="n">
        <v>1.5</v>
      </c>
      <c r="W143" s="8" t="n"/>
      <c r="X143" s="8" t="n">
        <v>8.890000000000001</v>
      </c>
      <c r="Y143" s="8" t="n">
        <v>212</v>
      </c>
      <c r="Z143" s="8" t="n">
        <v>2.61</v>
      </c>
      <c r="AA143" s="8" t="n">
        <v>40</v>
      </c>
      <c r="AB143" s="8" t="inlineStr">
        <is>
          <t>204C x 70h (deflection not stated)</t>
        </is>
      </c>
      <c r="AC143" s="4" t="n">
        <v>204</v>
      </c>
      <c r="AD143" s="4">
        <f>I143+J143+K143+L143+M143+N143+O143+P143</f>
        <v/>
      </c>
      <c r="AE143" s="4" t="n">
        <v>0</v>
      </c>
      <c r="AF143" s="4" t="n">
        <v>1</v>
      </c>
      <c r="AG143" s="4" t="n">
        <v>1</v>
      </c>
      <c r="AH143" s="4" t="n">
        <v>1</v>
      </c>
      <c r="AI143" s="4" t="n">
        <v>1</v>
      </c>
    </row>
    <row r="144">
      <c r="A144" s="4" t="inlineStr">
        <is>
          <t>G143</t>
        </is>
      </c>
      <c r="B144" s="8" t="inlineStr">
        <is>
          <t>US7247749B2</t>
        </is>
      </c>
      <c r="C144" s="8" t="inlineStr">
        <is>
          <t>Federal State Unitary Enterprise S V Lebedev Institute of Synthetic Rubber; Greene Tweed of Delaware Inc</t>
        </is>
      </c>
      <c r="D144" s="8" t="inlineStr">
        <is>
          <t>Sample 19</t>
        </is>
      </c>
      <c r="E144" s="8" t="inlineStr">
        <is>
          <t>FFKM</t>
        </is>
      </c>
      <c r="F144" s="8" t="inlineStr">
        <is>
          <t>TFE/PMVE/2 cyano CSM tetrapolymer, Polymer A (redox, ML 45)</t>
        </is>
      </c>
      <c r="G144" s="8" t="inlineStr">
        <is>
          <t>nitrile_other</t>
        </is>
      </c>
      <c r="H144" s="8" t="n">
        <v>100</v>
      </c>
      <c r="I144" s="8" t="n">
        <v>25</v>
      </c>
      <c r="J144" s="8" t="n">
        <v>0</v>
      </c>
      <c r="K144" s="8" t="n">
        <v>0</v>
      </c>
      <c r="L144" s="8" t="n">
        <v>0</v>
      </c>
      <c r="M144" s="8" t="n">
        <v>0</v>
      </c>
      <c r="N144" s="8" t="n">
        <v>0</v>
      </c>
      <c r="O144" s="8" t="n">
        <v>0</v>
      </c>
      <c r="P144" s="8" t="n">
        <v>0</v>
      </c>
      <c r="Q144" s="8" t="n">
        <v>0</v>
      </c>
      <c r="R144" s="8" t="n">
        <v>0</v>
      </c>
      <c r="S144" s="8" t="n">
        <v>3</v>
      </c>
      <c r="T144" s="8" t="n">
        <v>0</v>
      </c>
      <c r="U144" s="8" t="n">
        <v>0</v>
      </c>
      <c r="V144" s="8" t="n">
        <v>1.5</v>
      </c>
      <c r="W144" s="8" t="n"/>
      <c r="X144" s="8" t="n">
        <v>10.49</v>
      </c>
      <c r="Y144" s="8" t="n">
        <v>167</v>
      </c>
      <c r="Z144" s="8" t="n">
        <v>4.12</v>
      </c>
      <c r="AA144" s="8" t="n">
        <v>24</v>
      </c>
      <c r="AB144" s="8" t="inlineStr">
        <is>
          <t>204C x 70h (deflection not stated)</t>
        </is>
      </c>
      <c r="AC144" s="4" t="n">
        <v>204</v>
      </c>
      <c r="AD144" s="4">
        <f>I144+J144+K144+L144+M144+N144+O144+P144</f>
        <v/>
      </c>
      <c r="AE144" s="4" t="n">
        <v>0</v>
      </c>
      <c r="AF144" s="4" t="n">
        <v>1</v>
      </c>
      <c r="AG144" s="4" t="n">
        <v>1</v>
      </c>
      <c r="AH144" s="4" t="n">
        <v>1</v>
      </c>
      <c r="AI144" s="4" t="n">
        <v>1</v>
      </c>
    </row>
    <row r="145">
      <c r="A145" s="4" t="inlineStr">
        <is>
          <t>G144</t>
        </is>
      </c>
      <c r="B145" s="8" t="inlineStr">
        <is>
          <t>US7247749B2</t>
        </is>
      </c>
      <c r="C145" s="8" t="inlineStr">
        <is>
          <t>Federal State Unitary Enterprise S V Lebedev Institute of Synthetic Rubber; Greene Tweed of Delaware Inc</t>
        </is>
      </c>
      <c r="D145" s="8" t="inlineStr">
        <is>
          <t>Comparative Sample 20</t>
        </is>
      </c>
      <c r="E145" s="8" t="inlineStr">
        <is>
          <t>FFKM</t>
        </is>
      </c>
      <c r="F145" s="8" t="inlineStr">
        <is>
          <t>TFE/PMVE/2 cyano CSM tetrapolymer, Polymer A (redox, ML 45)</t>
        </is>
      </c>
      <c r="G145" s="8" t="inlineStr">
        <is>
          <t>nitrile_bisaminophenol</t>
        </is>
      </c>
      <c r="H145" s="8" t="n">
        <v>100</v>
      </c>
      <c r="I145" s="8" t="n">
        <v>25</v>
      </c>
      <c r="J145" s="8" t="n">
        <v>0</v>
      </c>
      <c r="K145" s="8" t="n">
        <v>0</v>
      </c>
      <c r="L145" s="8" t="n">
        <v>0</v>
      </c>
      <c r="M145" s="8" t="n">
        <v>0</v>
      </c>
      <c r="N145" s="8" t="n">
        <v>0</v>
      </c>
      <c r="O145" s="8" t="n">
        <v>0</v>
      </c>
      <c r="P145" s="8" t="n">
        <v>0</v>
      </c>
      <c r="Q145" s="8" t="n">
        <v>0</v>
      </c>
      <c r="R145" s="8" t="n">
        <v>0</v>
      </c>
      <c r="S145" s="8" t="n">
        <v>1</v>
      </c>
      <c r="T145" s="8" t="n">
        <v>0</v>
      </c>
      <c r="U145" s="8" t="n">
        <v>0</v>
      </c>
      <c r="V145" s="8" t="n">
        <v>1.5</v>
      </c>
      <c r="W145" s="8" t="n"/>
      <c r="X145" s="8" t="n">
        <v>14.29</v>
      </c>
      <c r="Y145" s="8" t="n">
        <v>136</v>
      </c>
      <c r="Z145" s="8" t="n">
        <v>8.130000000000001</v>
      </c>
      <c r="AA145" s="8" t="n">
        <v>21</v>
      </c>
      <c r="AB145" s="8" t="inlineStr">
        <is>
          <t>230C x 70h</t>
        </is>
      </c>
      <c r="AC145" s="4" t="n">
        <v>230</v>
      </c>
      <c r="AD145" s="4">
        <f>I145+J145+K145+L145+M145+N145+O145+P145</f>
        <v/>
      </c>
      <c r="AE145" s="4" t="n">
        <v>0</v>
      </c>
      <c r="AF145" s="4" t="n">
        <v>1</v>
      </c>
      <c r="AG145" s="4" t="n">
        <v>1</v>
      </c>
      <c r="AH145" s="4" t="n">
        <v>1</v>
      </c>
      <c r="AI145" s="4" t="n">
        <v>1</v>
      </c>
    </row>
    <row r="146">
      <c r="A146" s="4" t="inlineStr">
        <is>
          <t>G145</t>
        </is>
      </c>
      <c r="B146" s="8" t="inlineStr">
        <is>
          <t>US7247749B2</t>
        </is>
      </c>
      <c r="C146" s="8" t="inlineStr">
        <is>
          <t>Federal State Unitary Enterprise S V Lebedev Institute of Synthetic Rubber; Greene Tweed of Delaware Inc</t>
        </is>
      </c>
      <c r="D146" s="8" t="inlineStr">
        <is>
          <t>Sample 21</t>
        </is>
      </c>
      <c r="E146" s="8" t="inlineStr">
        <is>
          <t>FFKM</t>
        </is>
      </c>
      <c r="F146" s="8" t="inlineStr">
        <is>
          <t>TFE/PMVE/2 cyano CSM tetrapolymer, Polymer A (redox, ML 45)</t>
        </is>
      </c>
      <c r="G146" s="8" t="inlineStr">
        <is>
          <t>nitrile_bisaminophenol</t>
        </is>
      </c>
      <c r="H146" s="8" t="n">
        <v>100</v>
      </c>
      <c r="I146" s="8" t="n">
        <v>25</v>
      </c>
      <c r="J146" s="8" t="n">
        <v>0</v>
      </c>
      <c r="K146" s="8" t="n">
        <v>0</v>
      </c>
      <c r="L146" s="8" t="n">
        <v>0</v>
      </c>
      <c r="M146" s="8" t="n">
        <v>0</v>
      </c>
      <c r="N146" s="8" t="n">
        <v>0</v>
      </c>
      <c r="O146" s="8" t="n">
        <v>0</v>
      </c>
      <c r="P146" s="8" t="n">
        <v>0</v>
      </c>
      <c r="Q146" s="8" t="n">
        <v>0</v>
      </c>
      <c r="R146" s="8" t="n">
        <v>0</v>
      </c>
      <c r="S146" s="8" t="n">
        <v>0.5</v>
      </c>
      <c r="T146" s="8" t="n">
        <v>0.5</v>
      </c>
      <c r="U146" s="8" t="n">
        <v>0</v>
      </c>
      <c r="V146" s="8" t="n">
        <v>1.5</v>
      </c>
      <c r="W146" s="8" t="n"/>
      <c r="X146" s="8" t="n">
        <v>9.33</v>
      </c>
      <c r="Y146" s="8" t="n">
        <v>243</v>
      </c>
      <c r="Z146" s="8" t="n">
        <v>2.4</v>
      </c>
      <c r="AA146" s="8" t="n">
        <v>31</v>
      </c>
      <c r="AB146" s="8" t="inlineStr">
        <is>
          <t>230C x 70h</t>
        </is>
      </c>
      <c r="AC146" s="4" t="n">
        <v>230</v>
      </c>
      <c r="AD146" s="4">
        <f>I146+J146+K146+L146+M146+N146+O146+P146</f>
        <v/>
      </c>
      <c r="AE146" s="4" t="n">
        <v>0</v>
      </c>
      <c r="AF146" s="4" t="n">
        <v>1</v>
      </c>
      <c r="AG146" s="4" t="n">
        <v>1</v>
      </c>
      <c r="AH146" s="4" t="n">
        <v>1</v>
      </c>
      <c r="AI146" s="4" t="n">
        <v>1</v>
      </c>
    </row>
    <row r="147">
      <c r="A147" s="4" t="inlineStr">
        <is>
          <t>G146</t>
        </is>
      </c>
      <c r="B147" s="8" t="inlineStr">
        <is>
          <t>US7247749B2</t>
        </is>
      </c>
      <c r="C147" s="8" t="inlineStr">
        <is>
          <t>Federal State Unitary Enterprise S V Lebedev Institute of Synthetic Rubber; Greene Tweed of Delaware Inc</t>
        </is>
      </c>
      <c r="D147" s="8" t="inlineStr">
        <is>
          <t>Sample 22</t>
        </is>
      </c>
      <c r="E147" s="8" t="inlineStr">
        <is>
          <t>FFKM</t>
        </is>
      </c>
      <c r="F147" s="8" t="inlineStr">
        <is>
          <t>TFE/PMVE/2 cyano CSM tetrapolymer, Polymer A (redox, ML 45)</t>
        </is>
      </c>
      <c r="G147" s="8" t="inlineStr">
        <is>
          <t>nitrile_bisaminophenol</t>
        </is>
      </c>
      <c r="H147" s="8" t="n">
        <v>100</v>
      </c>
      <c r="I147" s="8" t="n">
        <v>25</v>
      </c>
      <c r="J147" s="8" t="n">
        <v>0</v>
      </c>
      <c r="K147" s="8" t="n">
        <v>0</v>
      </c>
      <c r="L147" s="8" t="n">
        <v>0</v>
      </c>
      <c r="M147" s="8" t="n">
        <v>0</v>
      </c>
      <c r="N147" s="8" t="n">
        <v>0</v>
      </c>
      <c r="O147" s="8" t="n">
        <v>0</v>
      </c>
      <c r="P147" s="8" t="n">
        <v>0</v>
      </c>
      <c r="Q147" s="8" t="n">
        <v>0</v>
      </c>
      <c r="R147" s="8" t="n">
        <v>0</v>
      </c>
      <c r="S147" s="8" t="n">
        <v>1</v>
      </c>
      <c r="T147" s="8" t="n">
        <v>0.5</v>
      </c>
      <c r="U147" s="8" t="n">
        <v>0</v>
      </c>
      <c r="V147" s="8" t="n">
        <v>1.5</v>
      </c>
      <c r="W147" s="8" t="n"/>
      <c r="X147" s="8" t="n">
        <v>13.62</v>
      </c>
      <c r="Y147" s="8" t="n">
        <v>135</v>
      </c>
      <c r="Z147" s="8" t="n">
        <v>8.35</v>
      </c>
      <c r="AA147" s="8" t="n">
        <v>17</v>
      </c>
      <c r="AB147" s="8" t="inlineStr">
        <is>
          <t>230C x 70h</t>
        </is>
      </c>
      <c r="AC147" s="4" t="n">
        <v>230</v>
      </c>
      <c r="AD147" s="4">
        <f>I147+J147+K147+L147+M147+N147+O147+P147</f>
        <v/>
      </c>
      <c r="AE147" s="4" t="n">
        <v>0</v>
      </c>
      <c r="AF147" s="4" t="n">
        <v>1</v>
      </c>
      <c r="AG147" s="4" t="n">
        <v>1</v>
      </c>
      <c r="AH147" s="4" t="n">
        <v>1</v>
      </c>
      <c r="AI147" s="4" t="n">
        <v>1</v>
      </c>
    </row>
    <row r="148">
      <c r="A148" s="4" t="inlineStr">
        <is>
          <t>G147</t>
        </is>
      </c>
      <c r="B148" s="8" t="inlineStr">
        <is>
          <t>US7247749B2</t>
        </is>
      </c>
      <c r="C148" s="8" t="inlineStr">
        <is>
          <t>Federal State Unitary Enterprise S V Lebedev Institute of Synthetic Rubber; Greene Tweed of Delaware Inc</t>
        </is>
      </c>
      <c r="D148" s="8" t="inlineStr">
        <is>
          <t>Sample 23</t>
        </is>
      </c>
      <c r="E148" s="8" t="inlineStr">
        <is>
          <t>FFKM</t>
        </is>
      </c>
      <c r="F148" s="8" t="inlineStr">
        <is>
          <t>TFE/PMVE/2 cyano CSM tetrapolymer, Polymer A (redox, ML 45)</t>
        </is>
      </c>
      <c r="G148" s="8" t="inlineStr">
        <is>
          <t>nitrile_bisaminophenol</t>
        </is>
      </c>
      <c r="H148" s="8" t="n">
        <v>100</v>
      </c>
      <c r="I148" s="8" t="n">
        <v>25</v>
      </c>
      <c r="J148" s="8" t="n">
        <v>0</v>
      </c>
      <c r="K148" s="8" t="n">
        <v>0</v>
      </c>
      <c r="L148" s="8" t="n">
        <v>0</v>
      </c>
      <c r="M148" s="8" t="n">
        <v>0</v>
      </c>
      <c r="N148" s="8" t="n">
        <v>0</v>
      </c>
      <c r="O148" s="8" t="n">
        <v>0</v>
      </c>
      <c r="P148" s="8" t="n">
        <v>0</v>
      </c>
      <c r="Q148" s="8" t="n">
        <v>0</v>
      </c>
      <c r="R148" s="8" t="n">
        <v>0</v>
      </c>
      <c r="S148" s="8" t="n">
        <v>1</v>
      </c>
      <c r="T148" s="8" t="n">
        <v>0.25</v>
      </c>
      <c r="U148" s="8" t="n">
        <v>0</v>
      </c>
      <c r="V148" s="8" t="n">
        <v>1.5</v>
      </c>
      <c r="W148" s="8" t="n"/>
      <c r="X148" s="8" t="n">
        <v>11.44</v>
      </c>
      <c r="Y148" s="8" t="n">
        <v>190</v>
      </c>
      <c r="Z148" s="8" t="n">
        <v>3.46</v>
      </c>
      <c r="AA148" s="8" t="n">
        <v>31</v>
      </c>
      <c r="AB148" s="8" t="inlineStr">
        <is>
          <t>230C x 70h</t>
        </is>
      </c>
      <c r="AC148" s="4" t="n">
        <v>230</v>
      </c>
      <c r="AD148" s="4">
        <f>I148+J148+K148+L148+M148+N148+O148+P148</f>
        <v/>
      </c>
      <c r="AE148" s="4" t="n">
        <v>0</v>
      </c>
      <c r="AF148" s="4" t="n">
        <v>1</v>
      </c>
      <c r="AG148" s="4" t="n">
        <v>1</v>
      </c>
      <c r="AH148" s="4" t="n">
        <v>1</v>
      </c>
      <c r="AI148" s="4" t="n">
        <v>1</v>
      </c>
    </row>
    <row r="149">
      <c r="A149" s="4" t="inlineStr">
        <is>
          <t>G148</t>
        </is>
      </c>
      <c r="B149" s="8" t="inlineStr">
        <is>
          <t>US7247749B2</t>
        </is>
      </c>
      <c r="C149" s="8" t="inlineStr">
        <is>
          <t>Federal State Unitary Enterprise S V Lebedev Institute of Synthetic Rubber; Greene Tweed of Delaware Inc</t>
        </is>
      </c>
      <c r="D149" s="8" t="inlineStr">
        <is>
          <t>Sample 24</t>
        </is>
      </c>
      <c r="E149" s="8" t="inlineStr">
        <is>
          <t>FFKM</t>
        </is>
      </c>
      <c r="F149" s="8" t="inlineStr">
        <is>
          <t>TFE/PMVE/2 cyano CSM tetrapolymer, Polymer A (redox, ML 45)</t>
        </is>
      </c>
      <c r="G149" s="8" t="inlineStr">
        <is>
          <t>nitrile_bisaminophenol</t>
        </is>
      </c>
      <c r="H149" s="8" t="n">
        <v>100</v>
      </c>
      <c r="I149" s="8" t="n">
        <v>25</v>
      </c>
      <c r="J149" s="8" t="n">
        <v>0</v>
      </c>
      <c r="K149" s="8" t="n">
        <v>0</v>
      </c>
      <c r="L149" s="8" t="n">
        <v>0</v>
      </c>
      <c r="M149" s="8" t="n">
        <v>0</v>
      </c>
      <c r="N149" s="8" t="n">
        <v>0</v>
      </c>
      <c r="O149" s="8" t="n">
        <v>0</v>
      </c>
      <c r="P149" s="8" t="n">
        <v>0</v>
      </c>
      <c r="Q149" s="8" t="n">
        <v>0</v>
      </c>
      <c r="R149" s="8" t="n">
        <v>0</v>
      </c>
      <c r="S149" s="8" t="n">
        <v>1</v>
      </c>
      <c r="T149" s="8" t="n">
        <v>0.75</v>
      </c>
      <c r="U149" s="8" t="n">
        <v>0</v>
      </c>
      <c r="V149" s="8" t="n">
        <v>1.5</v>
      </c>
      <c r="W149" s="8" t="n"/>
      <c r="X149" s="8" t="n">
        <v>9.529999999999999</v>
      </c>
      <c r="Y149" s="8" t="n">
        <v>138</v>
      </c>
      <c r="Z149" s="8" t="n">
        <v>5.17</v>
      </c>
      <c r="AA149" s="8" t="n">
        <v>20</v>
      </c>
      <c r="AB149" s="8" t="inlineStr">
        <is>
          <t>230C x 70h</t>
        </is>
      </c>
      <c r="AC149" s="4" t="n">
        <v>230</v>
      </c>
      <c r="AD149" s="4">
        <f>I149+J149+K149+L149+M149+N149+O149+P149</f>
        <v/>
      </c>
      <c r="AE149" s="4" t="n">
        <v>0</v>
      </c>
      <c r="AF149" s="4" t="n">
        <v>1</v>
      </c>
      <c r="AG149" s="4" t="n">
        <v>1</v>
      </c>
      <c r="AH149" s="4" t="n">
        <v>1</v>
      </c>
      <c r="AI149" s="4" t="n">
        <v>1</v>
      </c>
    </row>
    <row r="150">
      <c r="A150" s="4" t="inlineStr">
        <is>
          <t>G149</t>
        </is>
      </c>
      <c r="B150" s="8" t="inlineStr">
        <is>
          <t>US7247749B2</t>
        </is>
      </c>
      <c r="C150" s="8" t="inlineStr">
        <is>
          <t>Federal State Unitary Enterprise S V Lebedev Institute of Synthetic Rubber; Greene Tweed of Delaware Inc</t>
        </is>
      </c>
      <c r="D150" s="8" t="inlineStr">
        <is>
          <t>Sample 25</t>
        </is>
      </c>
      <c r="E150" s="8" t="inlineStr">
        <is>
          <t>FFKM</t>
        </is>
      </c>
      <c r="F150" s="8" t="inlineStr">
        <is>
          <t>TFE/PMVE/2 cyano CSM tetrapolymer, Polymer A (redox, ML 45)</t>
        </is>
      </c>
      <c r="G150" s="8" t="inlineStr">
        <is>
          <t>nitrile_bisaminophenol</t>
        </is>
      </c>
      <c r="H150" s="8" t="n">
        <v>100</v>
      </c>
      <c r="I150" s="8" t="n">
        <v>25</v>
      </c>
      <c r="J150" s="8" t="n">
        <v>0</v>
      </c>
      <c r="K150" s="8" t="n">
        <v>0</v>
      </c>
      <c r="L150" s="8" t="n">
        <v>0</v>
      </c>
      <c r="M150" s="8" t="n">
        <v>0</v>
      </c>
      <c r="N150" s="8" t="n">
        <v>0</v>
      </c>
      <c r="O150" s="8" t="n">
        <v>0</v>
      </c>
      <c r="P150" s="8" t="n">
        <v>0</v>
      </c>
      <c r="Q150" s="8" t="n">
        <v>0</v>
      </c>
      <c r="R150" s="8" t="n">
        <v>0</v>
      </c>
      <c r="S150" s="8" t="n">
        <v>1</v>
      </c>
      <c r="T150" s="8" t="n">
        <v>1</v>
      </c>
      <c r="U150" s="8" t="n">
        <v>0</v>
      </c>
      <c r="V150" s="8" t="n">
        <v>1.5</v>
      </c>
      <c r="W150" s="8" t="n"/>
      <c r="X150" s="8" t="n">
        <v>12.95</v>
      </c>
      <c r="Y150" s="8" t="n">
        <v>195</v>
      </c>
      <c r="Z150" s="8" t="n">
        <v>4.06</v>
      </c>
      <c r="AA150" s="8" t="n">
        <v>27</v>
      </c>
      <c r="AB150" s="8" t="inlineStr">
        <is>
          <t>204C x 70h, 25% deflection</t>
        </is>
      </c>
      <c r="AC150" s="4" t="n">
        <v>204</v>
      </c>
      <c r="AD150" s="4">
        <f>I150+J150+K150+L150+M150+N150+O150+P150</f>
        <v/>
      </c>
      <c r="AE150" s="4" t="n">
        <v>0</v>
      </c>
      <c r="AF150" s="4" t="n">
        <v>1</v>
      </c>
      <c r="AG150" s="4" t="n">
        <v>1</v>
      </c>
      <c r="AH150" s="4" t="n">
        <v>1</v>
      </c>
      <c r="AI150" s="4" t="n">
        <v>1</v>
      </c>
    </row>
    <row r="151">
      <c r="A151" s="4" t="inlineStr">
        <is>
          <t>G150</t>
        </is>
      </c>
      <c r="B151" s="8" t="inlineStr">
        <is>
          <t>US7247749B2</t>
        </is>
      </c>
      <c r="C151" s="8" t="inlineStr">
        <is>
          <t>Federal State Unitary Enterprise S V Lebedev Institute of Synthetic Rubber; Greene Tweed of Delaware Inc</t>
        </is>
      </c>
      <c r="D151" s="8" t="inlineStr">
        <is>
          <t>Sample 26</t>
        </is>
      </c>
      <c r="E151" s="8" t="inlineStr">
        <is>
          <t>FFKM</t>
        </is>
      </c>
      <c r="F151" s="8" t="inlineStr">
        <is>
          <t>TFE/PMVE/2 cyano CSM tetrapolymer, Polymer B (non-redox, ML 65)</t>
        </is>
      </c>
      <c r="G151" s="8" t="inlineStr">
        <is>
          <t>nitrile_bisaminophenol</t>
        </is>
      </c>
      <c r="H151" s="8" t="n">
        <v>100</v>
      </c>
      <c r="I151" s="8" t="n">
        <v>25</v>
      </c>
      <c r="J151" s="8" t="n">
        <v>0</v>
      </c>
      <c r="K151" s="8" t="n">
        <v>0</v>
      </c>
      <c r="L151" s="8" t="n">
        <v>0</v>
      </c>
      <c r="M151" s="8" t="n">
        <v>0</v>
      </c>
      <c r="N151" s="8" t="n">
        <v>0</v>
      </c>
      <c r="O151" s="8" t="n">
        <v>0</v>
      </c>
      <c r="P151" s="8" t="n">
        <v>0</v>
      </c>
      <c r="Q151" s="8" t="n">
        <v>0</v>
      </c>
      <c r="R151" s="8" t="n">
        <v>0</v>
      </c>
      <c r="S151" s="8" t="n">
        <v>1</v>
      </c>
      <c r="T151" s="8" t="n">
        <v>1</v>
      </c>
      <c r="U151" s="8" t="n">
        <v>0</v>
      </c>
      <c r="V151" s="8" t="n">
        <v>1.5</v>
      </c>
      <c r="W151" s="8" t="n"/>
      <c r="X151" s="8" t="n">
        <v>11.51</v>
      </c>
      <c r="Y151" s="8" t="n">
        <v>143</v>
      </c>
      <c r="Z151" s="8" t="n">
        <v>5.52</v>
      </c>
      <c r="AA151" s="8" t="n">
        <v>9</v>
      </c>
      <c r="AB151" s="8" t="inlineStr">
        <is>
          <t>204C x 70h, 25% deflection</t>
        </is>
      </c>
      <c r="AC151" s="4" t="n">
        <v>204</v>
      </c>
      <c r="AD151" s="4">
        <f>I151+J151+K151+L151+M151+N151+O151+P151</f>
        <v/>
      </c>
      <c r="AE151" s="4" t="n">
        <v>0</v>
      </c>
      <c r="AF151" s="4" t="n">
        <v>1</v>
      </c>
      <c r="AG151" s="4" t="n">
        <v>1</v>
      </c>
      <c r="AH151" s="4" t="n">
        <v>1</v>
      </c>
      <c r="AI151" s="4" t="n">
        <v>1</v>
      </c>
    </row>
    <row r="152">
      <c r="A152" s="4" t="inlineStr">
        <is>
          <t>G151</t>
        </is>
      </c>
      <c r="B152" s="8" t="inlineStr">
        <is>
          <t>US7247749B2</t>
        </is>
      </c>
      <c r="C152" s="8" t="inlineStr">
        <is>
          <t>Federal State Unitary Enterprise S V Lebedev Institute of Synthetic Rubber; Greene Tweed of Delaware Inc</t>
        </is>
      </c>
      <c r="D152" s="8" t="inlineStr">
        <is>
          <t>Control Sample 31</t>
        </is>
      </c>
      <c r="E152" s="8" t="inlineStr">
        <is>
          <t>FFKM</t>
        </is>
      </c>
      <c r="F152" s="8" t="inlineStr">
        <is>
          <t>TFE/PMVE/2 cyano CSM tetrapolymer, Polymer B 114 ML 75 + 24 ML 25</t>
        </is>
      </c>
      <c r="G152" s="8" t="inlineStr">
        <is>
          <t>nitrile_bisaminophenol</t>
        </is>
      </c>
      <c r="H152" s="8" t="n">
        <v>100</v>
      </c>
      <c r="I152" s="8" t="n">
        <v>25</v>
      </c>
      <c r="J152" s="8" t="n">
        <v>0</v>
      </c>
      <c r="K152" s="8" t="n">
        <v>0</v>
      </c>
      <c r="L152" s="8" t="n">
        <v>0</v>
      </c>
      <c r="M152" s="8" t="n">
        <v>0</v>
      </c>
      <c r="N152" s="8" t="n">
        <v>0</v>
      </c>
      <c r="O152" s="8" t="n">
        <v>0</v>
      </c>
      <c r="P152" s="8" t="n">
        <v>0</v>
      </c>
      <c r="Q152" s="8" t="n">
        <v>0</v>
      </c>
      <c r="R152" s="8" t="n">
        <v>0</v>
      </c>
      <c r="S152" s="8" t="n">
        <v>1.5</v>
      </c>
      <c r="T152" s="8" t="n">
        <v>0</v>
      </c>
      <c r="U152" s="8" t="n">
        <v>0</v>
      </c>
      <c r="V152" s="8" t="n">
        <v>0</v>
      </c>
      <c r="W152" s="8" t="n"/>
      <c r="X152" s="8" t="n">
        <v>21.86</v>
      </c>
      <c r="Y152" s="8" t="n">
        <v>122</v>
      </c>
      <c r="Z152" s="8" t="n">
        <v>16.5</v>
      </c>
      <c r="AA152" s="8" t="n">
        <v>9.99</v>
      </c>
      <c r="AB152" s="8" t="inlineStr">
        <is>
          <t>204C x 70h, 25% deflection</t>
        </is>
      </c>
      <c r="AC152" s="4" t="n">
        <v>204</v>
      </c>
      <c r="AD152" s="4">
        <f>I152+J152+K152+L152+M152+N152+O152+P152</f>
        <v/>
      </c>
      <c r="AE152" s="4" t="n">
        <v>0</v>
      </c>
      <c r="AF152" s="4" t="n">
        <v>1</v>
      </c>
      <c r="AG152" s="4" t="n">
        <v>1</v>
      </c>
      <c r="AH152" s="4" t="n">
        <v>1</v>
      </c>
      <c r="AI152" s="4" t="n">
        <v>1</v>
      </c>
    </row>
    <row r="153">
      <c r="A153" s="4" t="inlineStr">
        <is>
          <t>G152</t>
        </is>
      </c>
      <c r="B153" s="8" t="inlineStr">
        <is>
          <t>US7247749B2</t>
        </is>
      </c>
      <c r="C153" s="8" t="inlineStr">
        <is>
          <t>Federal State Unitary Enterprise S V Lebedev Institute of Synthetic Rubber; Greene Tweed of Delaware Inc</t>
        </is>
      </c>
      <c r="D153" s="8" t="inlineStr">
        <is>
          <t>Sample 32</t>
        </is>
      </c>
      <c r="E153" s="8" t="inlineStr">
        <is>
          <t>FFKM</t>
        </is>
      </c>
      <c r="F153" s="8" t="inlineStr">
        <is>
          <t>TFE/PMVE/2 cyano CSM tetrapolymer, Polymer B 114 ML 75 + 24 ML 25</t>
        </is>
      </c>
      <c r="G153" s="8" t="inlineStr">
        <is>
          <t>nitrile_other</t>
        </is>
      </c>
      <c r="H153" s="8" t="n">
        <v>100</v>
      </c>
      <c r="I153" s="8" t="n">
        <v>25</v>
      </c>
      <c r="J153" s="8" t="n">
        <v>0</v>
      </c>
      <c r="K153" s="8" t="n">
        <v>0</v>
      </c>
      <c r="L153" s="8" t="n">
        <v>0</v>
      </c>
      <c r="M153" s="8" t="n">
        <v>0</v>
      </c>
      <c r="N153" s="8" t="n">
        <v>0</v>
      </c>
      <c r="O153" s="8" t="n">
        <v>0</v>
      </c>
      <c r="P153" s="8" t="n">
        <v>0</v>
      </c>
      <c r="Q153" s="8" t="n">
        <v>0</v>
      </c>
      <c r="R153" s="8" t="n">
        <v>0</v>
      </c>
      <c r="S153" s="8" t="n">
        <v>1.54</v>
      </c>
      <c r="T153" s="8" t="n">
        <v>0</v>
      </c>
      <c r="U153" s="8" t="n">
        <v>0</v>
      </c>
      <c r="V153" s="8" t="n">
        <v>0</v>
      </c>
      <c r="W153" s="8" t="n"/>
      <c r="X153" s="8" t="n">
        <v>13.81</v>
      </c>
      <c r="Y153" s="8" t="n">
        <v>121</v>
      </c>
      <c r="Z153" s="8" t="n">
        <v>9.84</v>
      </c>
      <c r="AA153" s="8" t="n">
        <v>8.33</v>
      </c>
      <c r="AB153" s="8" t="inlineStr">
        <is>
          <t>204C x 70h, 25% deflection</t>
        </is>
      </c>
      <c r="AC153" s="4" t="n">
        <v>204</v>
      </c>
      <c r="AD153" s="4">
        <f>I153+J153+K153+L153+M153+N153+O153+P153</f>
        <v/>
      </c>
      <c r="AE153" s="4" t="n">
        <v>0</v>
      </c>
      <c r="AF153" s="4" t="n">
        <v>1</v>
      </c>
      <c r="AG153" s="4" t="n">
        <v>1</v>
      </c>
      <c r="AH153" s="4" t="n">
        <v>1</v>
      </c>
      <c r="AI153" s="4" t="n">
        <v>1</v>
      </c>
    </row>
    <row r="154">
      <c r="A154" s="4" t="inlineStr">
        <is>
          <t>G153</t>
        </is>
      </c>
      <c r="B154" s="8" t="inlineStr">
        <is>
          <t>US7247749B2</t>
        </is>
      </c>
      <c r="C154" s="8" t="inlineStr">
        <is>
          <t>Federal State Unitary Enterprise S V Lebedev Institute of Synthetic Rubber; Greene Tweed of Delaware Inc</t>
        </is>
      </c>
      <c r="D154" s="8" t="inlineStr">
        <is>
          <t>Sample 33</t>
        </is>
      </c>
      <c r="E154" s="8" t="inlineStr">
        <is>
          <t>FFKM</t>
        </is>
      </c>
      <c r="F154" s="8" t="inlineStr">
        <is>
          <t>TFE/PMVE/2 cyano CSM tetrapolymer, Polymer B 114 ML 75 + 24 ML 25</t>
        </is>
      </c>
      <c r="G154" s="8" t="inlineStr">
        <is>
          <t>nitrile_bisaminophenol</t>
        </is>
      </c>
      <c r="H154" s="8" t="n">
        <v>100</v>
      </c>
      <c r="I154" s="8" t="n">
        <v>25</v>
      </c>
      <c r="J154" s="8" t="n">
        <v>0</v>
      </c>
      <c r="K154" s="8" t="n">
        <v>0</v>
      </c>
      <c r="L154" s="8" t="n">
        <v>0</v>
      </c>
      <c r="M154" s="8" t="n">
        <v>0</v>
      </c>
      <c r="N154" s="8" t="n">
        <v>0</v>
      </c>
      <c r="O154" s="8" t="n">
        <v>0</v>
      </c>
      <c r="P154" s="8" t="n">
        <v>0</v>
      </c>
      <c r="Q154" s="8" t="n">
        <v>0</v>
      </c>
      <c r="R154" s="8" t="n">
        <v>0</v>
      </c>
      <c r="S154" s="8" t="n">
        <v>1.5</v>
      </c>
      <c r="T154" s="8" t="n">
        <v>0.64</v>
      </c>
      <c r="U154" s="8" t="n">
        <v>0</v>
      </c>
      <c r="V154" s="8" t="n">
        <v>0</v>
      </c>
      <c r="W154" s="8" t="n"/>
      <c r="X154" s="8" t="n">
        <v>16.38</v>
      </c>
      <c r="Y154" s="8" t="n">
        <v>117</v>
      </c>
      <c r="Z154" s="8" t="n">
        <v>13.27</v>
      </c>
      <c r="AA154" s="8" t="n">
        <v>8.57</v>
      </c>
      <c r="AB154" s="8" t="inlineStr">
        <is>
          <t>204C x 70h, 25% deflection</t>
        </is>
      </c>
      <c r="AC154" s="4" t="n">
        <v>204</v>
      </c>
      <c r="AD154" s="4">
        <f>I154+J154+K154+L154+M154+N154+O154+P154</f>
        <v/>
      </c>
      <c r="AE154" s="4" t="n">
        <v>0</v>
      </c>
      <c r="AF154" s="4" t="n">
        <v>1</v>
      </c>
      <c r="AG154" s="4" t="n">
        <v>1</v>
      </c>
      <c r="AH154" s="4" t="n">
        <v>1</v>
      </c>
      <c r="AI154" s="4" t="n">
        <v>1</v>
      </c>
    </row>
    <row r="155">
      <c r="A155" s="4" t="inlineStr">
        <is>
          <t>G154</t>
        </is>
      </c>
      <c r="B155" s="8" t="inlineStr">
        <is>
          <t>US7247749B2</t>
        </is>
      </c>
      <c r="C155" s="8" t="inlineStr">
        <is>
          <t>Federal State Unitary Enterprise S V Lebedev Institute of Synthetic Rubber; Greene Tweed of Delaware Inc</t>
        </is>
      </c>
      <c r="D155" s="8" t="inlineStr">
        <is>
          <t>Sample 34</t>
        </is>
      </c>
      <c r="E155" s="8" t="inlineStr">
        <is>
          <t>FFKM</t>
        </is>
      </c>
      <c r="F155" s="8" t="inlineStr">
        <is>
          <t>TFE/PMVE/2 cyano CSM tetrapolymer, Polymer B 110 ML 75 + 24 ML 25</t>
        </is>
      </c>
      <c r="G155" s="8" t="inlineStr">
        <is>
          <t>nitrile_other</t>
        </is>
      </c>
      <c r="H155" s="8" t="n">
        <v>100</v>
      </c>
      <c r="I155" s="8" t="n">
        <v>25</v>
      </c>
      <c r="J155" s="8" t="n">
        <v>0</v>
      </c>
      <c r="K155" s="8" t="n">
        <v>0</v>
      </c>
      <c r="L155" s="8" t="n">
        <v>0</v>
      </c>
      <c r="M155" s="8" t="n">
        <v>0</v>
      </c>
      <c r="N155" s="8" t="n">
        <v>0</v>
      </c>
      <c r="O155" s="8" t="n">
        <v>0</v>
      </c>
      <c r="P155" s="8" t="n">
        <v>0</v>
      </c>
      <c r="Q155" s="8" t="n">
        <v>0</v>
      </c>
      <c r="R155" s="8" t="n">
        <v>0</v>
      </c>
      <c r="S155" s="8" t="n">
        <v>0.64</v>
      </c>
      <c r="T155" s="8" t="n">
        <v>0</v>
      </c>
      <c r="U155" s="8" t="n">
        <v>0</v>
      </c>
      <c r="V155" s="8" t="n">
        <v>0</v>
      </c>
      <c r="W155" s="8" t="n"/>
      <c r="X155" s="8" t="n">
        <v>12.11</v>
      </c>
      <c r="Y155" s="8" t="n">
        <v>225</v>
      </c>
      <c r="Z155" s="8" t="n">
        <v>4.31</v>
      </c>
      <c r="AA155" s="8" t="n">
        <v>28.57</v>
      </c>
      <c r="AB155" s="8" t="inlineStr">
        <is>
          <t>204C x 70h, 25% deflection</t>
        </is>
      </c>
      <c r="AC155" s="4" t="n">
        <v>204</v>
      </c>
      <c r="AD155" s="4">
        <f>I155+J155+K155+L155+M155+N155+O155+P155</f>
        <v/>
      </c>
      <c r="AE155" s="4" t="n">
        <v>0</v>
      </c>
      <c r="AF155" s="4" t="n">
        <v>1</v>
      </c>
      <c r="AG155" s="4" t="n">
        <v>1</v>
      </c>
      <c r="AH155" s="4" t="n">
        <v>1</v>
      </c>
      <c r="AI155" s="4" t="n">
        <v>1</v>
      </c>
    </row>
    <row r="156">
      <c r="A156" s="4" t="inlineStr">
        <is>
          <t>G155</t>
        </is>
      </c>
      <c r="B156" s="8" t="inlineStr">
        <is>
          <t>US7402630B2</t>
        </is>
      </c>
      <c r="C156" s="8" t="inlineStr">
        <is>
          <t>3M Innovative Properties Co</t>
        </is>
      </c>
      <c r="D156" s="8" t="inlineStr">
        <is>
          <t>Example 7</t>
        </is>
      </c>
      <c r="E156" s="8" t="inlineStr">
        <is>
          <t>FFKM</t>
        </is>
      </c>
      <c r="F156" s="8" t="inlineStr">
        <is>
          <t>Fluoropolymer B: TFE/PMVE/MV5CN 65.7/33.0/1.3 mol%</t>
        </is>
      </c>
      <c r="G156" s="8" t="inlineStr">
        <is>
          <t>nitrile_triazine</t>
        </is>
      </c>
      <c r="H156" s="8" t="n">
        <v>100</v>
      </c>
      <c r="I156" s="8" t="n">
        <v>30</v>
      </c>
      <c r="J156" s="8" t="n">
        <v>0</v>
      </c>
      <c r="K156" s="8" t="n">
        <v>0</v>
      </c>
      <c r="L156" s="8" t="n">
        <v>0</v>
      </c>
      <c r="M156" s="8" t="n">
        <v>0</v>
      </c>
      <c r="N156" s="8" t="n">
        <v>0</v>
      </c>
      <c r="O156" s="8" t="n">
        <v>0</v>
      </c>
      <c r="P156" s="8" t="n">
        <v>0</v>
      </c>
      <c r="Q156" s="8" t="n">
        <v>0</v>
      </c>
      <c r="R156" s="8" t="n">
        <v>0</v>
      </c>
      <c r="S156" s="8" t="n">
        <v>1</v>
      </c>
      <c r="T156" s="8" t="n">
        <v>0</v>
      </c>
      <c r="U156" s="8" t="n">
        <v>0</v>
      </c>
      <c r="V156" s="8" t="n">
        <v>0</v>
      </c>
      <c r="W156" s="8" t="n">
        <v>81</v>
      </c>
      <c r="X156" s="8" t="n">
        <v>12.93</v>
      </c>
      <c r="Y156" s="8" t="n">
        <v>235</v>
      </c>
      <c r="Z156" s="8" t="n">
        <v>9</v>
      </c>
      <c r="AA156" s="8" t="n">
        <v>22</v>
      </c>
      <c r="AB156" s="8" t="inlineStr">
        <is>
          <t>300C x 72h, O-ring 3.5 mm CS, ASTM D395 B</t>
        </is>
      </c>
      <c r="AC156" s="4" t="n">
        <v>300</v>
      </c>
      <c r="AD156" s="4">
        <f>I156+J156+K156+L156+M156+N156+O156+P156</f>
        <v/>
      </c>
      <c r="AE156" s="4" t="n">
        <v>1</v>
      </c>
      <c r="AF156" s="4" t="n">
        <v>1</v>
      </c>
      <c r="AG156" s="4" t="n">
        <v>1</v>
      </c>
      <c r="AH156" s="4" t="n">
        <v>1</v>
      </c>
      <c r="AI156" s="4" t="n">
        <v>1</v>
      </c>
    </row>
    <row r="157">
      <c r="A157" s="4" t="inlineStr">
        <is>
          <t>G156</t>
        </is>
      </c>
      <c r="B157" s="8" t="inlineStr">
        <is>
          <t>US7402630B2</t>
        </is>
      </c>
      <c r="C157" s="8" t="inlineStr">
        <is>
          <t>3M Innovative Properties Co</t>
        </is>
      </c>
      <c r="D157" s="8" t="inlineStr">
        <is>
          <t>Example 8</t>
        </is>
      </c>
      <c r="E157" s="8" t="inlineStr">
        <is>
          <t>FFKM</t>
        </is>
      </c>
      <c r="F157" s="8" t="inlineStr">
        <is>
          <t>Fluoropolymer B: TFE/PMVE/MV5CN 65.7/33.0/1.3 mol%</t>
        </is>
      </c>
      <c r="G157" s="8" t="inlineStr">
        <is>
          <t>nitrile_triazine</t>
        </is>
      </c>
      <c r="H157" s="8" t="n">
        <v>100</v>
      </c>
      <c r="I157" s="8" t="n">
        <v>30</v>
      </c>
      <c r="J157" s="8" t="n">
        <v>0</v>
      </c>
      <c r="K157" s="8" t="n">
        <v>0</v>
      </c>
      <c r="L157" s="8" t="n">
        <v>0</v>
      </c>
      <c r="M157" s="8" t="n">
        <v>0</v>
      </c>
      <c r="N157" s="8" t="n">
        <v>0</v>
      </c>
      <c r="O157" s="8" t="n">
        <v>0</v>
      </c>
      <c r="P157" s="8" t="n">
        <v>0</v>
      </c>
      <c r="Q157" s="8" t="n">
        <v>0</v>
      </c>
      <c r="R157" s="8" t="n">
        <v>0</v>
      </c>
      <c r="S157" s="8" t="n">
        <v>1.2</v>
      </c>
      <c r="T157" s="8" t="n">
        <v>0</v>
      </c>
      <c r="U157" s="8" t="n">
        <v>0</v>
      </c>
      <c r="V157" s="8" t="n">
        <v>0</v>
      </c>
      <c r="W157" s="8" t="n">
        <v>82</v>
      </c>
      <c r="X157" s="8" t="n">
        <v>11.07</v>
      </c>
      <c r="Y157" s="8" t="n">
        <v>220</v>
      </c>
      <c r="Z157" s="8" t="n">
        <v>8.58</v>
      </c>
      <c r="AA157" s="8" t="n">
        <v>31</v>
      </c>
      <c r="AB157" s="8" t="inlineStr">
        <is>
          <t>300C x 72h, O-ring 3.5 mm CS, ASTM D395 B</t>
        </is>
      </c>
      <c r="AC157" s="4" t="n">
        <v>300</v>
      </c>
      <c r="AD157" s="4">
        <f>I157+J157+K157+L157+M157+N157+O157+P157</f>
        <v/>
      </c>
      <c r="AE157" s="4" t="n">
        <v>1</v>
      </c>
      <c r="AF157" s="4" t="n">
        <v>1</v>
      </c>
      <c r="AG157" s="4" t="n">
        <v>1</v>
      </c>
      <c r="AH157" s="4" t="n">
        <v>1</v>
      </c>
      <c r="AI157" s="4" t="n">
        <v>1</v>
      </c>
    </row>
    <row r="158">
      <c r="A158" s="4" t="inlineStr">
        <is>
          <t>G157</t>
        </is>
      </c>
      <c r="B158" s="8" t="inlineStr">
        <is>
          <t>US7402630B2</t>
        </is>
      </c>
      <c r="C158" s="8" t="inlineStr">
        <is>
          <t>3M Innovative Properties Co</t>
        </is>
      </c>
      <c r="D158" s="8" t="inlineStr">
        <is>
          <t>Comparative Example A</t>
        </is>
      </c>
      <c r="E158" s="8" t="inlineStr">
        <is>
          <t>FFKM</t>
        </is>
      </c>
      <c r="F158" s="8" t="inlineStr">
        <is>
          <t>Fluoropolymer B: TFE/PMVE/MV5CN 65.7/33.0/1.3 mol%</t>
        </is>
      </c>
      <c r="G158" s="8" t="inlineStr">
        <is>
          <t>nitrile_triazine</t>
        </is>
      </c>
      <c r="H158" s="8" t="n">
        <v>100</v>
      </c>
      <c r="I158" s="8" t="n">
        <v>15</v>
      </c>
      <c r="J158" s="8" t="n">
        <v>1.5</v>
      </c>
      <c r="K158" s="8" t="n">
        <v>0</v>
      </c>
      <c r="L158" s="8" t="n">
        <v>0</v>
      </c>
      <c r="M158" s="8" t="n">
        <v>0</v>
      </c>
      <c r="N158" s="8" t="n">
        <v>0</v>
      </c>
      <c r="O158" s="8" t="n">
        <v>0</v>
      </c>
      <c r="P158" s="8" t="n">
        <v>0</v>
      </c>
      <c r="Q158" s="8" t="n">
        <v>0</v>
      </c>
      <c r="R158" s="8" t="n">
        <v>0</v>
      </c>
      <c r="S158" s="8" t="n">
        <v>1.5</v>
      </c>
      <c r="T158" s="8" t="n">
        <v>0</v>
      </c>
      <c r="U158" s="8" t="n">
        <v>0</v>
      </c>
      <c r="V158" s="8" t="n">
        <v>0</v>
      </c>
      <c r="W158" s="8" t="n">
        <v>79</v>
      </c>
      <c r="X158" s="8" t="n">
        <v>13.1</v>
      </c>
      <c r="Y158" s="8" t="n">
        <v>170</v>
      </c>
      <c r="Z158" s="8" t="n">
        <v>7.21</v>
      </c>
      <c r="AA158" s="8" t="n">
        <v>48</v>
      </c>
      <c r="AB158" s="8" t="inlineStr">
        <is>
          <t>300C x 72h, O-ring 3.5 mm CS, ASTM D395 B</t>
        </is>
      </c>
      <c r="AC158" s="4" t="n">
        <v>300</v>
      </c>
      <c r="AD158" s="4">
        <f>I158+J158+K158+L158+M158+N158+O158+P158</f>
        <v/>
      </c>
      <c r="AE158" s="4" t="n">
        <v>1</v>
      </c>
      <c r="AF158" s="4" t="n">
        <v>1</v>
      </c>
      <c r="AG158" s="4" t="n">
        <v>1</v>
      </c>
      <c r="AH158" s="4" t="n">
        <v>1</v>
      </c>
      <c r="AI158" s="4" t="n">
        <v>1</v>
      </c>
    </row>
    <row r="159">
      <c r="A159" s="4" t="inlineStr">
        <is>
          <t>G158</t>
        </is>
      </c>
      <c r="B159" s="8" t="inlineStr">
        <is>
          <t>US6956085B2</t>
        </is>
      </c>
      <c r="C159" s="8" t="inlineStr">
        <is>
          <t>3M Innovative Properties Co</t>
        </is>
      </c>
      <c r="D159" s="8" t="inlineStr">
        <is>
          <t>Example 1</t>
        </is>
      </c>
      <c r="E159" s="8" t="inlineStr">
        <is>
          <t>FFKM</t>
        </is>
      </c>
      <c r="F159" s="8" t="inlineStr">
        <is>
          <t>Perfluoroelastomer B: TFE/PMVE/MV5CN 66.8/32.0/1.2 mol%</t>
        </is>
      </c>
      <c r="G159" s="8" t="inlineStr">
        <is>
          <t>nitrile_other</t>
        </is>
      </c>
      <c r="H159" s="8" t="n">
        <v>100</v>
      </c>
      <c r="I159" s="8" t="n">
        <v>0</v>
      </c>
      <c r="J159" s="8" t="n">
        <v>1.5</v>
      </c>
      <c r="K159" s="8" t="n">
        <v>0</v>
      </c>
      <c r="L159" s="8" t="n">
        <v>40</v>
      </c>
      <c r="M159" s="8" t="n">
        <v>4</v>
      </c>
      <c r="N159" s="8" t="n">
        <v>0</v>
      </c>
      <c r="O159" s="8" t="n">
        <v>0</v>
      </c>
      <c r="P159" s="8" t="n">
        <v>0</v>
      </c>
      <c r="Q159" s="8" t="n">
        <v>0</v>
      </c>
      <c r="R159" s="8" t="n">
        <v>0</v>
      </c>
      <c r="S159" s="8" t="n">
        <v>0.8</v>
      </c>
      <c r="T159" s="8" t="n">
        <v>0</v>
      </c>
      <c r="U159" s="8" t="n">
        <v>0</v>
      </c>
      <c r="V159" s="8" t="n">
        <v>0</v>
      </c>
      <c r="W159" s="8" t="n">
        <v>75</v>
      </c>
      <c r="X159" s="8" t="n">
        <v>14.89</v>
      </c>
      <c r="Y159" s="8" t="n">
        <v>165</v>
      </c>
      <c r="Z159" s="8" t="n">
        <v>10.48</v>
      </c>
      <c r="AA159" s="8" t="n">
        <v>47</v>
      </c>
      <c r="AB159" s="8" t="inlineStr">
        <is>
          <t>230C x 70h, 25% deflection, O-ring 3.5 mm CS</t>
        </is>
      </c>
      <c r="AC159" s="4" t="n">
        <v>230</v>
      </c>
      <c r="AD159" s="4">
        <f>I159+J159+K159+L159+M159+N159+O159+P159</f>
        <v/>
      </c>
      <c r="AE159" s="4" t="n">
        <v>1</v>
      </c>
      <c r="AF159" s="4" t="n">
        <v>1</v>
      </c>
      <c r="AG159" s="4" t="n">
        <v>1</v>
      </c>
      <c r="AH159" s="4" t="n">
        <v>1</v>
      </c>
      <c r="AI159" s="4" t="n">
        <v>1</v>
      </c>
    </row>
    <row r="160">
      <c r="A160" s="4" t="inlineStr">
        <is>
          <t>G159</t>
        </is>
      </c>
      <c r="B160" s="8" t="inlineStr">
        <is>
          <t>US6956085B2</t>
        </is>
      </c>
      <c r="C160" s="8" t="inlineStr">
        <is>
          <t>3M Innovative Properties Co</t>
        </is>
      </c>
      <c r="D160" s="8" t="inlineStr">
        <is>
          <t>Example 2</t>
        </is>
      </c>
      <c r="E160" s="8" t="inlineStr">
        <is>
          <t>FFKM</t>
        </is>
      </c>
      <c r="F160" s="8" t="inlineStr">
        <is>
          <t>Perfluoroelastomer B: TFE/PMVE/MV5CN 66.8/32.0/1.2 mol%</t>
        </is>
      </c>
      <c r="G160" s="8" t="inlineStr">
        <is>
          <t>nitrile_other</t>
        </is>
      </c>
      <c r="H160" s="8" t="n">
        <v>100</v>
      </c>
      <c r="I160" s="8" t="n">
        <v>0</v>
      </c>
      <c r="J160" s="8" t="n">
        <v>1.5</v>
      </c>
      <c r="K160" s="8" t="n">
        <v>0</v>
      </c>
      <c r="L160" s="8" t="n">
        <v>40</v>
      </c>
      <c r="M160" s="8" t="n">
        <v>4</v>
      </c>
      <c r="N160" s="8" t="n">
        <v>0</v>
      </c>
      <c r="O160" s="8" t="n">
        <v>0</v>
      </c>
      <c r="P160" s="8" t="n">
        <v>0</v>
      </c>
      <c r="Q160" s="8" t="n">
        <v>0</v>
      </c>
      <c r="R160" s="8" t="n">
        <v>0</v>
      </c>
      <c r="S160" s="8" t="n">
        <v>0.5</v>
      </c>
      <c r="T160" s="8" t="n">
        <v>0</v>
      </c>
      <c r="U160" s="8" t="n">
        <v>0</v>
      </c>
      <c r="V160" s="8" t="n">
        <v>0</v>
      </c>
      <c r="W160" s="8" t="n">
        <v>75</v>
      </c>
      <c r="X160" s="8" t="n">
        <v>16.31</v>
      </c>
      <c r="Y160" s="8" t="n">
        <v>200</v>
      </c>
      <c r="Z160" s="8" t="n">
        <v>8.27</v>
      </c>
      <c r="AA160" s="8" t="n">
        <v>59</v>
      </c>
      <c r="AB160" s="8" t="inlineStr">
        <is>
          <t>230C x 70h, 25% deflection, O-ring 3.5 mm CS</t>
        </is>
      </c>
      <c r="AC160" s="4" t="n">
        <v>230</v>
      </c>
      <c r="AD160" s="4">
        <f>I160+J160+K160+L160+M160+N160+O160+P160</f>
        <v/>
      </c>
      <c r="AE160" s="4" t="n">
        <v>1</v>
      </c>
      <c r="AF160" s="4" t="n">
        <v>1</v>
      </c>
      <c r="AG160" s="4" t="n">
        <v>1</v>
      </c>
      <c r="AH160" s="4" t="n">
        <v>1</v>
      </c>
      <c r="AI160" s="4" t="n">
        <v>1</v>
      </c>
    </row>
    <row r="161">
      <c r="A161" s="4" t="inlineStr">
        <is>
          <t>G160</t>
        </is>
      </c>
      <c r="B161" s="8" t="inlineStr">
        <is>
          <t>US6956085B2</t>
        </is>
      </c>
      <c r="C161" s="8" t="inlineStr">
        <is>
          <t>3M Innovative Properties Co</t>
        </is>
      </c>
      <c r="D161" s="8" t="inlineStr">
        <is>
          <t>Example 3</t>
        </is>
      </c>
      <c r="E161" s="8" t="inlineStr">
        <is>
          <t>FFKM</t>
        </is>
      </c>
      <c r="F161" s="8" t="inlineStr">
        <is>
          <t>Perfluoroelastomer B: TFE/PMVE/MV5CN 66.8/32.0/1.2 mol%</t>
        </is>
      </c>
      <c r="G161" s="8" t="inlineStr">
        <is>
          <t>nitrile_other</t>
        </is>
      </c>
      <c r="H161" s="8" t="n">
        <v>100</v>
      </c>
      <c r="I161" s="8" t="n">
        <v>0</v>
      </c>
      <c r="J161" s="8" t="n">
        <v>1.5</v>
      </c>
      <c r="K161" s="8" t="n">
        <v>0</v>
      </c>
      <c r="L161" s="8" t="n">
        <v>40</v>
      </c>
      <c r="M161" s="8" t="n">
        <v>4</v>
      </c>
      <c r="N161" s="8" t="n">
        <v>0</v>
      </c>
      <c r="O161" s="8" t="n">
        <v>0</v>
      </c>
      <c r="P161" s="8" t="n">
        <v>0</v>
      </c>
      <c r="Q161" s="8" t="n">
        <v>0</v>
      </c>
      <c r="R161" s="8" t="n">
        <v>0</v>
      </c>
      <c r="S161" s="8" t="n">
        <v>1</v>
      </c>
      <c r="T161" s="8" t="n">
        <v>0</v>
      </c>
      <c r="U161" s="8" t="n">
        <v>0</v>
      </c>
      <c r="V161" s="8" t="n">
        <v>0</v>
      </c>
      <c r="W161" s="8" t="n">
        <v>75</v>
      </c>
      <c r="X161" s="8" t="n">
        <v>13.65</v>
      </c>
      <c r="Y161" s="8" t="n">
        <v>190</v>
      </c>
      <c r="Z161" s="8" t="n">
        <v>7.58</v>
      </c>
      <c r="AA161" s="8" t="n">
        <v>70</v>
      </c>
      <c r="AB161" s="8" t="inlineStr">
        <is>
          <t>230C x 70h, 25% deflection, O-ring 3.5 mm CS</t>
        </is>
      </c>
      <c r="AC161" s="4" t="n">
        <v>230</v>
      </c>
      <c r="AD161" s="4">
        <f>I161+J161+K161+L161+M161+N161+O161+P161</f>
        <v/>
      </c>
      <c r="AE161" s="4" t="n">
        <v>1</v>
      </c>
      <c r="AF161" s="4" t="n">
        <v>1</v>
      </c>
      <c r="AG161" s="4" t="n">
        <v>1</v>
      </c>
      <c r="AH161" s="4" t="n">
        <v>1</v>
      </c>
      <c r="AI161" s="4" t="n">
        <v>1</v>
      </c>
    </row>
    <row r="162">
      <c r="A162" s="4" t="inlineStr">
        <is>
          <t>G161</t>
        </is>
      </c>
      <c r="B162" s="8" t="inlineStr">
        <is>
          <t>US6956085B2</t>
        </is>
      </c>
      <c r="C162" s="8" t="inlineStr">
        <is>
          <t>3M Innovative Properties Co</t>
        </is>
      </c>
      <c r="D162" s="8" t="inlineStr">
        <is>
          <t>Example 4</t>
        </is>
      </c>
      <c r="E162" s="8" t="inlineStr">
        <is>
          <t>FFKM</t>
        </is>
      </c>
      <c r="F162" s="8" t="inlineStr">
        <is>
          <t>Perfluoroelastomer B: TFE/PMVE/MV5CN 66.8/32.0/1.2 mol%</t>
        </is>
      </c>
      <c r="G162" s="8" t="inlineStr">
        <is>
          <t>nitrile_other</t>
        </is>
      </c>
      <c r="H162" s="8" t="n">
        <v>100</v>
      </c>
      <c r="I162" s="8" t="n">
        <v>0</v>
      </c>
      <c r="J162" s="8" t="n">
        <v>1.5</v>
      </c>
      <c r="K162" s="8" t="n">
        <v>0</v>
      </c>
      <c r="L162" s="8" t="n">
        <v>40</v>
      </c>
      <c r="M162" s="8" t="n">
        <v>4</v>
      </c>
      <c r="N162" s="8" t="n">
        <v>0</v>
      </c>
      <c r="O162" s="8" t="n">
        <v>0</v>
      </c>
      <c r="P162" s="8" t="n">
        <v>0</v>
      </c>
      <c r="Q162" s="8" t="n">
        <v>0</v>
      </c>
      <c r="R162" s="8" t="n">
        <v>0</v>
      </c>
      <c r="S162" s="8" t="n">
        <v>0.5</v>
      </c>
      <c r="T162" s="8" t="n">
        <v>0</v>
      </c>
      <c r="U162" s="8" t="n">
        <v>0</v>
      </c>
      <c r="V162" s="8" t="n">
        <v>0</v>
      </c>
      <c r="W162" s="8" t="n">
        <v>75</v>
      </c>
      <c r="X162" s="8" t="n">
        <v>15.79</v>
      </c>
      <c r="Y162" s="8" t="n">
        <v>180</v>
      </c>
      <c r="Z162" s="8" t="n">
        <v>9.449999999999999</v>
      </c>
      <c r="AA162" s="8" t="n">
        <v>58</v>
      </c>
      <c r="AB162" s="8" t="inlineStr">
        <is>
          <t>230C x 70h, 25% deflection, O-ring 3.5 mm CS</t>
        </is>
      </c>
      <c r="AC162" s="4" t="n">
        <v>230</v>
      </c>
      <c r="AD162" s="4">
        <f>I162+J162+K162+L162+M162+N162+O162+P162</f>
        <v/>
      </c>
      <c r="AE162" s="4" t="n">
        <v>1</v>
      </c>
      <c r="AF162" s="4" t="n">
        <v>1</v>
      </c>
      <c r="AG162" s="4" t="n">
        <v>1</v>
      </c>
      <c r="AH162" s="4" t="n">
        <v>1</v>
      </c>
      <c r="AI162" s="4" t="n">
        <v>1</v>
      </c>
    </row>
    <row r="163">
      <c r="A163" s="4" t="inlineStr">
        <is>
          <t>G162</t>
        </is>
      </c>
      <c r="B163" s="8" t="inlineStr">
        <is>
          <t>US6956085B2</t>
        </is>
      </c>
      <c r="C163" s="8" t="inlineStr">
        <is>
          <t>3M Innovative Properties Co</t>
        </is>
      </c>
      <c r="D163" s="8" t="inlineStr">
        <is>
          <t>Example 5</t>
        </is>
      </c>
      <c r="E163" s="8" t="inlineStr">
        <is>
          <t>FFKM</t>
        </is>
      </c>
      <c r="F163" s="8" t="inlineStr">
        <is>
          <t>Perfluoroelastomer B: TFE/PMVE/MV5CN 66.8/32.0/1.2 mol%</t>
        </is>
      </c>
      <c r="G163" s="8" t="inlineStr">
        <is>
          <t>nitrile_other</t>
        </is>
      </c>
      <c r="H163" s="8" t="n">
        <v>100</v>
      </c>
      <c r="I163" s="8" t="n">
        <v>20</v>
      </c>
      <c r="J163" s="8" t="n">
        <v>0</v>
      </c>
      <c r="K163" s="8" t="n">
        <v>0</v>
      </c>
      <c r="L163" s="8" t="n">
        <v>0</v>
      </c>
      <c r="M163" s="8" t="n">
        <v>0</v>
      </c>
      <c r="N163" s="8" t="n">
        <v>0</v>
      </c>
      <c r="O163" s="8" t="n">
        <v>0</v>
      </c>
      <c r="P163" s="8" t="n">
        <v>0</v>
      </c>
      <c r="Q163" s="8" t="n">
        <v>0</v>
      </c>
      <c r="R163" s="8" t="n">
        <v>0</v>
      </c>
      <c r="S163" s="8" t="n">
        <v>0.4</v>
      </c>
      <c r="T163" s="8" t="n">
        <v>0</v>
      </c>
      <c r="U163" s="8" t="n">
        <v>0</v>
      </c>
      <c r="V163" s="8" t="n">
        <v>0</v>
      </c>
      <c r="W163" s="8" t="n">
        <v>69</v>
      </c>
      <c r="X163" s="8" t="n">
        <v>18.39</v>
      </c>
      <c r="Y163" s="8" t="n">
        <v>202</v>
      </c>
      <c r="Z163" s="8" t="n">
        <v>5.05</v>
      </c>
      <c r="AA163" s="8" t="n">
        <v>22</v>
      </c>
      <c r="AB163" s="8" t="inlineStr">
        <is>
          <t>230C x 70h, 25% deflection, O-ring 3.5 mm CS</t>
        </is>
      </c>
      <c r="AC163" s="4" t="n">
        <v>230</v>
      </c>
      <c r="AD163" s="4">
        <f>I163+J163+K163+L163+M163+N163+O163+P163</f>
        <v/>
      </c>
      <c r="AE163" s="4" t="n">
        <v>1</v>
      </c>
      <c r="AF163" s="4" t="n">
        <v>1</v>
      </c>
      <c r="AG163" s="4" t="n">
        <v>1</v>
      </c>
      <c r="AH163" s="4" t="n">
        <v>1</v>
      </c>
      <c r="AI163" s="4" t="n">
        <v>1</v>
      </c>
    </row>
    <row r="164">
      <c r="A164" s="4" t="inlineStr">
        <is>
          <t>G163</t>
        </is>
      </c>
      <c r="B164" s="8" t="inlineStr">
        <is>
          <t>US6956085B2</t>
        </is>
      </c>
      <c r="C164" s="8" t="inlineStr">
        <is>
          <t>3M Innovative Properties Co</t>
        </is>
      </c>
      <c r="D164" s="8" t="inlineStr">
        <is>
          <t>Example 6</t>
        </is>
      </c>
      <c r="E164" s="8" t="inlineStr">
        <is>
          <t>FFKM</t>
        </is>
      </c>
      <c r="F164" s="8" t="inlineStr">
        <is>
          <t>Perfluoroelastomer A: TFE/PMVE/MV5CN 66.2/33.0/0.8 mol%</t>
        </is>
      </c>
      <c r="G164" s="8" t="inlineStr">
        <is>
          <t>nitrile_other</t>
        </is>
      </c>
      <c r="H164" s="8" t="n">
        <v>100</v>
      </c>
      <c r="I164" s="8" t="n">
        <v>15</v>
      </c>
      <c r="J164" s="8" t="n">
        <v>0</v>
      </c>
      <c r="K164" s="8" t="n">
        <v>0</v>
      </c>
      <c r="L164" s="8" t="n">
        <v>0</v>
      </c>
      <c r="M164" s="8" t="n">
        <v>0</v>
      </c>
      <c r="N164" s="8" t="n">
        <v>0</v>
      </c>
      <c r="O164" s="8" t="n">
        <v>0</v>
      </c>
      <c r="P164" s="8" t="n">
        <v>0</v>
      </c>
      <c r="Q164" s="8" t="n">
        <v>0</v>
      </c>
      <c r="R164" s="8" t="n">
        <v>0</v>
      </c>
      <c r="S164" s="8" t="n">
        <v>2</v>
      </c>
      <c r="T164" s="8" t="n">
        <v>0</v>
      </c>
      <c r="U164" s="8" t="n">
        <v>0</v>
      </c>
      <c r="V164" s="8" t="n">
        <v>0</v>
      </c>
      <c r="W164" s="8" t="n">
        <v>67</v>
      </c>
      <c r="X164" s="8" t="n">
        <v>15.03</v>
      </c>
      <c r="Y164" s="8" t="n">
        <v>217</v>
      </c>
      <c r="Z164" s="8" t="n">
        <v>4.14</v>
      </c>
      <c r="AA164" s="8" t="n">
        <v>45.3</v>
      </c>
      <c r="AB164" s="8" t="inlineStr">
        <is>
          <t>200C x 96h, 25% deflection, O-ring 3.5 mm CS</t>
        </is>
      </c>
      <c r="AC164" s="4" t="n">
        <v>200</v>
      </c>
      <c r="AD164" s="4">
        <f>I164+J164+K164+L164+M164+N164+O164+P164</f>
        <v/>
      </c>
      <c r="AE164" s="4" t="n">
        <v>1</v>
      </c>
      <c r="AF164" s="4" t="n">
        <v>1</v>
      </c>
      <c r="AG164" s="4" t="n">
        <v>1</v>
      </c>
      <c r="AH164" s="4" t="n">
        <v>1</v>
      </c>
      <c r="AI164" s="4" t="n">
        <v>1</v>
      </c>
    </row>
    <row r="165">
      <c r="A165" s="4" t="inlineStr">
        <is>
          <t>G164</t>
        </is>
      </c>
      <c r="B165" s="8" t="inlineStr">
        <is>
          <t>US20050107544A1</t>
        </is>
      </c>
      <c r="C165" s="8" t="inlineStr">
        <is>
          <t>DuPont Dow Elastomers LLC</t>
        </is>
      </c>
      <c r="D165" s="8" t="inlineStr">
        <is>
          <t>Sample 1</t>
        </is>
      </c>
      <c r="E165" s="8" t="inlineStr">
        <is>
          <t>FFKM</t>
        </is>
      </c>
      <c r="F165" s="8" t="inlineStr">
        <is>
          <t>Fluoroelastomer 1: TFE/PMVE/8-CNVE 68.2/31.0/0.80 mol%</t>
        </is>
      </c>
      <c r="G165" s="8" t="inlineStr">
        <is>
          <t>nitrile_bisaminophenol</t>
        </is>
      </c>
      <c r="H165" s="8" t="n">
        <v>100</v>
      </c>
      <c r="I165" s="8" t="n">
        <v>0</v>
      </c>
      <c r="J165" s="8" t="n">
        <v>0</v>
      </c>
      <c r="K165" s="8" t="n">
        <v>0</v>
      </c>
      <c r="L165" s="8" t="n">
        <v>10</v>
      </c>
      <c r="M165" s="8" t="n">
        <v>0</v>
      </c>
      <c r="N165" s="8" t="n">
        <v>0</v>
      </c>
      <c r="O165" s="8" t="n">
        <v>0</v>
      </c>
      <c r="P165" s="8" t="n">
        <v>0</v>
      </c>
      <c r="Q165" s="8" t="n">
        <v>0</v>
      </c>
      <c r="R165" s="8" t="n">
        <v>0</v>
      </c>
      <c r="S165" s="8" t="n">
        <v>1.75</v>
      </c>
      <c r="T165" s="8" t="n">
        <v>0</v>
      </c>
      <c r="U165" s="8" t="n">
        <v>0</v>
      </c>
      <c r="V165" s="8" t="n">
        <v>0</v>
      </c>
      <c r="W165" s="8" t="n">
        <v>66</v>
      </c>
      <c r="X165" s="8" t="n">
        <v>10.1</v>
      </c>
      <c r="Y165" s="8" t="n">
        <v>161</v>
      </c>
      <c r="Z165" s="8" t="n">
        <v>1.6</v>
      </c>
      <c r="AA165" s="8" t="n">
        <v>18</v>
      </c>
      <c r="AB165" s="8" t="inlineStr">
        <is>
          <t>204C x 70h, K214 O-ring, ASTM D1414</t>
        </is>
      </c>
      <c r="AC165" s="4" t="n">
        <v>204</v>
      </c>
      <c r="AD165" s="4">
        <f>I165+J165+K165+L165+M165+N165+O165+P165</f>
        <v/>
      </c>
      <c r="AE165" s="4" t="n">
        <v>1</v>
      </c>
      <c r="AF165" s="4" t="n">
        <v>1</v>
      </c>
      <c r="AG165" s="4" t="n">
        <v>1</v>
      </c>
      <c r="AH165" s="4" t="n">
        <v>1</v>
      </c>
      <c r="AI165" s="4" t="n">
        <v>1</v>
      </c>
    </row>
    <row r="166">
      <c r="A166" s="4" t="inlineStr">
        <is>
          <t>G165</t>
        </is>
      </c>
      <c r="B166" s="8" t="inlineStr">
        <is>
          <t>US20050107544A1</t>
        </is>
      </c>
      <c r="C166" s="8" t="inlineStr">
        <is>
          <t>DuPont Dow Elastomers LLC</t>
        </is>
      </c>
      <c r="D166" s="8" t="inlineStr">
        <is>
          <t>Sample 2</t>
        </is>
      </c>
      <c r="E166" s="8" t="inlineStr">
        <is>
          <t>FFKM</t>
        </is>
      </c>
      <c r="F166" s="8" t="inlineStr">
        <is>
          <t>Fluoroelastomer 1: TFE/PMVE/8-CNVE 68.2/31.0/0.80 mol%</t>
        </is>
      </c>
      <c r="G166" s="8" t="inlineStr">
        <is>
          <t>nitrile_bisaminophenol</t>
        </is>
      </c>
      <c r="H166" s="8" t="n">
        <v>100</v>
      </c>
      <c r="I166" s="8" t="n">
        <v>0</v>
      </c>
      <c r="J166" s="8" t="n">
        <v>0</v>
      </c>
      <c r="K166" s="8" t="n">
        <v>0</v>
      </c>
      <c r="L166" s="8" t="n">
        <v>10</v>
      </c>
      <c r="M166" s="8" t="n">
        <v>0</v>
      </c>
      <c r="N166" s="8" t="n">
        <v>0</v>
      </c>
      <c r="O166" s="8" t="n">
        <v>0</v>
      </c>
      <c r="P166" s="8" t="n">
        <v>0</v>
      </c>
      <c r="Q166" s="8" t="n">
        <v>0</v>
      </c>
      <c r="R166" s="8" t="n">
        <v>0</v>
      </c>
      <c r="S166" s="8" t="n">
        <v>1.75</v>
      </c>
      <c r="T166" s="8" t="n">
        <v>0</v>
      </c>
      <c r="U166" s="8" t="n">
        <v>0</v>
      </c>
      <c r="V166" s="8" t="n">
        <v>0</v>
      </c>
      <c r="W166" s="8" t="n">
        <v>66</v>
      </c>
      <c r="X166" s="8" t="n">
        <v>9.1</v>
      </c>
      <c r="Y166" s="8" t="n">
        <v>195</v>
      </c>
      <c r="Z166" s="8" t="n">
        <v>1.8</v>
      </c>
      <c r="AA166" s="8" t="n">
        <v>21</v>
      </c>
      <c r="AB166" s="8" t="inlineStr">
        <is>
          <t>204C x 70h, K214 O-ring, ASTM D1414</t>
        </is>
      </c>
      <c r="AC166" s="4" t="n">
        <v>204</v>
      </c>
      <c r="AD166" s="4">
        <f>I166+J166+K166+L166+M166+N166+O166+P166</f>
        <v/>
      </c>
      <c r="AE166" s="4" t="n">
        <v>1</v>
      </c>
      <c r="AF166" s="4" t="n">
        <v>1</v>
      </c>
      <c r="AG166" s="4" t="n">
        <v>1</v>
      </c>
      <c r="AH166" s="4" t="n">
        <v>1</v>
      </c>
      <c r="AI166" s="4" t="n">
        <v>1</v>
      </c>
    </row>
    <row r="167">
      <c r="A167" s="4" t="inlineStr">
        <is>
          <t>G166</t>
        </is>
      </c>
      <c r="B167" s="8" t="inlineStr">
        <is>
          <t>US20050107544A1</t>
        </is>
      </c>
      <c r="C167" s="8" t="inlineStr">
        <is>
          <t>DuPont Dow Elastomers LLC</t>
        </is>
      </c>
      <c r="D167" s="8" t="inlineStr">
        <is>
          <t>Sample 3</t>
        </is>
      </c>
      <c r="E167" s="8" t="inlineStr">
        <is>
          <t>FFKM</t>
        </is>
      </c>
      <c r="F167" s="8" t="inlineStr">
        <is>
          <t>Fluoroelastomer 1: TFE/PMVE/8-CNVE 68.2/31.0/0.80 mol%</t>
        </is>
      </c>
      <c r="G167" s="8" t="inlineStr">
        <is>
          <t>nitrile_triazine</t>
        </is>
      </c>
      <c r="H167" s="8" t="n">
        <v>100</v>
      </c>
      <c r="I167" s="8" t="n">
        <v>0</v>
      </c>
      <c r="J167" s="8" t="n">
        <v>0</v>
      </c>
      <c r="K167" s="8" t="n">
        <v>0</v>
      </c>
      <c r="L167" s="8" t="n">
        <v>10</v>
      </c>
      <c r="M167" s="8" t="n">
        <v>0</v>
      </c>
      <c r="N167" s="8" t="n">
        <v>0</v>
      </c>
      <c r="O167" s="8" t="n">
        <v>0</v>
      </c>
      <c r="P167" s="8" t="n">
        <v>0</v>
      </c>
      <c r="Q167" s="8" t="n">
        <v>0</v>
      </c>
      <c r="R167" s="8" t="n">
        <v>0</v>
      </c>
      <c r="S167" s="8" t="n">
        <v>0.3</v>
      </c>
      <c r="T167" s="8" t="n">
        <v>0</v>
      </c>
      <c r="U167" s="8" t="n">
        <v>0</v>
      </c>
      <c r="V167" s="8" t="n">
        <v>0</v>
      </c>
      <c r="W167" s="8" t="n">
        <v>65</v>
      </c>
      <c r="X167" s="8" t="n">
        <v>6.2</v>
      </c>
      <c r="Y167" s="8" t="n">
        <v>214</v>
      </c>
      <c r="Z167" s="8" t="n">
        <v>1.8</v>
      </c>
      <c r="AA167" s="8" t="n">
        <v>33</v>
      </c>
      <c r="AB167" s="8" t="inlineStr">
        <is>
          <t>204C x 70h, K214 O-ring, ASTM D1414</t>
        </is>
      </c>
      <c r="AC167" s="4" t="n">
        <v>204</v>
      </c>
      <c r="AD167" s="4">
        <f>I167+J167+K167+L167+M167+N167+O167+P167</f>
        <v/>
      </c>
      <c r="AE167" s="4" t="n">
        <v>1</v>
      </c>
      <c r="AF167" s="4" t="n">
        <v>1</v>
      </c>
      <c r="AG167" s="4" t="n">
        <v>1</v>
      </c>
      <c r="AH167" s="4" t="n">
        <v>1</v>
      </c>
      <c r="AI167" s="4" t="n">
        <v>1</v>
      </c>
    </row>
    <row r="168">
      <c r="A168" s="4" t="inlineStr">
        <is>
          <t>G167</t>
        </is>
      </c>
      <c r="B168" s="8" t="inlineStr">
        <is>
          <t>US20050107544A1</t>
        </is>
      </c>
      <c r="C168" s="8" t="inlineStr">
        <is>
          <t>DuPont Dow Elastomers LLC</t>
        </is>
      </c>
      <c r="D168" s="8" t="inlineStr">
        <is>
          <t>Sample 4</t>
        </is>
      </c>
      <c r="E168" s="8" t="inlineStr">
        <is>
          <t>FFKM</t>
        </is>
      </c>
      <c r="F168" s="8" t="inlineStr">
        <is>
          <t>Fluoroelastomer 1: TFE/PMVE/8-CNVE 68.2/31.0/0.80 mol%</t>
        </is>
      </c>
      <c r="G168" s="8" t="inlineStr">
        <is>
          <t>nitrile_bisaminophenol</t>
        </is>
      </c>
      <c r="H168" s="8" t="n">
        <v>100</v>
      </c>
      <c r="I168" s="8" t="n">
        <v>0</v>
      </c>
      <c r="J168" s="8" t="n">
        <v>0</v>
      </c>
      <c r="K168" s="8" t="n">
        <v>0</v>
      </c>
      <c r="L168" s="8" t="n">
        <v>18</v>
      </c>
      <c r="M168" s="8" t="n">
        <v>0</v>
      </c>
      <c r="N168" s="8" t="n">
        <v>0</v>
      </c>
      <c r="O168" s="8" t="n">
        <v>0</v>
      </c>
      <c r="P168" s="8" t="n">
        <v>0</v>
      </c>
      <c r="Q168" s="8" t="n">
        <v>0</v>
      </c>
      <c r="R168" s="8" t="n">
        <v>0</v>
      </c>
      <c r="S168" s="8" t="n">
        <v>1.75</v>
      </c>
      <c r="T168" s="8" t="n">
        <v>0.1</v>
      </c>
      <c r="U168" s="8" t="n">
        <v>0</v>
      </c>
      <c r="V168" s="8" t="n">
        <v>0</v>
      </c>
      <c r="W168" s="8" t="n">
        <v>70</v>
      </c>
      <c r="X168" s="8" t="n">
        <v>6.4</v>
      </c>
      <c r="Y168" s="8" t="n">
        <v>185</v>
      </c>
      <c r="Z168" s="8" t="n">
        <v>2.9</v>
      </c>
      <c r="AA168" s="8" t="n">
        <v>18</v>
      </c>
      <c r="AB168" s="8" t="inlineStr">
        <is>
          <t>204C x 70h, K214 O-ring, ASTM D1414</t>
        </is>
      </c>
      <c r="AC168" s="4" t="n">
        <v>204</v>
      </c>
      <c r="AD168" s="4">
        <f>I168+J168+K168+L168+M168+N168+O168+P168</f>
        <v/>
      </c>
      <c r="AE168" s="4" t="n">
        <v>1</v>
      </c>
      <c r="AF168" s="4" t="n">
        <v>1</v>
      </c>
      <c r="AG168" s="4" t="n">
        <v>1</v>
      </c>
      <c r="AH168" s="4" t="n">
        <v>1</v>
      </c>
      <c r="AI168" s="4" t="n">
        <v>1</v>
      </c>
    </row>
    <row r="169">
      <c r="A169" s="4" t="inlineStr">
        <is>
          <t>G168</t>
        </is>
      </c>
      <c r="B169" s="8" t="inlineStr">
        <is>
          <t>US20050107544A1</t>
        </is>
      </c>
      <c r="C169" s="8" t="inlineStr">
        <is>
          <t>DuPont Dow Elastomers LLC</t>
        </is>
      </c>
      <c r="D169" s="8" t="inlineStr">
        <is>
          <t>Sample 5</t>
        </is>
      </c>
      <c r="E169" s="8" t="inlineStr">
        <is>
          <t>FFKM</t>
        </is>
      </c>
      <c r="F169" s="8" t="inlineStr">
        <is>
          <t>Fluoroelastomer 1: TFE/PMVE/8-CNVE 68.2/31.0/0.80 mol%</t>
        </is>
      </c>
      <c r="G169" s="8" t="inlineStr">
        <is>
          <t>peroxide</t>
        </is>
      </c>
      <c r="H169" s="8" t="n">
        <v>100</v>
      </c>
      <c r="I169" s="8" t="n">
        <v>0</v>
      </c>
      <c r="J169" s="8" t="n">
        <v>0</v>
      </c>
      <c r="K169" s="8" t="n">
        <v>0</v>
      </c>
      <c r="L169" s="8" t="n">
        <v>20</v>
      </c>
      <c r="M169" s="8" t="n">
        <v>0</v>
      </c>
      <c r="N169" s="8" t="n">
        <v>0</v>
      </c>
      <c r="O169" s="8" t="n">
        <v>0</v>
      </c>
      <c r="P169" s="8" t="n">
        <v>0</v>
      </c>
      <c r="Q169" s="8" t="n">
        <v>2</v>
      </c>
      <c r="R169" s="8" t="n">
        <v>3</v>
      </c>
      <c r="S169" s="8" t="n">
        <v>0</v>
      </c>
      <c r="T169" s="8" t="n">
        <v>0</v>
      </c>
      <c r="U169" s="8" t="n">
        <v>0</v>
      </c>
      <c r="V169" s="8" t="n">
        <v>0</v>
      </c>
      <c r="W169" s="8" t="n">
        <v>74</v>
      </c>
      <c r="X169" s="8" t="n">
        <v>9.6</v>
      </c>
      <c r="Y169" s="8" t="n">
        <v>195</v>
      </c>
      <c r="Z169" s="8" t="n">
        <v>3.4</v>
      </c>
      <c r="AA169" s="8" t="n">
        <v>33</v>
      </c>
      <c r="AB169" s="8" t="inlineStr">
        <is>
          <t>204C x 70h, K214 O-ring, ASTM D1414</t>
        </is>
      </c>
      <c r="AC169" s="4" t="n">
        <v>204</v>
      </c>
      <c r="AD169" s="4">
        <f>I169+J169+K169+L169+M169+N169+O169+P169</f>
        <v/>
      </c>
      <c r="AE169" s="4" t="n">
        <v>1</v>
      </c>
      <c r="AF169" s="4" t="n">
        <v>1</v>
      </c>
      <c r="AG169" s="4" t="n">
        <v>1</v>
      </c>
      <c r="AH169" s="4" t="n">
        <v>1</v>
      </c>
      <c r="AI169" s="4" t="n">
        <v>1</v>
      </c>
    </row>
    <row r="170">
      <c r="A170" s="4" t="inlineStr">
        <is>
          <t>G169</t>
        </is>
      </c>
      <c r="B170" s="8" t="inlineStr">
        <is>
          <t>US20050107544A1</t>
        </is>
      </c>
      <c r="C170" s="8" t="inlineStr">
        <is>
          <t>DuPont Dow Elastomers LLC</t>
        </is>
      </c>
      <c r="D170" s="8" t="inlineStr">
        <is>
          <t>Comparative Example A</t>
        </is>
      </c>
      <c r="E170" s="8" t="inlineStr">
        <is>
          <t>FFKM</t>
        </is>
      </c>
      <c r="F170" s="8" t="inlineStr">
        <is>
          <t>Fluoroelastomer 1: TFE/PMVE/8-CNVE 68.2/31.0/0.80 mol%</t>
        </is>
      </c>
      <c r="G170" s="8" t="inlineStr">
        <is>
          <t>nitrile_bisaminophenol</t>
        </is>
      </c>
      <c r="H170" s="8" t="n">
        <v>100</v>
      </c>
      <c r="I170" s="8" t="n">
        <v>0</v>
      </c>
      <c r="J170" s="8" t="n">
        <v>0</v>
      </c>
      <c r="K170" s="8" t="n">
        <v>0</v>
      </c>
      <c r="L170" s="8" t="n">
        <v>10</v>
      </c>
      <c r="M170" s="8" t="n">
        <v>0</v>
      </c>
      <c r="N170" s="8" t="n">
        <v>0</v>
      </c>
      <c r="O170" s="8" t="n">
        <v>0</v>
      </c>
      <c r="P170" s="8" t="n">
        <v>0</v>
      </c>
      <c r="Q170" s="8" t="n">
        <v>0</v>
      </c>
      <c r="R170" s="8" t="n">
        <v>0</v>
      </c>
      <c r="S170" s="8" t="n">
        <v>1.75</v>
      </c>
      <c r="T170" s="8" t="n">
        <v>0</v>
      </c>
      <c r="U170" s="8" t="n">
        <v>0</v>
      </c>
      <c r="V170" s="8" t="n">
        <v>0</v>
      </c>
      <c r="W170" s="8" t="n">
        <v>63</v>
      </c>
      <c r="X170" s="8" t="n">
        <v>6.3</v>
      </c>
      <c r="Y170" s="8" t="n">
        <v>161</v>
      </c>
      <c r="Z170" s="8" t="n">
        <v>1.4</v>
      </c>
      <c r="AA170" s="8" t="n">
        <v>13</v>
      </c>
      <c r="AB170" s="8" t="inlineStr">
        <is>
          <t>204C x 70h, K214 O-ring, ASTM D1414</t>
        </is>
      </c>
      <c r="AC170" s="4" t="n">
        <v>204</v>
      </c>
      <c r="AD170" s="4">
        <f>I170+J170+K170+L170+M170+N170+O170+P170</f>
        <v/>
      </c>
      <c r="AE170" s="4" t="n">
        <v>1</v>
      </c>
      <c r="AF170" s="4" t="n">
        <v>1</v>
      </c>
      <c r="AG170" s="4" t="n">
        <v>1</v>
      </c>
      <c r="AH170" s="4" t="n">
        <v>1</v>
      </c>
      <c r="AI170" s="4" t="n">
        <v>1</v>
      </c>
    </row>
    <row r="171">
      <c r="A171" s="4" t="inlineStr">
        <is>
          <t>G170</t>
        </is>
      </c>
      <c r="B171" s="8" t="inlineStr">
        <is>
          <t>US20050107544A1</t>
        </is>
      </c>
      <c r="C171" s="8" t="inlineStr">
        <is>
          <t>DuPont Dow Elastomers LLC</t>
        </is>
      </c>
      <c r="D171" s="8" t="inlineStr">
        <is>
          <t>Comparative Example B</t>
        </is>
      </c>
      <c r="E171" s="8" t="inlineStr">
        <is>
          <t>FFKM</t>
        </is>
      </c>
      <c r="F171" s="8" t="inlineStr">
        <is>
          <t>Fluoroelastomer 1: TFE/PMVE/8-CNVE 68.2/31.0/0.80 mol%</t>
        </is>
      </c>
      <c r="G171" s="8" t="inlineStr">
        <is>
          <t>nitrile_triazine</t>
        </is>
      </c>
      <c r="H171" s="8" t="n">
        <v>100</v>
      </c>
      <c r="I171" s="8" t="n">
        <v>0</v>
      </c>
      <c r="J171" s="8" t="n">
        <v>0</v>
      </c>
      <c r="K171" s="8" t="n">
        <v>0</v>
      </c>
      <c r="L171" s="8" t="n">
        <v>10</v>
      </c>
      <c r="M171" s="8" t="n">
        <v>0</v>
      </c>
      <c r="N171" s="8" t="n">
        <v>0</v>
      </c>
      <c r="O171" s="8" t="n">
        <v>0</v>
      </c>
      <c r="P171" s="8" t="n">
        <v>0</v>
      </c>
      <c r="Q171" s="8" t="n">
        <v>0</v>
      </c>
      <c r="R171" s="8" t="n">
        <v>0</v>
      </c>
      <c r="S171" s="8" t="n">
        <v>0.3</v>
      </c>
      <c r="T171" s="8" t="n">
        <v>0</v>
      </c>
      <c r="U171" s="8" t="n">
        <v>0</v>
      </c>
      <c r="V171" s="8" t="n">
        <v>0</v>
      </c>
      <c r="W171" s="8" t="n">
        <v>64</v>
      </c>
      <c r="X171" s="8" t="n">
        <v>5.2</v>
      </c>
      <c r="Y171" s="8" t="n">
        <v>199</v>
      </c>
      <c r="Z171" s="8" t="n">
        <v>1.4</v>
      </c>
      <c r="AA171" s="8" t="n">
        <v>21</v>
      </c>
      <c r="AB171" s="8" t="inlineStr">
        <is>
          <t>204C x 70h, K214 O-ring, ASTM D1414</t>
        </is>
      </c>
      <c r="AC171" s="4" t="n">
        <v>204</v>
      </c>
      <c r="AD171" s="4">
        <f>I171+J171+K171+L171+M171+N171+O171+P171</f>
        <v/>
      </c>
      <c r="AE171" s="4" t="n">
        <v>1</v>
      </c>
      <c r="AF171" s="4" t="n">
        <v>1</v>
      </c>
      <c r="AG171" s="4" t="n">
        <v>1</v>
      </c>
      <c r="AH171" s="4" t="n">
        <v>1</v>
      </c>
      <c r="AI171" s="4" t="n">
        <v>1</v>
      </c>
    </row>
    <row r="172">
      <c r="A172" s="4" t="inlineStr">
        <is>
          <t>G171</t>
        </is>
      </c>
      <c r="B172" s="8" t="inlineStr">
        <is>
          <t>US20050107544A1</t>
        </is>
      </c>
      <c r="C172" s="8" t="inlineStr">
        <is>
          <t>DuPont Dow Elastomers LLC</t>
        </is>
      </c>
      <c r="D172" s="8" t="inlineStr">
        <is>
          <t>Sample 6</t>
        </is>
      </c>
      <c r="E172" s="8" t="inlineStr">
        <is>
          <t>FKM</t>
        </is>
      </c>
      <c r="F172" s="8" t="inlineStr">
        <is>
          <t>Fluoroelastomer 2: VDF/PMVE/TFE/BTFB 34/38/26/2 wt%</t>
        </is>
      </c>
      <c r="G172" s="8" t="inlineStr">
        <is>
          <t>peroxide</t>
        </is>
      </c>
      <c r="H172" s="8" t="n">
        <v>100</v>
      </c>
      <c r="I172" s="8" t="n">
        <v>0</v>
      </c>
      <c r="J172" s="8" t="n">
        <v>0</v>
      </c>
      <c r="K172" s="8" t="n">
        <v>0</v>
      </c>
      <c r="L172" s="8" t="n">
        <v>20</v>
      </c>
      <c r="M172" s="8" t="n">
        <v>0</v>
      </c>
      <c r="N172" s="8" t="n">
        <v>0</v>
      </c>
      <c r="O172" s="8" t="n">
        <v>0</v>
      </c>
      <c r="P172" s="8" t="n">
        <v>0</v>
      </c>
      <c r="Q172" s="8" t="n">
        <v>4.2</v>
      </c>
      <c r="R172" s="8" t="n">
        <v>2</v>
      </c>
      <c r="S172" s="8" t="n">
        <v>0</v>
      </c>
      <c r="T172" s="8" t="n">
        <v>0</v>
      </c>
      <c r="U172" s="8" t="n">
        <v>0</v>
      </c>
      <c r="V172" s="8" t="n">
        <v>0</v>
      </c>
      <c r="W172" s="8" t="n">
        <v>66</v>
      </c>
      <c r="X172" s="8" t="n">
        <v>6.7</v>
      </c>
      <c r="Y172" s="8" t="n">
        <v>232</v>
      </c>
      <c r="Z172" s="8" t="n">
        <v>1.7</v>
      </c>
      <c r="AA172" s="8" t="n">
        <v>28</v>
      </c>
      <c r="AB172" s="8" t="inlineStr">
        <is>
          <t>204C x 70h, K214 O-ring, ASTM D1414</t>
        </is>
      </c>
      <c r="AC172" s="4" t="n">
        <v>204</v>
      </c>
      <c r="AD172" s="4">
        <f>I172+J172+K172+L172+M172+N172+O172+P172</f>
        <v/>
      </c>
      <c r="AE172" s="4" t="n">
        <v>1</v>
      </c>
      <c r="AF172" s="4" t="n">
        <v>1</v>
      </c>
      <c r="AG172" s="4" t="n">
        <v>1</v>
      </c>
      <c r="AH172" s="4" t="n">
        <v>1</v>
      </c>
      <c r="AI172" s="4" t="n">
        <v>1</v>
      </c>
    </row>
    <row r="173">
      <c r="A173" s="4" t="inlineStr">
        <is>
          <t>G172</t>
        </is>
      </c>
      <c r="B173" s="8" t="inlineStr">
        <is>
          <t>US20050107544A1</t>
        </is>
      </c>
      <c r="C173" s="8" t="inlineStr">
        <is>
          <t>DuPont Dow Elastomers LLC</t>
        </is>
      </c>
      <c r="D173" s="8" t="inlineStr">
        <is>
          <t>Comparative Example C</t>
        </is>
      </c>
      <c r="E173" s="8" t="inlineStr">
        <is>
          <t>FKM</t>
        </is>
      </c>
      <c r="F173" s="8" t="inlineStr">
        <is>
          <t>Fluoroelastomer 2: VDF/PMVE/TFE/BTFB 34/38/26/2 wt%</t>
        </is>
      </c>
      <c r="G173" s="8" t="inlineStr">
        <is>
          <t>peroxide</t>
        </is>
      </c>
      <c r="H173" s="8" t="n">
        <v>100</v>
      </c>
      <c r="I173" s="8" t="n">
        <v>0</v>
      </c>
      <c r="J173" s="8" t="n">
        <v>0</v>
      </c>
      <c r="K173" s="8" t="n">
        <v>0</v>
      </c>
      <c r="L173" s="8" t="n">
        <v>20</v>
      </c>
      <c r="M173" s="8" t="n">
        <v>0</v>
      </c>
      <c r="N173" s="8" t="n">
        <v>0</v>
      </c>
      <c r="O173" s="8" t="n">
        <v>0</v>
      </c>
      <c r="P173" s="8" t="n">
        <v>0</v>
      </c>
      <c r="Q173" s="8" t="n">
        <v>4.2</v>
      </c>
      <c r="R173" s="8" t="n">
        <v>2</v>
      </c>
      <c r="S173" s="8" t="n">
        <v>0</v>
      </c>
      <c r="T173" s="8" t="n">
        <v>0</v>
      </c>
      <c r="U173" s="8" t="n">
        <v>0</v>
      </c>
      <c r="V173" s="8" t="n">
        <v>0</v>
      </c>
      <c r="W173" s="8" t="n">
        <v>66</v>
      </c>
      <c r="X173" s="8" t="n">
        <v>5.2</v>
      </c>
      <c r="Y173" s="8" t="n">
        <v>242</v>
      </c>
      <c r="Z173" s="8" t="n">
        <v>1.6</v>
      </c>
      <c r="AA173" s="8" t="n">
        <v>32</v>
      </c>
      <c r="AB173" s="8" t="inlineStr">
        <is>
          <t>204C x 70h, K214 O-ring, ASTM D1414</t>
        </is>
      </c>
      <c r="AC173" s="4" t="n">
        <v>204</v>
      </c>
      <c r="AD173" s="4">
        <f>I173+J173+K173+L173+M173+N173+O173+P173</f>
        <v/>
      </c>
      <c r="AE173" s="4" t="n">
        <v>1</v>
      </c>
      <c r="AF173" s="4" t="n">
        <v>1</v>
      </c>
      <c r="AG173" s="4" t="n">
        <v>1</v>
      </c>
      <c r="AH173" s="4" t="n">
        <v>1</v>
      </c>
      <c r="AI173" s="4" t="n">
        <v>1</v>
      </c>
    </row>
    <row r="174">
      <c r="A174" s="4" t="inlineStr">
        <is>
          <t>G173</t>
        </is>
      </c>
      <c r="B174" s="8" t="inlineStr">
        <is>
          <t>US6191208B1</t>
        </is>
      </c>
      <c r="C174" s="8" t="inlineStr">
        <is>
          <t>DuPont Dow Elastomers LLC</t>
        </is>
      </c>
      <c r="D174" s="8" t="inlineStr">
        <is>
          <t>Comparative Example A</t>
        </is>
      </c>
      <c r="E174" s="8" t="inlineStr">
        <is>
          <t>FFKM</t>
        </is>
      </c>
      <c r="F174" s="8" t="inlineStr">
        <is>
          <t>Polymer A: TFE/PMVE/8-CNVE 67.9/31.5/0.60 mol%</t>
        </is>
      </c>
      <c r="G174" s="8" t="inlineStr">
        <is>
          <t>nitrile_organotin</t>
        </is>
      </c>
      <c r="H174" s="8" t="n">
        <v>100</v>
      </c>
      <c r="I174" s="8" t="n">
        <v>12</v>
      </c>
      <c r="J174" s="8" t="n">
        <v>0</v>
      </c>
      <c r="K174" s="8" t="n">
        <v>0</v>
      </c>
      <c r="L174" s="8" t="n">
        <v>0</v>
      </c>
      <c r="M174" s="8" t="n">
        <v>0</v>
      </c>
      <c r="N174" s="8" t="n">
        <v>0</v>
      </c>
      <c r="O174" s="8" t="n">
        <v>0</v>
      </c>
      <c r="P174" s="8" t="n">
        <v>0</v>
      </c>
      <c r="Q174" s="8" t="n">
        <v>0</v>
      </c>
      <c r="R174" s="8" t="n">
        <v>0</v>
      </c>
      <c r="S174" s="8" t="n">
        <v>3</v>
      </c>
      <c r="T174" s="8" t="n">
        <v>0.3</v>
      </c>
      <c r="U174" s="8" t="n">
        <v>0</v>
      </c>
      <c r="V174" s="8" t="n">
        <v>0</v>
      </c>
      <c r="W174" s="8" t="n"/>
      <c r="X174" s="8" t="n">
        <v>14.3</v>
      </c>
      <c r="Y174" s="8" t="n">
        <v>145</v>
      </c>
      <c r="Z174" s="8" t="n">
        <v>6.6</v>
      </c>
      <c r="AA174" s="8" t="n">
        <v>47.6</v>
      </c>
      <c r="AB174" s="8" t="inlineStr">
        <is>
          <t>200C x 336h, O-ring, ASTM D395</t>
        </is>
      </c>
      <c r="AC174" s="4" t="n">
        <v>200</v>
      </c>
      <c r="AD174" s="4">
        <f>I174+J174+K174+L174+M174+N174+O174+P174</f>
        <v/>
      </c>
      <c r="AE174" s="4" t="n">
        <v>0</v>
      </c>
      <c r="AF174" s="4" t="n">
        <v>1</v>
      </c>
      <c r="AG174" s="4" t="n">
        <v>1</v>
      </c>
      <c r="AH174" s="4" t="n">
        <v>1</v>
      </c>
      <c r="AI174" s="4" t="n">
        <v>0</v>
      </c>
    </row>
    <row r="175">
      <c r="A175" s="4" t="inlineStr">
        <is>
          <t>G174</t>
        </is>
      </c>
      <c r="B175" s="8" t="inlineStr">
        <is>
          <t>US6191208B1</t>
        </is>
      </c>
      <c r="C175" s="8" t="inlineStr">
        <is>
          <t>DuPont Dow Elastomers LLC</t>
        </is>
      </c>
      <c r="D175" s="8" t="inlineStr">
        <is>
          <t>Comparative Example B</t>
        </is>
      </c>
      <c r="E175" s="8" t="inlineStr">
        <is>
          <t>FFKM</t>
        </is>
      </c>
      <c r="F175" s="8" t="inlineStr">
        <is>
          <t>Polymer B: TFE/PMVE/8-CNVE 68.2/31.0/0.80 mol%</t>
        </is>
      </c>
      <c r="G175" s="8" t="inlineStr">
        <is>
          <t>nitrile_triazine</t>
        </is>
      </c>
      <c r="H175" s="8" t="n">
        <v>100</v>
      </c>
      <c r="I175" s="8" t="n">
        <v>0</v>
      </c>
      <c r="J175" s="8" t="n">
        <v>0</v>
      </c>
      <c r="K175" s="8" t="n">
        <v>0</v>
      </c>
      <c r="L175" s="8" t="n">
        <v>0</v>
      </c>
      <c r="M175" s="8" t="n">
        <v>6.5</v>
      </c>
      <c r="N175" s="8" t="n">
        <v>0</v>
      </c>
      <c r="O175" s="8" t="n">
        <v>0</v>
      </c>
      <c r="P175" s="8" t="n">
        <v>0</v>
      </c>
      <c r="Q175" s="8" t="n">
        <v>0</v>
      </c>
      <c r="R175" s="8" t="n">
        <v>0</v>
      </c>
      <c r="S175" s="8" t="n">
        <v>0.5</v>
      </c>
      <c r="T175" s="8" t="n">
        <v>0</v>
      </c>
      <c r="U175" s="8" t="n">
        <v>0</v>
      </c>
      <c r="V175" s="8" t="n">
        <v>0</v>
      </c>
      <c r="W175" s="8" t="n"/>
      <c r="X175" s="8" t="n">
        <v>15.4</v>
      </c>
      <c r="Y175" s="8" t="n">
        <v>287</v>
      </c>
      <c r="Z175" s="8" t="n">
        <v>2.3</v>
      </c>
      <c r="AA175" s="8" t="n">
        <v>35</v>
      </c>
      <c r="AB175" s="8" t="inlineStr">
        <is>
          <t>200C x 336h, O-ring, ASTM D395</t>
        </is>
      </c>
      <c r="AC175" s="4" t="n">
        <v>200</v>
      </c>
      <c r="AD175" s="4">
        <f>I175+J175+K175+L175+M175+N175+O175+P175</f>
        <v/>
      </c>
      <c r="AE175" s="4" t="n">
        <v>0</v>
      </c>
      <c r="AF175" s="4" t="n">
        <v>1</v>
      </c>
      <c r="AG175" s="4" t="n">
        <v>1</v>
      </c>
      <c r="AH175" s="4" t="n">
        <v>1</v>
      </c>
      <c r="AI175" s="4" t="n">
        <v>0</v>
      </c>
    </row>
    <row r="176">
      <c r="A176" s="4" t="inlineStr">
        <is>
          <t>G175</t>
        </is>
      </c>
      <c r="B176" s="8" t="inlineStr">
        <is>
          <t>US6191208B1</t>
        </is>
      </c>
      <c r="C176" s="8" t="inlineStr">
        <is>
          <t>DuPont Dow Elastomers LLC</t>
        </is>
      </c>
      <c r="D176" s="8" t="inlineStr">
        <is>
          <t>Example 1</t>
        </is>
      </c>
      <c r="E176" s="8" t="inlineStr">
        <is>
          <t>FFKM</t>
        </is>
      </c>
      <c r="F176" s="8" t="inlineStr">
        <is>
          <t>Polymer C: TFE/PMVE/8-CNVE 68.6/30.4/1.03 mol%</t>
        </is>
      </c>
      <c r="G176" s="8" t="inlineStr">
        <is>
          <t>nitrile_triazine</t>
        </is>
      </c>
      <c r="H176" s="8" t="n">
        <v>100</v>
      </c>
      <c r="I176" s="8" t="n">
        <v>0</v>
      </c>
      <c r="J176" s="8" t="n">
        <v>3</v>
      </c>
      <c r="K176" s="8" t="n">
        <v>0</v>
      </c>
      <c r="L176" s="8" t="n">
        <v>0</v>
      </c>
      <c r="M176" s="8" t="n">
        <v>6.5</v>
      </c>
      <c r="N176" s="8" t="n">
        <v>0</v>
      </c>
      <c r="O176" s="8" t="n">
        <v>0</v>
      </c>
      <c r="P176" s="8" t="n">
        <v>0</v>
      </c>
      <c r="Q176" s="8" t="n">
        <v>0</v>
      </c>
      <c r="R176" s="8" t="n">
        <v>0</v>
      </c>
      <c r="S176" s="8" t="n">
        <v>0.5</v>
      </c>
      <c r="T176" s="8" t="n">
        <v>0</v>
      </c>
      <c r="U176" s="8" t="n">
        <v>0</v>
      </c>
      <c r="V176" s="8" t="n">
        <v>0</v>
      </c>
      <c r="W176" s="8" t="n"/>
      <c r="X176" s="8" t="n">
        <v>18.2</v>
      </c>
      <c r="Y176" s="8" t="n">
        <v>246</v>
      </c>
      <c r="Z176" s="8" t="n">
        <v>3.6</v>
      </c>
      <c r="AA176" s="8" t="n">
        <v>35</v>
      </c>
      <c r="AB176" s="8" t="inlineStr">
        <is>
          <t>200C x 336h, O-ring, ASTM D395</t>
        </is>
      </c>
      <c r="AC176" s="4" t="n">
        <v>200</v>
      </c>
      <c r="AD176" s="4">
        <f>I176+J176+K176+L176+M176+N176+O176+P176</f>
        <v/>
      </c>
      <c r="AE176" s="4" t="n">
        <v>0</v>
      </c>
      <c r="AF176" s="4" t="n">
        <v>1</v>
      </c>
      <c r="AG176" s="4" t="n">
        <v>1</v>
      </c>
      <c r="AH176" s="4" t="n">
        <v>1</v>
      </c>
      <c r="AI176" s="4" t="n">
        <v>0</v>
      </c>
    </row>
    <row r="177">
      <c r="A177" s="4" t="inlineStr">
        <is>
          <t>G176</t>
        </is>
      </c>
      <c r="B177" s="8" t="inlineStr">
        <is>
          <t>US6191208B1</t>
        </is>
      </c>
      <c r="C177" s="8" t="inlineStr">
        <is>
          <t>DuPont Dow Elastomers LLC</t>
        </is>
      </c>
      <c r="D177" s="8" t="inlineStr">
        <is>
          <t>Example 2</t>
        </is>
      </c>
      <c r="E177" s="8" t="inlineStr">
        <is>
          <t>FFKM</t>
        </is>
      </c>
      <c r="F177" s="8" t="inlineStr">
        <is>
          <t>Polymer B: TFE/PMVE/8-CNVE 68.2/31.0/0.80 mol%</t>
        </is>
      </c>
      <c r="G177" s="8" t="inlineStr">
        <is>
          <t>nitrile_triazine</t>
        </is>
      </c>
      <c r="H177" s="8" t="n">
        <v>100</v>
      </c>
      <c r="I177" s="8" t="n">
        <v>0</v>
      </c>
      <c r="J177" s="8" t="n">
        <v>1</v>
      </c>
      <c r="K177" s="8" t="n">
        <v>0</v>
      </c>
      <c r="L177" s="8" t="n">
        <v>0</v>
      </c>
      <c r="M177" s="8" t="n">
        <v>6.5</v>
      </c>
      <c r="N177" s="8" t="n">
        <v>0</v>
      </c>
      <c r="O177" s="8" t="n">
        <v>0</v>
      </c>
      <c r="P177" s="8" t="n">
        <v>0</v>
      </c>
      <c r="Q177" s="8" t="n">
        <v>0</v>
      </c>
      <c r="R177" s="8" t="n">
        <v>0</v>
      </c>
      <c r="S177" s="8" t="n">
        <v>0.5</v>
      </c>
      <c r="T177" s="8" t="n">
        <v>0</v>
      </c>
      <c r="U177" s="8" t="n">
        <v>0</v>
      </c>
      <c r="V177" s="8" t="n">
        <v>0</v>
      </c>
      <c r="W177" s="8" t="n"/>
      <c r="X177" s="8" t="n">
        <v>15.2</v>
      </c>
      <c r="Y177" s="8" t="n">
        <v>304</v>
      </c>
      <c r="Z177" s="8" t="n">
        <v>2.3</v>
      </c>
      <c r="AA177" s="8" t="n">
        <v>34</v>
      </c>
      <c r="AB177" s="8" t="inlineStr">
        <is>
          <t>200C x 336h, O-ring, ASTM D395</t>
        </is>
      </c>
      <c r="AC177" s="4" t="n">
        <v>200</v>
      </c>
      <c r="AD177" s="4">
        <f>I177+J177+K177+L177+M177+N177+O177+P177</f>
        <v/>
      </c>
      <c r="AE177" s="4" t="n">
        <v>0</v>
      </c>
      <c r="AF177" s="4" t="n">
        <v>1</v>
      </c>
      <c r="AG177" s="4" t="n">
        <v>1</v>
      </c>
      <c r="AH177" s="4" t="n">
        <v>1</v>
      </c>
      <c r="AI177" s="4" t="n">
        <v>0</v>
      </c>
    </row>
    <row r="178">
      <c r="A178" s="4" t="inlineStr">
        <is>
          <t>G177</t>
        </is>
      </c>
      <c r="B178" s="8" t="inlineStr">
        <is>
          <t>US6281296B1</t>
        </is>
      </c>
      <c r="C178" s="8" t="inlineStr">
        <is>
          <t>DuPont Dow Elastomers LLC</t>
        </is>
      </c>
      <c r="D178" s="8" t="inlineStr">
        <is>
          <t>Example 1</t>
        </is>
      </c>
      <c r="E178" s="8" t="inlineStr">
        <is>
          <t>FFKM</t>
        </is>
      </c>
      <c r="F178" s="8" t="inlineStr">
        <is>
          <t>Polymer A: TFE/PMVE/8-CNVE 68.2/31.0/0.8 mol%</t>
        </is>
      </c>
      <c r="G178" s="8" t="inlineStr">
        <is>
          <t>nitrile_bisaminophenol</t>
        </is>
      </c>
      <c r="H178" s="8" t="n">
        <v>100</v>
      </c>
      <c r="I178" s="8" t="n">
        <v>0</v>
      </c>
      <c r="J178" s="8" t="n">
        <v>1</v>
      </c>
      <c r="K178" s="8" t="n">
        <v>0</v>
      </c>
      <c r="L178" s="8" t="n">
        <v>0</v>
      </c>
      <c r="M178" s="8" t="n">
        <v>6.5</v>
      </c>
      <c r="N178" s="8" t="n">
        <v>0</v>
      </c>
      <c r="O178" s="8" t="n">
        <v>0</v>
      </c>
      <c r="P178" s="8" t="n">
        <v>0</v>
      </c>
      <c r="Q178" s="8" t="n">
        <v>0</v>
      </c>
      <c r="R178" s="8" t="n">
        <v>0</v>
      </c>
      <c r="S178" s="8" t="n">
        <v>1.5</v>
      </c>
      <c r="T178" s="8" t="n">
        <v>0.1</v>
      </c>
      <c r="U178" s="8" t="n">
        <v>0</v>
      </c>
      <c r="V178" s="8" t="n">
        <v>0</v>
      </c>
      <c r="W178" s="8" t="n"/>
      <c r="X178" s="8" t="n">
        <v>16.1</v>
      </c>
      <c r="Y178" s="8" t="n">
        <v>289</v>
      </c>
      <c r="Z178" s="8" t="n">
        <v>2.4</v>
      </c>
      <c r="AA178" s="8" t="n">
        <v>22</v>
      </c>
      <c r="AB178" s="8" t="inlineStr">
        <is>
          <t>204C x 70h, O-ring</t>
        </is>
      </c>
      <c r="AC178" s="4" t="n">
        <v>204</v>
      </c>
      <c r="AD178" s="4">
        <f>I178+J178+K178+L178+M178+N178+O178+P178</f>
        <v/>
      </c>
      <c r="AE178" s="4" t="n">
        <v>0</v>
      </c>
      <c r="AF178" s="4" t="n">
        <v>1</v>
      </c>
      <c r="AG178" s="4" t="n">
        <v>1</v>
      </c>
      <c r="AH178" s="4" t="n">
        <v>1</v>
      </c>
      <c r="AI178" s="4" t="n">
        <v>1</v>
      </c>
    </row>
    <row r="179">
      <c r="A179" s="4" t="inlineStr">
        <is>
          <t>G178</t>
        </is>
      </c>
      <c r="B179" s="8" t="inlineStr">
        <is>
          <t>US6281296B1</t>
        </is>
      </c>
      <c r="C179" s="8" t="inlineStr">
        <is>
          <t>DuPont Dow Elastomers LLC</t>
        </is>
      </c>
      <c r="D179" s="8" t="inlineStr">
        <is>
          <t>Example 2</t>
        </is>
      </c>
      <c r="E179" s="8" t="inlineStr">
        <is>
          <t>FFKM</t>
        </is>
      </c>
      <c r="F179" s="8" t="inlineStr">
        <is>
          <t>Polymer A: TFE/PMVE/8-CNVE 68.2/31.0/0.8 mol%</t>
        </is>
      </c>
      <c r="G179" s="8" t="inlineStr">
        <is>
          <t>nitrile_bisaminophenol</t>
        </is>
      </c>
      <c r="H179" s="8" t="n">
        <v>100</v>
      </c>
      <c r="I179" s="8" t="n">
        <v>0</v>
      </c>
      <c r="J179" s="8" t="n">
        <v>1</v>
      </c>
      <c r="K179" s="8" t="n">
        <v>0</v>
      </c>
      <c r="L179" s="8" t="n">
        <v>0</v>
      </c>
      <c r="M179" s="8" t="n">
        <v>6.5</v>
      </c>
      <c r="N179" s="8" t="n">
        <v>0</v>
      </c>
      <c r="O179" s="8" t="n">
        <v>0</v>
      </c>
      <c r="P179" s="8" t="n">
        <v>0</v>
      </c>
      <c r="Q179" s="8" t="n">
        <v>0</v>
      </c>
      <c r="R179" s="8" t="n">
        <v>0</v>
      </c>
      <c r="S179" s="8" t="n">
        <v>1.5</v>
      </c>
      <c r="T179" s="8" t="n">
        <v>0.1</v>
      </c>
      <c r="U179" s="8" t="n">
        <v>0</v>
      </c>
      <c r="V179" s="8" t="n">
        <v>0</v>
      </c>
      <c r="W179" s="8" t="n"/>
      <c r="X179" s="8" t="n"/>
      <c r="Y179" s="8" t="n"/>
      <c r="Z179" s="8" t="n"/>
      <c r="AA179" s="8" t="n">
        <v>22</v>
      </c>
      <c r="AB179" s="8" t="inlineStr">
        <is>
          <t>204C x 70h, O-ring</t>
        </is>
      </c>
      <c r="AC179" s="4" t="n">
        <v>204</v>
      </c>
      <c r="AD179" s="4">
        <f>I179+J179+K179+L179+M179+N179+O179+P179</f>
        <v/>
      </c>
      <c r="AE179" s="4" t="n">
        <v>0</v>
      </c>
      <c r="AF179" s="4" t="n">
        <v>0</v>
      </c>
      <c r="AG179" s="4" t="n">
        <v>0</v>
      </c>
      <c r="AH179" s="4" t="n">
        <v>0</v>
      </c>
      <c r="AI179" s="4" t="n">
        <v>1</v>
      </c>
    </row>
    <row r="180">
      <c r="A180" s="4" t="inlineStr">
        <is>
          <t>G179</t>
        </is>
      </c>
      <c r="B180" s="8" t="inlineStr">
        <is>
          <t>US6281296B1</t>
        </is>
      </c>
      <c r="C180" s="8" t="inlineStr">
        <is>
          <t>DuPont Dow Elastomers LLC</t>
        </is>
      </c>
      <c r="D180" s="8" t="inlineStr">
        <is>
          <t>Control A</t>
        </is>
      </c>
      <c r="E180" s="8" t="inlineStr">
        <is>
          <t>FFKM</t>
        </is>
      </c>
      <c r="F180" s="8" t="inlineStr">
        <is>
          <t>Polymer A: TFE/PMVE/8-CNVE 68.2/31.0/0.8 mol%</t>
        </is>
      </c>
      <c r="G180" s="8" t="inlineStr">
        <is>
          <t>nitrile_bisaminophenol</t>
        </is>
      </c>
      <c r="H180" s="8" t="n">
        <v>100</v>
      </c>
      <c r="I180" s="8" t="n">
        <v>0</v>
      </c>
      <c r="J180" s="8" t="n">
        <v>1</v>
      </c>
      <c r="K180" s="8" t="n">
        <v>0</v>
      </c>
      <c r="L180" s="8" t="n">
        <v>0</v>
      </c>
      <c r="M180" s="8" t="n">
        <v>6.5</v>
      </c>
      <c r="N180" s="8" t="n">
        <v>0</v>
      </c>
      <c r="O180" s="8" t="n">
        <v>0</v>
      </c>
      <c r="P180" s="8" t="n">
        <v>0</v>
      </c>
      <c r="Q180" s="8" t="n">
        <v>0</v>
      </c>
      <c r="R180" s="8" t="n">
        <v>0</v>
      </c>
      <c r="S180" s="8" t="n">
        <v>1.5</v>
      </c>
      <c r="T180" s="8" t="n">
        <v>0</v>
      </c>
      <c r="U180" s="8" t="n">
        <v>0</v>
      </c>
      <c r="V180" s="8" t="n">
        <v>0</v>
      </c>
      <c r="W180" s="8" t="n"/>
      <c r="X180" s="8" t="n">
        <v>15.4</v>
      </c>
      <c r="Y180" s="8" t="n">
        <v>287</v>
      </c>
      <c r="Z180" s="8" t="n">
        <v>2.3</v>
      </c>
      <c r="AA180" s="8" t="n">
        <v>21</v>
      </c>
      <c r="AB180" s="8" t="inlineStr">
        <is>
          <t>204C x 70h, O-ring</t>
        </is>
      </c>
      <c r="AC180" s="4" t="n">
        <v>204</v>
      </c>
      <c r="AD180" s="4">
        <f>I180+J180+K180+L180+M180+N180+O180+P180</f>
        <v/>
      </c>
      <c r="AE180" s="4" t="n">
        <v>0</v>
      </c>
      <c r="AF180" s="4" t="n">
        <v>1</v>
      </c>
      <c r="AG180" s="4" t="n">
        <v>1</v>
      </c>
      <c r="AH180" s="4" t="n">
        <v>1</v>
      </c>
      <c r="AI180" s="4" t="n">
        <v>1</v>
      </c>
    </row>
    <row r="181">
      <c r="A181" s="4" t="inlineStr">
        <is>
          <t>G180</t>
        </is>
      </c>
      <c r="B181" s="8" t="inlineStr">
        <is>
          <t>US6281296B1</t>
        </is>
      </c>
      <c r="C181" s="8" t="inlineStr">
        <is>
          <t>DuPont Dow Elastomers LLC</t>
        </is>
      </c>
      <c r="D181" s="8" t="inlineStr">
        <is>
          <t>Example 3</t>
        </is>
      </c>
      <c r="E181" s="8" t="inlineStr">
        <is>
          <t>FFKM</t>
        </is>
      </c>
      <c r="F181" s="8" t="inlineStr">
        <is>
          <t>Polymer B: TFE/PMVE/8-CNVE 60.24/38.95/0.81 mol%</t>
        </is>
      </c>
      <c r="G181" s="8" t="inlineStr">
        <is>
          <t>nitrile_bisaminophenol</t>
        </is>
      </c>
      <c r="H181" s="8" t="n">
        <v>100</v>
      </c>
      <c r="I181" s="8" t="n">
        <v>25</v>
      </c>
      <c r="J181" s="8" t="n">
        <v>1</v>
      </c>
      <c r="K181" s="8" t="n">
        <v>0</v>
      </c>
      <c r="L181" s="8" t="n">
        <v>0</v>
      </c>
      <c r="M181" s="8" t="n">
        <v>0</v>
      </c>
      <c r="N181" s="8" t="n">
        <v>0</v>
      </c>
      <c r="O181" s="8" t="n">
        <v>0</v>
      </c>
      <c r="P181" s="8" t="n">
        <v>0</v>
      </c>
      <c r="Q181" s="8" t="n">
        <v>0</v>
      </c>
      <c r="R181" s="8" t="n">
        <v>0</v>
      </c>
      <c r="S181" s="8" t="n">
        <v>1.5</v>
      </c>
      <c r="T181" s="8" t="n">
        <v>0.1</v>
      </c>
      <c r="U181" s="8" t="n">
        <v>0</v>
      </c>
      <c r="V181" s="8" t="n">
        <v>0</v>
      </c>
      <c r="W181" s="8" t="n"/>
      <c r="X181" s="8" t="n"/>
      <c r="Y181" s="8" t="n"/>
      <c r="Z181" s="8" t="n"/>
      <c r="AA181" s="8" t="n">
        <v>13</v>
      </c>
      <c r="AB181" s="8" t="inlineStr">
        <is>
          <t>204C x 70h, O-ring</t>
        </is>
      </c>
      <c r="AC181" s="4" t="n">
        <v>204</v>
      </c>
      <c r="AD181" s="4">
        <f>I181+J181+K181+L181+M181+N181+O181+P181</f>
        <v/>
      </c>
      <c r="AE181" s="4" t="n">
        <v>0</v>
      </c>
      <c r="AF181" s="4" t="n">
        <v>0</v>
      </c>
      <c r="AG181" s="4" t="n">
        <v>0</v>
      </c>
      <c r="AH181" s="4" t="n">
        <v>0</v>
      </c>
      <c r="AI181" s="4" t="n">
        <v>1</v>
      </c>
    </row>
    <row r="182">
      <c r="A182" s="4" t="inlineStr">
        <is>
          <t>G181</t>
        </is>
      </c>
      <c r="B182" s="8" t="inlineStr">
        <is>
          <t>US6281296B1</t>
        </is>
      </c>
      <c r="C182" s="8" t="inlineStr">
        <is>
          <t>DuPont Dow Elastomers LLC</t>
        </is>
      </c>
      <c r="D182" s="8" t="inlineStr">
        <is>
          <t>Example 4</t>
        </is>
      </c>
      <c r="E182" s="8" t="inlineStr">
        <is>
          <t>FFKM</t>
        </is>
      </c>
      <c r="F182" s="8" t="inlineStr">
        <is>
          <t>Polymer B: TFE/PMVE/8-CNVE 60.24/38.95/0.81 mol%</t>
        </is>
      </c>
      <c r="G182" s="8" t="inlineStr">
        <is>
          <t>nitrile_bisaminophenol</t>
        </is>
      </c>
      <c r="H182" s="8" t="n">
        <v>100</v>
      </c>
      <c r="I182" s="8" t="n">
        <v>25</v>
      </c>
      <c r="J182" s="8" t="n">
        <v>1</v>
      </c>
      <c r="K182" s="8" t="n">
        <v>0</v>
      </c>
      <c r="L182" s="8" t="n">
        <v>0</v>
      </c>
      <c r="M182" s="8" t="n">
        <v>0</v>
      </c>
      <c r="N182" s="8" t="n">
        <v>0</v>
      </c>
      <c r="O182" s="8" t="n">
        <v>0</v>
      </c>
      <c r="P182" s="8" t="n">
        <v>0</v>
      </c>
      <c r="Q182" s="8" t="n">
        <v>0</v>
      </c>
      <c r="R182" s="8" t="n">
        <v>0</v>
      </c>
      <c r="S182" s="8" t="n">
        <v>1.5</v>
      </c>
      <c r="T182" s="8" t="n">
        <v>0.075</v>
      </c>
      <c r="U182" s="8" t="n">
        <v>0</v>
      </c>
      <c r="V182" s="8" t="n">
        <v>0</v>
      </c>
      <c r="W182" s="8" t="n"/>
      <c r="X182" s="8" t="n"/>
      <c r="Y182" s="8" t="n"/>
      <c r="Z182" s="8" t="n"/>
      <c r="AA182" s="8" t="n">
        <v>9</v>
      </c>
      <c r="AB182" s="8" t="inlineStr">
        <is>
          <t>204C x 70h, O-ring</t>
        </is>
      </c>
      <c r="AC182" s="4" t="n">
        <v>204</v>
      </c>
      <c r="AD182" s="4">
        <f>I182+J182+K182+L182+M182+N182+O182+P182</f>
        <v/>
      </c>
      <c r="AE182" s="4" t="n">
        <v>0</v>
      </c>
      <c r="AF182" s="4" t="n">
        <v>0</v>
      </c>
      <c r="AG182" s="4" t="n">
        <v>0</v>
      </c>
      <c r="AH182" s="4" t="n">
        <v>0</v>
      </c>
      <c r="AI182" s="4" t="n">
        <v>1</v>
      </c>
    </row>
    <row r="183">
      <c r="A183" s="4" t="inlineStr">
        <is>
          <t>G182</t>
        </is>
      </c>
      <c r="B183" s="8" t="inlineStr">
        <is>
          <t>US6281296B1</t>
        </is>
      </c>
      <c r="C183" s="8" t="inlineStr">
        <is>
          <t>DuPont Dow Elastomers LLC</t>
        </is>
      </c>
      <c r="D183" s="8" t="inlineStr">
        <is>
          <t>Example 5</t>
        </is>
      </c>
      <c r="E183" s="8" t="inlineStr">
        <is>
          <t>FFKM</t>
        </is>
      </c>
      <c r="F183" s="8" t="inlineStr">
        <is>
          <t>Polymer B: TFE/PMVE/8-CNVE 60.24/38.95/0.81 mol%</t>
        </is>
      </c>
      <c r="G183" s="8" t="inlineStr">
        <is>
          <t>nitrile_triazine</t>
        </is>
      </c>
      <c r="H183" s="8" t="n">
        <v>100</v>
      </c>
      <c r="I183" s="8" t="n">
        <v>25</v>
      </c>
      <c r="J183" s="8" t="n">
        <v>1</v>
      </c>
      <c r="K183" s="8" t="n">
        <v>0</v>
      </c>
      <c r="L183" s="8" t="n">
        <v>0</v>
      </c>
      <c r="M183" s="8" t="n">
        <v>0</v>
      </c>
      <c r="N183" s="8" t="n">
        <v>0</v>
      </c>
      <c r="O183" s="8" t="n">
        <v>0</v>
      </c>
      <c r="P183" s="8" t="n">
        <v>0</v>
      </c>
      <c r="Q183" s="8" t="n">
        <v>0</v>
      </c>
      <c r="R183" s="8" t="n">
        <v>0</v>
      </c>
      <c r="S183" s="8" t="n">
        <v>0.3</v>
      </c>
      <c r="T183" s="8" t="n">
        <v>0</v>
      </c>
      <c r="U183" s="8" t="n">
        <v>0</v>
      </c>
      <c r="V183" s="8" t="n">
        <v>0</v>
      </c>
      <c r="W183" s="8" t="n"/>
      <c r="X183" s="8" t="n"/>
      <c r="Y183" s="8" t="n"/>
      <c r="Z183" s="8" t="n"/>
      <c r="AA183" s="8" t="n">
        <v>16</v>
      </c>
      <c r="AB183" s="8" t="inlineStr">
        <is>
          <t>204C x 70h, O-ring</t>
        </is>
      </c>
      <c r="AC183" s="4" t="n">
        <v>204</v>
      </c>
      <c r="AD183" s="4">
        <f>I183+J183+K183+L183+M183+N183+O183+P183</f>
        <v/>
      </c>
      <c r="AE183" s="4" t="n">
        <v>0</v>
      </c>
      <c r="AF183" s="4" t="n">
        <v>0</v>
      </c>
      <c r="AG183" s="4" t="n">
        <v>0</v>
      </c>
      <c r="AH183" s="4" t="n">
        <v>0</v>
      </c>
      <c r="AI183" s="4" t="n">
        <v>1</v>
      </c>
    </row>
    <row r="184">
      <c r="A184" s="4" t="inlineStr">
        <is>
          <t>G183</t>
        </is>
      </c>
      <c r="B184" s="8" t="inlineStr">
        <is>
          <t>US6211319B1</t>
        </is>
      </c>
      <c r="C184" s="8" t="inlineStr">
        <is>
          <t>EI Du Pont de Nemours and Co</t>
        </is>
      </c>
      <c r="D184" s="8" t="inlineStr">
        <is>
          <t>Example 1</t>
        </is>
      </c>
      <c r="E184" s="8" t="inlineStr">
        <is>
          <t>FFKM</t>
        </is>
      </c>
      <c r="F184" s="8" t="inlineStr">
        <is>
          <t>TFE/PMVE/8-CNVE 54.8/43/2.2 wt%, heat-treated (decarboxylated) 300C x 60 min, ML-10(121C)=69</t>
        </is>
      </c>
      <c r="G184" s="8" t="inlineStr">
        <is>
          <t>nitrile_bisaminophenol</t>
        </is>
      </c>
      <c r="H184" s="8" t="n">
        <v>100</v>
      </c>
      <c r="I184" s="8" t="n">
        <v>30</v>
      </c>
      <c r="J184" s="8" t="n">
        <v>0</v>
      </c>
      <c r="K184" s="8" t="n">
        <v>0</v>
      </c>
      <c r="L184" s="8" t="n">
        <v>0</v>
      </c>
      <c r="M184" s="8" t="n">
        <v>0</v>
      </c>
      <c r="N184" s="8" t="n">
        <v>0</v>
      </c>
      <c r="O184" s="8" t="n">
        <v>0</v>
      </c>
      <c r="P184" s="8" t="n">
        <v>0</v>
      </c>
      <c r="Q184" s="8" t="n">
        <v>0</v>
      </c>
      <c r="R184" s="8" t="n">
        <v>0</v>
      </c>
      <c r="S184" s="8" t="n">
        <v>1</v>
      </c>
      <c r="T184" s="8" t="n">
        <v>0</v>
      </c>
      <c r="U184" s="8" t="n">
        <v>0</v>
      </c>
      <c r="V184" s="8" t="n">
        <v>0</v>
      </c>
      <c r="W184" s="8" t="n"/>
      <c r="X184" s="8" t="n">
        <v>23.2</v>
      </c>
      <c r="Y184" s="8" t="n">
        <v>173</v>
      </c>
      <c r="Z184" s="8" t="n">
        <v>14.8</v>
      </c>
      <c r="AA184" s="8" t="n">
        <v>20</v>
      </c>
      <c r="AB184" s="8" t="inlineStr">
        <is>
          <t>O-ring press-cured 275C x 20 min + post cure 300C x 18 h air; CS test temperature/time not stated</t>
        </is>
      </c>
      <c r="AC184" s="4" t="n">
        <v>300</v>
      </c>
      <c r="AD184" s="4">
        <f>I184+J184+K184+L184+M184+N184+O184+P184</f>
        <v/>
      </c>
      <c r="AE184" s="4" t="n">
        <v>0</v>
      </c>
      <c r="AF184" s="4" t="n">
        <v>1</v>
      </c>
      <c r="AG184" s="4" t="n">
        <v>1</v>
      </c>
      <c r="AH184" s="4" t="n">
        <v>1</v>
      </c>
      <c r="AI184" s="4" t="n">
        <v>0</v>
      </c>
    </row>
    <row r="185">
      <c r="A185" s="4" t="inlineStr">
        <is>
          <t>G184</t>
        </is>
      </c>
      <c r="B185" s="8" t="inlineStr">
        <is>
          <t>US20040019153A1</t>
        </is>
      </c>
      <c r="C185" s="8" t="inlineStr">
        <is>
          <t>DuPont Dow Elastomers LLC</t>
        </is>
      </c>
      <c r="D185" s="8" t="inlineStr">
        <is>
          <t>Example 1</t>
        </is>
      </c>
      <c r="E185" s="8" t="inlineStr">
        <is>
          <t>FFKM</t>
        </is>
      </c>
      <c r="F185" s="8" t="inlineStr">
        <is>
          <t>Polymer A: TFE/PMVE/8-CNVE 66.7/32.6/0.7 mol%</t>
        </is>
      </c>
      <c r="G185" s="8" t="inlineStr">
        <is>
          <t>nitrile_bisaminophenol</t>
        </is>
      </c>
      <c r="H185" s="8" t="n">
        <v>100</v>
      </c>
      <c r="I185" s="8" t="n">
        <v>0</v>
      </c>
      <c r="J185" s="8" t="n">
        <v>0</v>
      </c>
      <c r="K185" s="8" t="n">
        <v>0</v>
      </c>
      <c r="L185" s="8" t="n">
        <v>0</v>
      </c>
      <c r="M185" s="8" t="n">
        <v>0</v>
      </c>
      <c r="N185" s="8" t="n">
        <v>0</v>
      </c>
      <c r="O185" s="8" t="n">
        <v>0</v>
      </c>
      <c r="P185" s="8" t="n">
        <v>0</v>
      </c>
      <c r="Q185" s="8" t="n">
        <v>0</v>
      </c>
      <c r="R185" s="8" t="n">
        <v>0</v>
      </c>
      <c r="S185" s="8" t="n">
        <v>0.75</v>
      </c>
      <c r="T185" s="8" t="n">
        <v>0</v>
      </c>
      <c r="U185" s="8" t="n">
        <v>0</v>
      </c>
      <c r="V185" s="8" t="n">
        <v>0</v>
      </c>
      <c r="W185" s="8" t="n"/>
      <c r="X185" s="8" t="n">
        <v>6.7</v>
      </c>
      <c r="Y185" s="8" t="n">
        <v>252</v>
      </c>
      <c r="Z185" s="8" t="n">
        <v>1.7</v>
      </c>
      <c r="AA185" s="8" t="n">
        <v>12</v>
      </c>
      <c r="AB185" s="8" t="inlineStr">
        <is>
          <t>204C x 70h, K214 O-ring, ASTM D395/D1414</t>
        </is>
      </c>
      <c r="AC185" s="4" t="n">
        <v>204</v>
      </c>
      <c r="AD185" s="4">
        <f>I185+J185+K185+L185+M185+N185+O185+P185</f>
        <v/>
      </c>
      <c r="AE185" s="4" t="n">
        <v>0</v>
      </c>
      <c r="AF185" s="4" t="n">
        <v>1</v>
      </c>
      <c r="AG185" s="4" t="n">
        <v>1</v>
      </c>
      <c r="AH185" s="4" t="n">
        <v>1</v>
      </c>
      <c r="AI185" s="4" t="n">
        <v>1</v>
      </c>
    </row>
    <row r="186">
      <c r="A186" s="4" t="inlineStr">
        <is>
          <t>G185</t>
        </is>
      </c>
      <c r="B186" s="8" t="inlineStr">
        <is>
          <t>US20040019153A1</t>
        </is>
      </c>
      <c r="C186" s="8" t="inlineStr">
        <is>
          <t>DuPont Dow Elastomers LLC</t>
        </is>
      </c>
      <c r="D186" s="8" t="inlineStr">
        <is>
          <t>Example 2</t>
        </is>
      </c>
      <c r="E186" s="8" t="inlineStr">
        <is>
          <t>FFKM</t>
        </is>
      </c>
      <c r="F186" s="8" t="inlineStr">
        <is>
          <t>Polymer A: TFE/PMVE/8-CNVE 66.7/32.6/0.7 mol%</t>
        </is>
      </c>
      <c r="G186" s="8" t="inlineStr">
        <is>
          <t>nitrile_triazine</t>
        </is>
      </c>
      <c r="H186" s="8" t="n">
        <v>100</v>
      </c>
      <c r="I186" s="8" t="n">
        <v>0</v>
      </c>
      <c r="J186" s="8" t="n">
        <v>0</v>
      </c>
      <c r="K186" s="8" t="n">
        <v>0</v>
      </c>
      <c r="L186" s="8" t="n">
        <v>0</v>
      </c>
      <c r="M186" s="8" t="n">
        <v>0</v>
      </c>
      <c r="N186" s="8" t="n">
        <v>0</v>
      </c>
      <c r="O186" s="8" t="n">
        <v>0</v>
      </c>
      <c r="P186" s="8" t="n">
        <v>0</v>
      </c>
      <c r="Q186" s="8" t="n">
        <v>0</v>
      </c>
      <c r="R186" s="8" t="n">
        <v>0</v>
      </c>
      <c r="S186" s="8" t="n">
        <v>0.5</v>
      </c>
      <c r="T186" s="8" t="n">
        <v>0</v>
      </c>
      <c r="U186" s="8" t="n">
        <v>0</v>
      </c>
      <c r="V186" s="8" t="n">
        <v>0</v>
      </c>
      <c r="W186" s="8" t="n"/>
      <c r="X186" s="8" t="n">
        <v>7.1</v>
      </c>
      <c r="Y186" s="8" t="n">
        <v>399</v>
      </c>
      <c r="Z186" s="8" t="n">
        <v>1.4</v>
      </c>
      <c r="AA186" s="8" t="n">
        <v>31</v>
      </c>
      <c r="AB186" s="8" t="inlineStr">
        <is>
          <t>204C x 70h, K214 O-ring, ASTM D395/D1414</t>
        </is>
      </c>
      <c r="AC186" s="4" t="n">
        <v>204</v>
      </c>
      <c r="AD186" s="4">
        <f>I186+J186+K186+L186+M186+N186+O186+P186</f>
        <v/>
      </c>
      <c r="AE186" s="4" t="n">
        <v>0</v>
      </c>
      <c r="AF186" s="4" t="n">
        <v>1</v>
      </c>
      <c r="AG186" s="4" t="n">
        <v>1</v>
      </c>
      <c r="AH186" s="4" t="n">
        <v>1</v>
      </c>
      <c r="AI186" s="4" t="n">
        <v>1</v>
      </c>
    </row>
    <row r="187">
      <c r="A187" s="4" t="inlineStr">
        <is>
          <t>G186</t>
        </is>
      </c>
      <c r="B187" s="8" t="inlineStr">
        <is>
          <t>US20040019153A1</t>
        </is>
      </c>
      <c r="C187" s="8" t="inlineStr">
        <is>
          <t>DuPont Dow Elastomers LLC</t>
        </is>
      </c>
      <c r="D187" s="8" t="inlineStr">
        <is>
          <t>Example 3</t>
        </is>
      </c>
      <c r="E187" s="8" t="inlineStr">
        <is>
          <t>FFKM</t>
        </is>
      </c>
      <c r="F187" s="8" t="inlineStr">
        <is>
          <t>Polymer B: TFE/PMVE/8-CNVE 61.7/37.5/0.8 mol%</t>
        </is>
      </c>
      <c r="G187" s="8" t="inlineStr">
        <is>
          <t>peroxide</t>
        </is>
      </c>
      <c r="H187" s="8" t="n">
        <v>100</v>
      </c>
      <c r="I187" s="8" t="n">
        <v>0</v>
      </c>
      <c r="J187" s="8" t="n">
        <v>0</v>
      </c>
      <c r="K187" s="8" t="n">
        <v>0</v>
      </c>
      <c r="L187" s="8" t="n">
        <v>0</v>
      </c>
      <c r="M187" s="8" t="n">
        <v>0</v>
      </c>
      <c r="N187" s="8" t="n">
        <v>0</v>
      </c>
      <c r="O187" s="8" t="n">
        <v>0</v>
      </c>
      <c r="P187" s="8" t="n">
        <v>0</v>
      </c>
      <c r="Q187" s="8" t="n">
        <v>1</v>
      </c>
      <c r="R187" s="8" t="n">
        <v>1</v>
      </c>
      <c r="S187" s="8" t="n">
        <v>0</v>
      </c>
      <c r="T187" s="8" t="n">
        <v>0</v>
      </c>
      <c r="U187" s="8" t="n">
        <v>0</v>
      </c>
      <c r="V187" s="8" t="n">
        <v>0</v>
      </c>
      <c r="W187" s="8" t="n"/>
      <c r="X187" s="8" t="n">
        <v>8.699999999999999</v>
      </c>
      <c r="Y187" s="8" t="n">
        <v>255</v>
      </c>
      <c r="Z187" s="8" t="n">
        <v>1.4</v>
      </c>
      <c r="AA187" s="8" t="n">
        <v>31</v>
      </c>
      <c r="AB187" s="8" t="inlineStr">
        <is>
          <t>204C x 70h, K214 O-ring, ASTM D395/D1414</t>
        </is>
      </c>
      <c r="AC187" s="4" t="n">
        <v>204</v>
      </c>
      <c r="AD187" s="4">
        <f>I187+J187+K187+L187+M187+N187+O187+P187</f>
        <v/>
      </c>
      <c r="AE187" s="4" t="n">
        <v>0</v>
      </c>
      <c r="AF187" s="4" t="n">
        <v>1</v>
      </c>
      <c r="AG187" s="4" t="n">
        <v>1</v>
      </c>
      <c r="AH187" s="4" t="n">
        <v>1</v>
      </c>
      <c r="AI187" s="4" t="n">
        <v>1</v>
      </c>
    </row>
    <row r="188">
      <c r="A188" s="4" t="inlineStr">
        <is>
          <t>G187</t>
        </is>
      </c>
      <c r="B188" s="8" t="inlineStr">
        <is>
          <t>US20090093590A1</t>
        </is>
      </c>
      <c r="C188" s="8" t="inlineStr">
        <is>
          <t>Nippon Valqua Industries, Ltd.</t>
        </is>
      </c>
      <c r="D188" s="8" t="inlineStr">
        <is>
          <t>Comparative Example 5</t>
        </is>
      </c>
      <c r="E188" s="8" t="inlineStr">
        <is>
          <t>FFKM</t>
        </is>
      </c>
      <c r="F188" s="8" t="inlineStr">
        <is>
          <t>Tecnoflon PFR94 (Solvay Solexis, TFE/PAVE FFKM)</t>
        </is>
      </c>
      <c r="G188" s="8" t="inlineStr">
        <is>
          <t>peroxide</t>
        </is>
      </c>
      <c r="H188" s="8" t="n">
        <v>100</v>
      </c>
      <c r="I188" s="8" t="n">
        <v>20</v>
      </c>
      <c r="J188" s="8" t="n">
        <v>0</v>
      </c>
      <c r="K188" s="8" t="n">
        <v>0</v>
      </c>
      <c r="L188" s="8" t="n">
        <v>0</v>
      </c>
      <c r="M188" s="8" t="n">
        <v>0</v>
      </c>
      <c r="N188" s="8" t="n">
        <v>0</v>
      </c>
      <c r="O188" s="8" t="n">
        <v>0</v>
      </c>
      <c r="P188" s="8" t="n">
        <v>0</v>
      </c>
      <c r="Q188" s="8" t="n">
        <v>3</v>
      </c>
      <c r="R188" s="8" t="n">
        <v>1.5</v>
      </c>
      <c r="S188" s="8" t="n">
        <v>0</v>
      </c>
      <c r="T188" s="8" t="n">
        <v>0</v>
      </c>
      <c r="U188" s="8" t="n">
        <v>0</v>
      </c>
      <c r="V188" s="8" t="n">
        <v>0</v>
      </c>
      <c r="W188" s="8" t="n"/>
      <c r="X188" s="8" t="n"/>
      <c r="Y188" s="8" t="n"/>
      <c r="Z188" s="8" t="n"/>
      <c r="AA188" s="8" t="n">
        <v>28</v>
      </c>
      <c r="AB188" s="8" t="inlineStr">
        <is>
          <t>200C x 70h, ~25% compression, AS214 O-ring (JIS K6262)</t>
        </is>
      </c>
      <c r="AC188" s="4" t="n">
        <v>200</v>
      </c>
      <c r="AD188" s="4">
        <f>I188+J188+K188+L188+M188+N188+O188+P188</f>
        <v/>
      </c>
      <c r="AE188" s="4" t="n">
        <v>0</v>
      </c>
      <c r="AF188" s="4" t="n">
        <v>0</v>
      </c>
      <c r="AG188" s="4" t="n">
        <v>0</v>
      </c>
      <c r="AH188" s="4" t="n">
        <v>0</v>
      </c>
      <c r="AI188" s="4" t="n">
        <v>1</v>
      </c>
    </row>
    <row r="189">
      <c r="A189" s="4" t="inlineStr">
        <is>
          <t>G188</t>
        </is>
      </c>
      <c r="B189" s="8" t="inlineStr">
        <is>
          <t>US20090093590A1</t>
        </is>
      </c>
      <c r="C189" s="8" t="inlineStr">
        <is>
          <t>Nippon Valqua Industries, Ltd.</t>
        </is>
      </c>
      <c r="D189" s="8" t="inlineStr">
        <is>
          <t>Comparative Example 6</t>
        </is>
      </c>
      <c r="E189" s="8" t="inlineStr">
        <is>
          <t>FKM</t>
        </is>
      </c>
      <c r="F189" s="8" t="inlineStr">
        <is>
          <t>DAI-EL G902 (table: 'Daiel C 902'; VDF/HFP/TFE FKM)</t>
        </is>
      </c>
      <c r="G189" s="8" t="inlineStr">
        <is>
          <t>peroxide</t>
        </is>
      </c>
      <c r="H189" s="8" t="n">
        <v>100</v>
      </c>
      <c r="I189" s="8" t="n">
        <v>20</v>
      </c>
      <c r="J189" s="8" t="n">
        <v>0</v>
      </c>
      <c r="K189" s="8" t="n">
        <v>0</v>
      </c>
      <c r="L189" s="8" t="n">
        <v>0</v>
      </c>
      <c r="M189" s="8" t="n">
        <v>0</v>
      </c>
      <c r="N189" s="8" t="n">
        <v>0</v>
      </c>
      <c r="O189" s="8" t="n">
        <v>0</v>
      </c>
      <c r="P189" s="8" t="n">
        <v>0</v>
      </c>
      <c r="Q189" s="8" t="n">
        <v>3</v>
      </c>
      <c r="R189" s="8" t="n">
        <v>1.5</v>
      </c>
      <c r="S189" s="8" t="n">
        <v>0</v>
      </c>
      <c r="T189" s="8" t="n">
        <v>0</v>
      </c>
      <c r="U189" s="8" t="n">
        <v>0</v>
      </c>
      <c r="V189" s="8" t="n">
        <v>0</v>
      </c>
      <c r="W189" s="8" t="n"/>
      <c r="X189" s="8" t="n"/>
      <c r="Y189" s="8" t="n"/>
      <c r="Z189" s="8" t="n"/>
      <c r="AA189" s="8" t="n">
        <v>27</v>
      </c>
      <c r="AB189" s="8" t="inlineStr">
        <is>
          <t>200C x 70h, ~25% compression, AS214 O-ring (JIS K6262)</t>
        </is>
      </c>
      <c r="AC189" s="4" t="n">
        <v>200</v>
      </c>
      <c r="AD189" s="4">
        <f>I189+J189+K189+L189+M189+N189+O189+P189</f>
        <v/>
      </c>
      <c r="AE189" s="4" t="n">
        <v>0</v>
      </c>
      <c r="AF189" s="4" t="n">
        <v>0</v>
      </c>
      <c r="AG189" s="4" t="n">
        <v>0</v>
      </c>
      <c r="AH189" s="4" t="n">
        <v>0</v>
      </c>
      <c r="AI189" s="4" t="n">
        <v>1</v>
      </c>
    </row>
    <row r="190">
      <c r="A190" s="4" t="inlineStr">
        <is>
          <t>G189</t>
        </is>
      </c>
      <c r="B190" s="8" t="inlineStr">
        <is>
          <t>US20090093590A1</t>
        </is>
      </c>
      <c r="C190" s="8" t="inlineStr">
        <is>
          <t>Nippon Valqua Industries, Ltd.</t>
        </is>
      </c>
      <c r="D190" s="8" t="inlineStr">
        <is>
          <t>Comparative Example 8</t>
        </is>
      </c>
      <c r="E190" s="8" t="inlineStr">
        <is>
          <t>FKM</t>
        </is>
      </c>
      <c r="F190" s="8" t="inlineStr">
        <is>
          <t>DAI-EL LT302 (VDF/PAVE/TFE FKM)</t>
        </is>
      </c>
      <c r="G190" s="8" t="inlineStr">
        <is>
          <t>peroxide</t>
        </is>
      </c>
      <c r="H190" s="8" t="n">
        <v>100</v>
      </c>
      <c r="I190" s="8" t="n">
        <v>20</v>
      </c>
      <c r="J190" s="8" t="n">
        <v>0</v>
      </c>
      <c r="K190" s="8" t="n">
        <v>0</v>
      </c>
      <c r="L190" s="8" t="n">
        <v>0</v>
      </c>
      <c r="M190" s="8" t="n">
        <v>0</v>
      </c>
      <c r="N190" s="8" t="n">
        <v>0</v>
      </c>
      <c r="O190" s="8" t="n">
        <v>0</v>
      </c>
      <c r="P190" s="8" t="n">
        <v>0</v>
      </c>
      <c r="Q190" s="8" t="n">
        <v>3</v>
      </c>
      <c r="R190" s="8" t="n">
        <v>1.5</v>
      </c>
      <c r="S190" s="8" t="n">
        <v>0</v>
      </c>
      <c r="T190" s="8" t="n">
        <v>0</v>
      </c>
      <c r="U190" s="8" t="n">
        <v>0</v>
      </c>
      <c r="V190" s="8" t="n">
        <v>0</v>
      </c>
      <c r="W190" s="8" t="n"/>
      <c r="X190" s="8" t="n"/>
      <c r="Y190" s="8" t="n"/>
      <c r="Z190" s="8" t="n"/>
      <c r="AA190" s="8" t="n">
        <v>35</v>
      </c>
      <c r="AB190" s="8" t="inlineStr">
        <is>
          <t>200C x 70h, ~25% compression, AS214 O-ring (JIS K6262)</t>
        </is>
      </c>
      <c r="AC190" s="4" t="n">
        <v>200</v>
      </c>
      <c r="AD190" s="4">
        <f>I190+J190+K190+L190+M190+N190+O190+P190</f>
        <v/>
      </c>
      <c r="AE190" s="4" t="n">
        <v>0</v>
      </c>
      <c r="AF190" s="4" t="n">
        <v>0</v>
      </c>
      <c r="AG190" s="4" t="n">
        <v>0</v>
      </c>
      <c r="AH190" s="4" t="n">
        <v>0</v>
      </c>
      <c r="AI190" s="4" t="n">
        <v>1</v>
      </c>
    </row>
    <row r="191">
      <c r="A191" s="4" t="inlineStr">
        <is>
          <t>G190</t>
        </is>
      </c>
      <c r="B191" s="8" t="inlineStr">
        <is>
          <t>US20160319102A1</t>
        </is>
      </c>
      <c r="C191" s="8" t="inlineStr">
        <is>
          <t>Valqua, Ltd. (Nippon Valqua Industries)</t>
        </is>
      </c>
      <c r="D191" s="8" t="inlineStr">
        <is>
          <t>Example 1</t>
        </is>
      </c>
      <c r="E191" s="8" t="inlineStr">
        <is>
          <t>FFKM</t>
        </is>
      </c>
      <c r="F191" s="8" t="inlineStr">
        <is>
          <t>3M Dyneon PFE-131TZ (TFE/PAVE/CN-PAVE) 87.6 + elastomer part of 3M Dyneon PFE-133TBZ (CN-type FFKM + fluororesin) 12.4</t>
        </is>
      </c>
      <c r="G191" s="8" t="inlineStr">
        <is>
          <t>nitrile_bisaminophenol</t>
        </is>
      </c>
      <c r="H191" s="8" t="n">
        <v>100</v>
      </c>
      <c r="I191" s="8" t="n">
        <v>0</v>
      </c>
      <c r="J191" s="8" t="n">
        <v>0</v>
      </c>
      <c r="K191" s="8" t="n">
        <v>0</v>
      </c>
      <c r="L191" s="8" t="n">
        <v>0</v>
      </c>
      <c r="M191" s="8" t="n">
        <v>0</v>
      </c>
      <c r="N191" s="8" t="n">
        <v>3.1</v>
      </c>
      <c r="O191" s="8" t="n">
        <v>0</v>
      </c>
      <c r="P191" s="8" t="n">
        <v>0</v>
      </c>
      <c r="Q191" s="8" t="n">
        <v>0</v>
      </c>
      <c r="R191" s="8" t="n">
        <v>0</v>
      </c>
      <c r="S191" s="8" t="n">
        <v>1.55</v>
      </c>
      <c r="T191" s="8" t="n">
        <v>0</v>
      </c>
      <c r="U191" s="8" t="n">
        <v>0</v>
      </c>
      <c r="V191" s="8" t="n">
        <v>0</v>
      </c>
      <c r="W191" s="8" t="n">
        <v>68</v>
      </c>
      <c r="X191" s="8" t="n">
        <v>12.6</v>
      </c>
      <c r="Y191" s="8" t="n">
        <v>220</v>
      </c>
      <c r="Z191" s="8" t="n">
        <v>2.8</v>
      </c>
      <c r="AA191" s="8" t="n">
        <v>15</v>
      </c>
      <c r="AB191" s="8" t="inlineStr">
        <is>
          <t>260C x 72h, 25% compression, O-ring 3.53 mm cross-section (JIS K6262)</t>
        </is>
      </c>
      <c r="AC191" s="4" t="n">
        <v>260</v>
      </c>
      <c r="AD191" s="4">
        <f>I191+J191+K191+L191+M191+N191+O191+P191</f>
        <v/>
      </c>
      <c r="AE191" s="4" t="n">
        <v>1</v>
      </c>
      <c r="AF191" s="4" t="n">
        <v>1</v>
      </c>
      <c r="AG191" s="4" t="n">
        <v>1</v>
      </c>
      <c r="AH191" s="4" t="n">
        <v>1</v>
      </c>
      <c r="AI191" s="4" t="n">
        <v>1</v>
      </c>
    </row>
    <row r="192">
      <c r="A192" s="4" t="inlineStr">
        <is>
          <t>G191</t>
        </is>
      </c>
      <c r="B192" s="8" t="inlineStr">
        <is>
          <t>US20160319102A1</t>
        </is>
      </c>
      <c r="C192" s="8" t="inlineStr">
        <is>
          <t>Valqua, Ltd. (Nippon Valqua Industries)</t>
        </is>
      </c>
      <c r="D192" s="8" t="inlineStr">
        <is>
          <t>Example 2</t>
        </is>
      </c>
      <c r="E192" s="8" t="inlineStr">
        <is>
          <t>FFKM</t>
        </is>
      </c>
      <c r="F192" s="8" t="inlineStr">
        <is>
          <t>3M Dyneon PFE-131TZ (TFE/PAVE/CN-PAVE) 74.5 + elastomer part of 3M Dyneon PFE-133TBZ (CN-type FFKM + fluororesin) 25.5</t>
        </is>
      </c>
      <c r="G192" s="8" t="inlineStr">
        <is>
          <t>nitrile_bisaminophenol</t>
        </is>
      </c>
      <c r="H192" s="8" t="n">
        <v>100</v>
      </c>
      <c r="I192" s="8" t="n">
        <v>0</v>
      </c>
      <c r="J192" s="8" t="n">
        <v>0</v>
      </c>
      <c r="K192" s="8" t="n">
        <v>0</v>
      </c>
      <c r="L192" s="8" t="n">
        <v>0</v>
      </c>
      <c r="M192" s="8" t="n">
        <v>0</v>
      </c>
      <c r="N192" s="8" t="n">
        <v>6.4</v>
      </c>
      <c r="O192" s="8" t="n">
        <v>0</v>
      </c>
      <c r="P192" s="8" t="n">
        <v>0</v>
      </c>
      <c r="Q192" s="8" t="n">
        <v>0</v>
      </c>
      <c r="R192" s="8" t="n">
        <v>0</v>
      </c>
      <c r="S192" s="8" t="n">
        <v>1.6</v>
      </c>
      <c r="T192" s="8" t="n">
        <v>0</v>
      </c>
      <c r="U192" s="8" t="n">
        <v>0</v>
      </c>
      <c r="V192" s="8" t="n">
        <v>0</v>
      </c>
      <c r="W192" s="8" t="n">
        <v>70</v>
      </c>
      <c r="X192" s="8" t="n">
        <v>13.3</v>
      </c>
      <c r="Y192" s="8" t="n">
        <v>225</v>
      </c>
      <c r="Z192" s="8" t="n">
        <v>3.1</v>
      </c>
      <c r="AA192" s="8" t="n">
        <v>19</v>
      </c>
      <c r="AB192" s="8" t="inlineStr">
        <is>
          <t>260C x 72h, 25% compression, O-ring 3.53 mm cross-section (JIS K6262)</t>
        </is>
      </c>
      <c r="AC192" s="4" t="n">
        <v>260</v>
      </c>
      <c r="AD192" s="4">
        <f>I192+J192+K192+L192+M192+N192+O192+P192</f>
        <v/>
      </c>
      <c r="AE192" s="4" t="n">
        <v>1</v>
      </c>
      <c r="AF192" s="4" t="n">
        <v>1</v>
      </c>
      <c r="AG192" s="4" t="n">
        <v>1</v>
      </c>
      <c r="AH192" s="4" t="n">
        <v>1</v>
      </c>
      <c r="AI192" s="4" t="n">
        <v>1</v>
      </c>
    </row>
    <row r="193">
      <c r="A193" s="4" t="inlineStr">
        <is>
          <t>G192</t>
        </is>
      </c>
      <c r="B193" s="8" t="inlineStr">
        <is>
          <t>US20160319102A1</t>
        </is>
      </c>
      <c r="C193" s="8" t="inlineStr">
        <is>
          <t>Valqua, Ltd. (Nippon Valqua Industries)</t>
        </is>
      </c>
      <c r="D193" s="8" t="inlineStr">
        <is>
          <t>Example 3</t>
        </is>
      </c>
      <c r="E193" s="8" t="inlineStr">
        <is>
          <t>FFKM</t>
        </is>
      </c>
      <c r="F193" s="8" t="inlineStr">
        <is>
          <t>3M Dyneon PFE-131TZ (TFE/PAVE/CN-PAVE) 55.6 + elastomer part of 3M Dyneon PFE-133TBZ (CN-type FFKM + fluororesin) 44.4</t>
        </is>
      </c>
      <c r="G193" s="8" t="inlineStr">
        <is>
          <t>nitrile_bisaminophenol</t>
        </is>
      </c>
      <c r="H193" s="8" t="n">
        <v>100</v>
      </c>
      <c r="I193" s="8" t="n">
        <v>0</v>
      </c>
      <c r="J193" s="8" t="n">
        <v>0</v>
      </c>
      <c r="K193" s="8" t="n">
        <v>0</v>
      </c>
      <c r="L193" s="8" t="n">
        <v>0</v>
      </c>
      <c r="M193" s="8" t="n">
        <v>0</v>
      </c>
      <c r="N193" s="8" t="n">
        <v>11.1</v>
      </c>
      <c r="O193" s="8" t="n">
        <v>0</v>
      </c>
      <c r="P193" s="8" t="n">
        <v>0</v>
      </c>
      <c r="Q193" s="8" t="n">
        <v>0</v>
      </c>
      <c r="R193" s="8" t="n">
        <v>0</v>
      </c>
      <c r="S193" s="8" t="n">
        <v>1.67</v>
      </c>
      <c r="T193" s="8" t="n">
        <v>0</v>
      </c>
      <c r="U193" s="8" t="n">
        <v>0</v>
      </c>
      <c r="V193" s="8" t="n">
        <v>0</v>
      </c>
      <c r="W193" s="8" t="n">
        <v>74</v>
      </c>
      <c r="X193" s="8" t="n">
        <v>15.5</v>
      </c>
      <c r="Y193" s="8" t="n">
        <v>210</v>
      </c>
      <c r="Z193" s="8" t="n">
        <v>4.3</v>
      </c>
      <c r="AA193" s="8" t="n">
        <v>23</v>
      </c>
      <c r="AB193" s="8" t="inlineStr">
        <is>
          <t>260C x 72h, 25% compression, O-ring 3.53 mm cross-section (JIS K6262)</t>
        </is>
      </c>
      <c r="AC193" s="4" t="n">
        <v>260</v>
      </c>
      <c r="AD193" s="4">
        <f>I193+J193+K193+L193+M193+N193+O193+P193</f>
        <v/>
      </c>
      <c r="AE193" s="4" t="n">
        <v>1</v>
      </c>
      <c r="AF193" s="4" t="n">
        <v>1</v>
      </c>
      <c r="AG193" s="4" t="n">
        <v>1</v>
      </c>
      <c r="AH193" s="4" t="n">
        <v>1</v>
      </c>
      <c r="AI193" s="4" t="n">
        <v>1</v>
      </c>
    </row>
    <row r="194">
      <c r="A194" s="4" t="inlineStr">
        <is>
          <t>G193</t>
        </is>
      </c>
      <c r="B194" s="8" t="inlineStr">
        <is>
          <t>US20160319102A1</t>
        </is>
      </c>
      <c r="C194" s="8" t="inlineStr">
        <is>
          <t>Valqua, Ltd. (Nippon Valqua Industries)</t>
        </is>
      </c>
      <c r="D194" s="8" t="inlineStr">
        <is>
          <t>Example 4</t>
        </is>
      </c>
      <c r="E194" s="8" t="inlineStr">
        <is>
          <t>FFKM</t>
        </is>
      </c>
      <c r="F194" s="8" t="inlineStr">
        <is>
          <t>3M Dyneon PFE-131TZ (TFE/PAVE/CN-PAVE) 20.4 + elastomer part of 3M Dyneon PFE-133TBZ (CN-type FFKM + fluororesin) 79.6</t>
        </is>
      </c>
      <c r="G194" s="8" t="inlineStr">
        <is>
          <t>nitrile_bisaminophenol</t>
        </is>
      </c>
      <c r="H194" s="8" t="n">
        <v>100</v>
      </c>
      <c r="I194" s="8" t="n">
        <v>0</v>
      </c>
      <c r="J194" s="8" t="n">
        <v>0</v>
      </c>
      <c r="K194" s="8" t="n">
        <v>0</v>
      </c>
      <c r="L194" s="8" t="n">
        <v>0</v>
      </c>
      <c r="M194" s="8" t="n">
        <v>0</v>
      </c>
      <c r="N194" s="8" t="n">
        <v>19.9</v>
      </c>
      <c r="O194" s="8" t="n">
        <v>0</v>
      </c>
      <c r="P194" s="8" t="n">
        <v>0</v>
      </c>
      <c r="Q194" s="8" t="n">
        <v>0</v>
      </c>
      <c r="R194" s="8" t="n">
        <v>0</v>
      </c>
      <c r="S194" s="8" t="n">
        <v>1.8</v>
      </c>
      <c r="T194" s="8" t="n">
        <v>0</v>
      </c>
      <c r="U194" s="8" t="n">
        <v>0</v>
      </c>
      <c r="V194" s="8" t="n">
        <v>0</v>
      </c>
      <c r="W194" s="8" t="n">
        <v>80</v>
      </c>
      <c r="X194" s="8" t="n">
        <v>16.5</v>
      </c>
      <c r="Y194" s="8" t="n">
        <v>225</v>
      </c>
      <c r="Z194" s="8" t="n">
        <v>5.7</v>
      </c>
      <c r="AA194" s="8" t="n">
        <v>26</v>
      </c>
      <c r="AB194" s="8" t="inlineStr">
        <is>
          <t>260C x 72h, 25% compression, O-ring 3.53 mm cross-section (JIS K6262)</t>
        </is>
      </c>
      <c r="AC194" s="4" t="n">
        <v>260</v>
      </c>
      <c r="AD194" s="4">
        <f>I194+J194+K194+L194+M194+N194+O194+P194</f>
        <v/>
      </c>
      <c r="AE194" s="4" t="n">
        <v>1</v>
      </c>
      <c r="AF194" s="4" t="n">
        <v>1</v>
      </c>
      <c r="AG194" s="4" t="n">
        <v>1</v>
      </c>
      <c r="AH194" s="4" t="n">
        <v>1</v>
      </c>
      <c r="AI194" s="4" t="n">
        <v>1</v>
      </c>
    </row>
    <row r="195">
      <c r="A195" s="4" t="inlineStr">
        <is>
          <t>G194</t>
        </is>
      </c>
      <c r="B195" s="8" t="inlineStr">
        <is>
          <t>US20160319102A1</t>
        </is>
      </c>
      <c r="C195" s="8" t="inlineStr">
        <is>
          <t>Valqua, Ltd. (Nippon Valqua Industries)</t>
        </is>
      </c>
      <c r="D195" s="8" t="inlineStr">
        <is>
          <t>Example 5</t>
        </is>
      </c>
      <c r="E195" s="8" t="inlineStr">
        <is>
          <t>FFKM</t>
        </is>
      </c>
      <c r="F195" s="8" t="inlineStr">
        <is>
          <t>3M Dyneon PFE-131TZ (TFE/PAVE/CN-PAVE)</t>
        </is>
      </c>
      <c r="G195" s="8" t="inlineStr">
        <is>
          <t>nitrile_bisaminophenol</t>
        </is>
      </c>
      <c r="H195" s="8" t="n">
        <v>100</v>
      </c>
      <c r="I195" s="8" t="n">
        <v>0</v>
      </c>
      <c r="J195" s="8" t="n">
        <v>0</v>
      </c>
      <c r="K195" s="8" t="n">
        <v>0</v>
      </c>
      <c r="L195" s="8" t="n">
        <v>0</v>
      </c>
      <c r="M195" s="8" t="n">
        <v>0</v>
      </c>
      <c r="N195" s="8" t="n">
        <v>3</v>
      </c>
      <c r="O195" s="8" t="n">
        <v>0</v>
      </c>
      <c r="P195" s="8" t="n">
        <v>0</v>
      </c>
      <c r="Q195" s="8" t="n">
        <v>0</v>
      </c>
      <c r="R195" s="8" t="n">
        <v>0</v>
      </c>
      <c r="S195" s="8" t="n">
        <v>1.5</v>
      </c>
      <c r="T195" s="8" t="n">
        <v>0</v>
      </c>
      <c r="U195" s="8" t="n">
        <v>0</v>
      </c>
      <c r="V195" s="8" t="n">
        <v>0</v>
      </c>
      <c r="W195" s="8" t="n">
        <v>68</v>
      </c>
      <c r="X195" s="8" t="n">
        <v>12.2</v>
      </c>
      <c r="Y195" s="8" t="n">
        <v>220</v>
      </c>
      <c r="Z195" s="8" t="n">
        <v>2.1</v>
      </c>
      <c r="AA195" s="8" t="n">
        <v>18</v>
      </c>
      <c r="AB195" s="8" t="inlineStr">
        <is>
          <t>260C x 72h, 25% compression, O-ring 3.53 mm cross-section (JIS K6262)</t>
        </is>
      </c>
      <c r="AC195" s="4" t="n">
        <v>260</v>
      </c>
      <c r="AD195" s="4">
        <f>I195+J195+K195+L195+M195+N195+O195+P195</f>
        <v/>
      </c>
      <c r="AE195" s="4" t="n">
        <v>1</v>
      </c>
      <c r="AF195" s="4" t="n">
        <v>1</v>
      </c>
      <c r="AG195" s="4" t="n">
        <v>1</v>
      </c>
      <c r="AH195" s="4" t="n">
        <v>1</v>
      </c>
      <c r="AI195" s="4" t="n">
        <v>1</v>
      </c>
    </row>
    <row r="196">
      <c r="A196" s="4" t="inlineStr">
        <is>
          <t>G195</t>
        </is>
      </c>
      <c r="B196" s="8" t="inlineStr">
        <is>
          <t>US20160319102A1</t>
        </is>
      </c>
      <c r="C196" s="8" t="inlineStr">
        <is>
          <t>Valqua, Ltd. (Nippon Valqua Industries)</t>
        </is>
      </c>
      <c r="D196" s="8" t="inlineStr">
        <is>
          <t>Example 6</t>
        </is>
      </c>
      <c r="E196" s="8" t="inlineStr">
        <is>
          <t>FFKM</t>
        </is>
      </c>
      <c r="F196" s="8" t="inlineStr">
        <is>
          <t>3M Dyneon PFE-131TZ (TFE/PAVE/CN-PAVE)</t>
        </is>
      </c>
      <c r="G196" s="8" t="inlineStr">
        <is>
          <t>nitrile_bisaminophenol</t>
        </is>
      </c>
      <c r="H196" s="8" t="n">
        <v>100</v>
      </c>
      <c r="I196" s="8" t="n">
        <v>0</v>
      </c>
      <c r="J196" s="8" t="n">
        <v>0</v>
      </c>
      <c r="K196" s="8" t="n">
        <v>0</v>
      </c>
      <c r="L196" s="8" t="n">
        <v>0</v>
      </c>
      <c r="M196" s="8" t="n">
        <v>0</v>
      </c>
      <c r="N196" s="8" t="n">
        <v>20</v>
      </c>
      <c r="O196" s="8" t="n">
        <v>0</v>
      </c>
      <c r="P196" s="8" t="n">
        <v>0</v>
      </c>
      <c r="Q196" s="8" t="n">
        <v>0</v>
      </c>
      <c r="R196" s="8" t="n">
        <v>0</v>
      </c>
      <c r="S196" s="8" t="n">
        <v>1.5</v>
      </c>
      <c r="T196" s="8" t="n">
        <v>0</v>
      </c>
      <c r="U196" s="8" t="n">
        <v>0</v>
      </c>
      <c r="V196" s="8" t="n">
        <v>0</v>
      </c>
      <c r="W196" s="8" t="n">
        <v>81</v>
      </c>
      <c r="X196" s="8" t="n">
        <v>13.4</v>
      </c>
      <c r="Y196" s="8" t="n">
        <v>160</v>
      </c>
      <c r="Z196" s="8" t="n">
        <v>5.1</v>
      </c>
      <c r="AA196" s="8" t="n">
        <v>29</v>
      </c>
      <c r="AB196" s="8" t="inlineStr">
        <is>
          <t>260C x 72h, 25% compression, O-ring 3.53 mm cross-section (JIS K6262)</t>
        </is>
      </c>
      <c r="AC196" s="4" t="n">
        <v>260</v>
      </c>
      <c r="AD196" s="4">
        <f>I196+J196+K196+L196+M196+N196+O196+P196</f>
        <v/>
      </c>
      <c r="AE196" s="4" t="n">
        <v>1</v>
      </c>
      <c r="AF196" s="4" t="n">
        <v>1</v>
      </c>
      <c r="AG196" s="4" t="n">
        <v>1</v>
      </c>
      <c r="AH196" s="4" t="n">
        <v>1</v>
      </c>
      <c r="AI196" s="4" t="n">
        <v>1</v>
      </c>
    </row>
    <row r="197">
      <c r="A197" s="4" t="inlineStr">
        <is>
          <t>G196</t>
        </is>
      </c>
      <c r="B197" s="8" t="inlineStr">
        <is>
          <t>US20160319102A1</t>
        </is>
      </c>
      <c r="C197" s="8" t="inlineStr">
        <is>
          <t>Valqua, Ltd. (Nippon Valqua Industries)</t>
        </is>
      </c>
      <c r="D197" s="8" t="inlineStr">
        <is>
          <t>Comparative Example 1</t>
        </is>
      </c>
      <c r="E197" s="8" t="inlineStr">
        <is>
          <t>FFKM</t>
        </is>
      </c>
      <c r="F197" s="8" t="inlineStr">
        <is>
          <t>3M Dyneon PFE-131TZ (TFE/PAVE/CN-PAVE)</t>
        </is>
      </c>
      <c r="G197" s="8" t="inlineStr">
        <is>
          <t>nitrile_bisaminophenol</t>
        </is>
      </c>
      <c r="H197" s="8" t="n">
        <v>100</v>
      </c>
      <c r="I197" s="8" t="n">
        <v>0</v>
      </c>
      <c r="J197" s="8" t="n">
        <v>0</v>
      </c>
      <c r="K197" s="8" t="n">
        <v>0</v>
      </c>
      <c r="L197" s="8" t="n">
        <v>0</v>
      </c>
      <c r="M197" s="8" t="n">
        <v>0</v>
      </c>
      <c r="N197" s="8" t="n">
        <v>0</v>
      </c>
      <c r="O197" s="8" t="n">
        <v>0</v>
      </c>
      <c r="P197" s="8" t="n">
        <v>0</v>
      </c>
      <c r="Q197" s="8" t="n">
        <v>0</v>
      </c>
      <c r="R197" s="8" t="n">
        <v>0</v>
      </c>
      <c r="S197" s="8" t="n">
        <v>1.5</v>
      </c>
      <c r="T197" s="8" t="n">
        <v>0</v>
      </c>
      <c r="U197" s="8" t="n">
        <v>0</v>
      </c>
      <c r="V197" s="8" t="n">
        <v>0</v>
      </c>
      <c r="W197" s="8" t="n">
        <v>64</v>
      </c>
      <c r="X197" s="8" t="n">
        <v>11.5</v>
      </c>
      <c r="Y197" s="8" t="n">
        <v>210</v>
      </c>
      <c r="Z197" s="8" t="n">
        <v>1.5</v>
      </c>
      <c r="AA197" s="8" t="n">
        <v>11</v>
      </c>
      <c r="AB197" s="8" t="inlineStr">
        <is>
          <t>260C x 72h, 25% compression, O-ring 3.53 mm cross-section (JIS K6262)</t>
        </is>
      </c>
      <c r="AC197" s="4" t="n">
        <v>260</v>
      </c>
      <c r="AD197" s="4">
        <f>I197+J197+K197+L197+M197+N197+O197+P197</f>
        <v/>
      </c>
      <c r="AE197" s="4" t="n">
        <v>1</v>
      </c>
      <c r="AF197" s="4" t="n">
        <v>1</v>
      </c>
      <c r="AG197" s="4" t="n">
        <v>1</v>
      </c>
      <c r="AH197" s="4" t="n">
        <v>1</v>
      </c>
      <c r="AI197" s="4" t="n">
        <v>1</v>
      </c>
    </row>
    <row r="198">
      <c r="A198" s="4" t="inlineStr">
        <is>
          <t>G197</t>
        </is>
      </c>
      <c r="B198" s="8" t="inlineStr">
        <is>
          <t>US20160319102A1</t>
        </is>
      </c>
      <c r="C198" s="8" t="inlineStr">
        <is>
          <t>Valqua, Ltd. (Nippon Valqua Industries)</t>
        </is>
      </c>
      <c r="D198" s="8" t="inlineStr">
        <is>
          <t>Comparative Example 2</t>
        </is>
      </c>
      <c r="E198" s="8" t="inlineStr">
        <is>
          <t>FFKM</t>
        </is>
      </c>
      <c r="F198" s="8" t="inlineStr">
        <is>
          <t>elastomer part of 3M Dyneon PFE-133TBZ (CN-type FFKM + fluororesin)</t>
        </is>
      </c>
      <c r="G198" s="8" t="inlineStr">
        <is>
          <t>nitrile_bisaminophenol</t>
        </is>
      </c>
      <c r="H198" s="8" t="n">
        <v>100</v>
      </c>
      <c r="I198" s="8" t="n">
        <v>0</v>
      </c>
      <c r="J198" s="8" t="n">
        <v>0</v>
      </c>
      <c r="K198" s="8" t="n">
        <v>0</v>
      </c>
      <c r="L198" s="8" t="n">
        <v>0</v>
      </c>
      <c r="M198" s="8" t="n">
        <v>0</v>
      </c>
      <c r="N198" s="8" t="n">
        <v>25</v>
      </c>
      <c r="O198" s="8" t="n">
        <v>0</v>
      </c>
      <c r="P198" s="8" t="n">
        <v>0</v>
      </c>
      <c r="Q198" s="8" t="n">
        <v>0</v>
      </c>
      <c r="R198" s="8" t="n">
        <v>0</v>
      </c>
      <c r="S198" s="8" t="n">
        <v>1.89</v>
      </c>
      <c r="T198" s="8" t="n">
        <v>0</v>
      </c>
      <c r="U198" s="8" t="n">
        <v>0</v>
      </c>
      <c r="V198" s="8" t="n">
        <v>0</v>
      </c>
      <c r="W198" s="8" t="n">
        <v>85</v>
      </c>
      <c r="X198" s="8" t="n">
        <v>20</v>
      </c>
      <c r="Y198" s="8" t="n">
        <v>215</v>
      </c>
      <c r="Z198" s="8" t="n">
        <v>7.9</v>
      </c>
      <c r="AA198" s="8" t="n">
        <v>36</v>
      </c>
      <c r="AB198" s="8" t="inlineStr">
        <is>
          <t>260C x 72h, 25% compression, O-ring 3.53 mm cross-section (JIS K6262)</t>
        </is>
      </c>
      <c r="AC198" s="4" t="n">
        <v>260</v>
      </c>
      <c r="AD198" s="4">
        <f>I198+J198+K198+L198+M198+N198+O198+P198</f>
        <v/>
      </c>
      <c r="AE198" s="4" t="n">
        <v>1</v>
      </c>
      <c r="AF198" s="4" t="n">
        <v>1</v>
      </c>
      <c r="AG198" s="4" t="n">
        <v>1</v>
      </c>
      <c r="AH198" s="4" t="n">
        <v>1</v>
      </c>
      <c r="AI198" s="4" t="n">
        <v>1</v>
      </c>
    </row>
    <row r="199">
      <c r="A199" s="4" t="inlineStr">
        <is>
          <t>G198</t>
        </is>
      </c>
      <c r="B199" s="8" t="inlineStr">
        <is>
          <t>US20160319102A1</t>
        </is>
      </c>
      <c r="C199" s="8" t="inlineStr">
        <is>
          <t>Valqua, Ltd. (Nippon Valqua Industries)</t>
        </is>
      </c>
      <c r="D199" s="8" t="inlineStr">
        <is>
          <t>Comparative Example 3</t>
        </is>
      </c>
      <c r="E199" s="8" t="inlineStr">
        <is>
          <t>FFKM</t>
        </is>
      </c>
      <c r="F199" s="8" t="inlineStr">
        <is>
          <t>3M Dyneon PFE-131TZ (TFE/PAVE/CN-PAVE) 74.5 + elastomer part of 3M Dyneon PFE-133TBZ (CN-type FFKM + fluororesin) 25.5</t>
        </is>
      </c>
      <c r="G199" s="8" t="inlineStr">
        <is>
          <t>nitrile_triazine</t>
        </is>
      </c>
      <c r="H199" s="8" t="n">
        <v>100</v>
      </c>
      <c r="I199" s="8" t="n">
        <v>0</v>
      </c>
      <c r="J199" s="8" t="n">
        <v>0</v>
      </c>
      <c r="K199" s="8" t="n">
        <v>0</v>
      </c>
      <c r="L199" s="8" t="n">
        <v>0</v>
      </c>
      <c r="M199" s="8" t="n">
        <v>0</v>
      </c>
      <c r="N199" s="8" t="n">
        <v>6.4</v>
      </c>
      <c r="O199" s="8" t="n">
        <v>0</v>
      </c>
      <c r="P199" s="8" t="n">
        <v>0</v>
      </c>
      <c r="Q199" s="8" t="n">
        <v>0</v>
      </c>
      <c r="R199" s="8" t="n">
        <v>0</v>
      </c>
      <c r="S199" s="8" t="n">
        <v>1.38</v>
      </c>
      <c r="T199" s="8" t="n">
        <v>0</v>
      </c>
      <c r="U199" s="8" t="n">
        <v>0</v>
      </c>
      <c r="V199" s="8" t="n">
        <v>0</v>
      </c>
      <c r="W199" s="8" t="n">
        <v>61</v>
      </c>
      <c r="X199" s="8" t="n">
        <v>15.9</v>
      </c>
      <c r="Y199" s="8" t="n">
        <v>260</v>
      </c>
      <c r="Z199" s="8" t="n">
        <v>2</v>
      </c>
      <c r="AA199" s="8" t="n">
        <v>21</v>
      </c>
      <c r="AB199" s="8" t="inlineStr">
        <is>
          <t>260C x 72h, 25% compression, O-ring 3.53 mm cross-section (JIS K6262)</t>
        </is>
      </c>
      <c r="AC199" s="4" t="n">
        <v>260</v>
      </c>
      <c r="AD199" s="4">
        <f>I199+J199+K199+L199+M199+N199+O199+P199</f>
        <v/>
      </c>
      <c r="AE199" s="4" t="n">
        <v>1</v>
      </c>
      <c r="AF199" s="4" t="n">
        <v>1</v>
      </c>
      <c r="AG199" s="4" t="n">
        <v>1</v>
      </c>
      <c r="AH199" s="4" t="n">
        <v>1</v>
      </c>
      <c r="AI199" s="4" t="n">
        <v>1</v>
      </c>
    </row>
    <row r="200">
      <c r="A200" s="4" t="inlineStr">
        <is>
          <t>G199</t>
        </is>
      </c>
      <c r="B200" s="8" t="inlineStr">
        <is>
          <t>US20160319102A1</t>
        </is>
      </c>
      <c r="C200" s="8" t="inlineStr">
        <is>
          <t>Valqua, Ltd. (Nippon Valqua Industries)</t>
        </is>
      </c>
      <c r="D200" s="8" t="inlineStr">
        <is>
          <t>Comparative Example 4</t>
        </is>
      </c>
      <c r="E200" s="8" t="inlineStr">
        <is>
          <t>FFKM</t>
        </is>
      </c>
      <c r="F200" s="8" t="inlineStr">
        <is>
          <t>3M Dyneon PFE-131TZ (TFE/PAVE/CN-PAVE) 55.6 + elastomer part of 3M Dyneon PFE-133TBZ (CN-type FFKM + fluororesin) 44.4</t>
        </is>
      </c>
      <c r="G200" s="8" t="inlineStr">
        <is>
          <t>nitrile_triazine</t>
        </is>
      </c>
      <c r="H200" s="8" t="n">
        <v>100</v>
      </c>
      <c r="I200" s="8" t="n">
        <v>0</v>
      </c>
      <c r="J200" s="8" t="n">
        <v>0</v>
      </c>
      <c r="K200" s="8" t="n">
        <v>0</v>
      </c>
      <c r="L200" s="8" t="n">
        <v>0</v>
      </c>
      <c r="M200" s="8" t="n">
        <v>0</v>
      </c>
      <c r="N200" s="8" t="n">
        <v>11.1</v>
      </c>
      <c r="O200" s="8" t="n">
        <v>0</v>
      </c>
      <c r="P200" s="8" t="n">
        <v>0</v>
      </c>
      <c r="Q200" s="8" t="n">
        <v>0</v>
      </c>
      <c r="R200" s="8" t="n">
        <v>0</v>
      </c>
      <c r="S200" s="8" t="n">
        <v>1.44</v>
      </c>
      <c r="T200" s="8" t="n">
        <v>0</v>
      </c>
      <c r="U200" s="8" t="n">
        <v>0</v>
      </c>
      <c r="V200" s="8" t="n">
        <v>0</v>
      </c>
      <c r="W200" s="8" t="n">
        <v>64</v>
      </c>
      <c r="X200" s="8" t="n">
        <v>17.5</v>
      </c>
      <c r="Y200" s="8" t="n">
        <v>280</v>
      </c>
      <c r="Z200" s="8" t="n">
        <v>2.5</v>
      </c>
      <c r="AA200" s="8" t="n">
        <v>23</v>
      </c>
      <c r="AB200" s="8" t="inlineStr">
        <is>
          <t>260C x 72h, 25% compression, O-ring 3.53 mm cross-section (JIS K6262)</t>
        </is>
      </c>
      <c r="AC200" s="4" t="n">
        <v>260</v>
      </c>
      <c r="AD200" s="4">
        <f>I200+J200+K200+L200+M200+N200+O200+P200</f>
        <v/>
      </c>
      <c r="AE200" s="4" t="n">
        <v>1</v>
      </c>
      <c r="AF200" s="4" t="n">
        <v>1</v>
      </c>
      <c r="AG200" s="4" t="n">
        <v>1</v>
      </c>
      <c r="AH200" s="4" t="n">
        <v>1</v>
      </c>
      <c r="AI200" s="4" t="n">
        <v>1</v>
      </c>
    </row>
    <row r="201">
      <c r="A201" s="4" t="inlineStr">
        <is>
          <t>G200</t>
        </is>
      </c>
      <c r="B201" s="8" t="inlineStr">
        <is>
          <t>US20160319102A1</t>
        </is>
      </c>
      <c r="C201" s="8" t="inlineStr">
        <is>
          <t>Valqua, Ltd. (Nippon Valqua Industries)</t>
        </is>
      </c>
      <c r="D201" s="8" t="inlineStr">
        <is>
          <t>Comparative Example 5</t>
        </is>
      </c>
      <c r="E201" s="8" t="inlineStr">
        <is>
          <t>FFKM</t>
        </is>
      </c>
      <c r="F201" s="8" t="inlineStr">
        <is>
          <t>3M Dyneon PFE-131TZ (TFE/PAVE/CN-PAVE) 20.4 + elastomer part of 3M Dyneon PFE-133TBZ (CN-type FFKM + fluororesin) 79.6</t>
        </is>
      </c>
      <c r="G201" s="8" t="inlineStr">
        <is>
          <t>nitrile_triazine</t>
        </is>
      </c>
      <c r="H201" s="8" t="n">
        <v>100</v>
      </c>
      <c r="I201" s="8" t="n">
        <v>0</v>
      </c>
      <c r="J201" s="8" t="n">
        <v>0</v>
      </c>
      <c r="K201" s="8" t="n">
        <v>0</v>
      </c>
      <c r="L201" s="8" t="n">
        <v>0</v>
      </c>
      <c r="M201" s="8" t="n">
        <v>0</v>
      </c>
      <c r="N201" s="8" t="n">
        <v>19.9</v>
      </c>
      <c r="O201" s="8" t="n">
        <v>0</v>
      </c>
      <c r="P201" s="8" t="n">
        <v>0</v>
      </c>
      <c r="Q201" s="8" t="n">
        <v>0</v>
      </c>
      <c r="R201" s="8" t="n">
        <v>0</v>
      </c>
      <c r="S201" s="8" t="n">
        <v>1.56</v>
      </c>
      <c r="T201" s="8" t="n">
        <v>0</v>
      </c>
      <c r="U201" s="8" t="n">
        <v>0</v>
      </c>
      <c r="V201" s="8" t="n">
        <v>0</v>
      </c>
      <c r="W201" s="8" t="n">
        <v>68</v>
      </c>
      <c r="X201" s="8" t="n">
        <v>18</v>
      </c>
      <c r="Y201" s="8" t="n">
        <v>270</v>
      </c>
      <c r="Z201" s="8" t="n">
        <v>2.8</v>
      </c>
      <c r="AA201" s="8" t="n">
        <v>27</v>
      </c>
      <c r="AB201" s="8" t="inlineStr">
        <is>
          <t>260C x 72h, 25% compression, O-ring 3.53 mm cross-section (JIS K6262)</t>
        </is>
      </c>
      <c r="AC201" s="4" t="n">
        <v>260</v>
      </c>
      <c r="AD201" s="4">
        <f>I201+J201+K201+L201+M201+N201+O201+P201</f>
        <v/>
      </c>
      <c r="AE201" s="4" t="n">
        <v>1</v>
      </c>
      <c r="AF201" s="4" t="n">
        <v>1</v>
      </c>
      <c r="AG201" s="4" t="n">
        <v>1</v>
      </c>
      <c r="AH201" s="4" t="n">
        <v>1</v>
      </c>
      <c r="AI201" s="4" t="n">
        <v>1</v>
      </c>
    </row>
    <row r="202">
      <c r="A202" s="4" t="inlineStr">
        <is>
          <t>G201</t>
        </is>
      </c>
      <c r="B202" s="8" t="inlineStr">
        <is>
          <t>US20160319102A1</t>
        </is>
      </c>
      <c r="C202" s="8" t="inlineStr">
        <is>
          <t>Valqua, Ltd. (Nippon Valqua Industries)</t>
        </is>
      </c>
      <c r="D202" s="8" t="inlineStr">
        <is>
          <t>Comparative Example 7</t>
        </is>
      </c>
      <c r="E202" s="8" t="inlineStr">
        <is>
          <t>FFKM</t>
        </is>
      </c>
      <c r="F202" s="8" t="inlineStr">
        <is>
          <t>3M Dyneon PFE-131TZ (TFE/PAVE/CN-PAVE)</t>
        </is>
      </c>
      <c r="G202" s="8" t="inlineStr">
        <is>
          <t>nitrile_triazine</t>
        </is>
      </c>
      <c r="H202" s="8" t="n">
        <v>100</v>
      </c>
      <c r="I202" s="8" t="n">
        <v>0</v>
      </c>
      <c r="J202" s="8" t="n">
        <v>0</v>
      </c>
      <c r="K202" s="8" t="n">
        <v>0</v>
      </c>
      <c r="L202" s="8" t="n">
        <v>0</v>
      </c>
      <c r="M202" s="8" t="n">
        <v>0</v>
      </c>
      <c r="N202" s="8" t="n">
        <v>3</v>
      </c>
      <c r="O202" s="8" t="n">
        <v>0</v>
      </c>
      <c r="P202" s="8" t="n">
        <v>0</v>
      </c>
      <c r="Q202" s="8" t="n">
        <v>0</v>
      </c>
      <c r="R202" s="8" t="n">
        <v>0</v>
      </c>
      <c r="S202" s="8" t="n">
        <v>1.3</v>
      </c>
      <c r="T202" s="8" t="n">
        <v>0</v>
      </c>
      <c r="U202" s="8" t="n">
        <v>0</v>
      </c>
      <c r="V202" s="8" t="n">
        <v>0</v>
      </c>
      <c r="W202" s="8" t="n">
        <v>61</v>
      </c>
      <c r="X202" s="8" t="n">
        <v>13.5</v>
      </c>
      <c r="Y202" s="8" t="n">
        <v>240</v>
      </c>
      <c r="Z202" s="8" t="n">
        <v>1.7</v>
      </c>
      <c r="AA202" s="8" t="n">
        <v>20</v>
      </c>
      <c r="AB202" s="8" t="inlineStr">
        <is>
          <t>260C x 72h, 25% compression, O-ring 3.53 mm cross-section (JIS K6262)</t>
        </is>
      </c>
      <c r="AC202" s="4" t="n">
        <v>260</v>
      </c>
      <c r="AD202" s="4">
        <f>I202+J202+K202+L202+M202+N202+O202+P202</f>
        <v/>
      </c>
      <c r="AE202" s="4" t="n">
        <v>1</v>
      </c>
      <c r="AF202" s="4" t="n">
        <v>1</v>
      </c>
      <c r="AG202" s="4" t="n">
        <v>1</v>
      </c>
      <c r="AH202" s="4" t="n">
        <v>1</v>
      </c>
      <c r="AI202" s="4" t="n">
        <v>1</v>
      </c>
    </row>
    <row r="203">
      <c r="A203" s="4" t="inlineStr">
        <is>
          <t>G202</t>
        </is>
      </c>
      <c r="B203" s="8" t="inlineStr">
        <is>
          <t>US20160319102A1</t>
        </is>
      </c>
      <c r="C203" s="8" t="inlineStr">
        <is>
          <t>Valqua, Ltd. (Nippon Valqua Industries)</t>
        </is>
      </c>
      <c r="D203" s="8" t="inlineStr">
        <is>
          <t>Comparative Example 8</t>
        </is>
      </c>
      <c r="E203" s="8" t="inlineStr">
        <is>
          <t>FFKM</t>
        </is>
      </c>
      <c r="F203" s="8" t="inlineStr">
        <is>
          <t>3M Dyneon PFE-131TZ (TFE/PAVE/CN-PAVE)</t>
        </is>
      </c>
      <c r="G203" s="8" t="inlineStr">
        <is>
          <t>nitrile_triazine</t>
        </is>
      </c>
      <c r="H203" s="8" t="n">
        <v>100</v>
      </c>
      <c r="I203" s="8" t="n">
        <v>0</v>
      </c>
      <c r="J203" s="8" t="n">
        <v>0</v>
      </c>
      <c r="K203" s="8" t="n">
        <v>0</v>
      </c>
      <c r="L203" s="8" t="n">
        <v>0</v>
      </c>
      <c r="M203" s="8" t="n">
        <v>0</v>
      </c>
      <c r="N203" s="8" t="n">
        <v>20</v>
      </c>
      <c r="O203" s="8" t="n">
        <v>0</v>
      </c>
      <c r="P203" s="8" t="n">
        <v>0</v>
      </c>
      <c r="Q203" s="8" t="n">
        <v>0</v>
      </c>
      <c r="R203" s="8" t="n">
        <v>0</v>
      </c>
      <c r="S203" s="8" t="n">
        <v>1.3</v>
      </c>
      <c r="T203" s="8" t="n">
        <v>0</v>
      </c>
      <c r="U203" s="8" t="n">
        <v>0</v>
      </c>
      <c r="V203" s="8" t="n">
        <v>0</v>
      </c>
      <c r="W203" s="8" t="n">
        <v>74</v>
      </c>
      <c r="X203" s="8" t="n">
        <v>8.800000000000001</v>
      </c>
      <c r="Y203" s="8" t="n">
        <v>190</v>
      </c>
      <c r="Z203" s="8" t="n">
        <v>2.7</v>
      </c>
      <c r="AA203" s="8" t="n">
        <v>30</v>
      </c>
      <c r="AB203" s="8" t="inlineStr">
        <is>
          <t>260C x 72h, 25% compression, O-ring 3.53 mm cross-section (JIS K6262)</t>
        </is>
      </c>
      <c r="AC203" s="4" t="n">
        <v>260</v>
      </c>
      <c r="AD203" s="4">
        <f>I203+J203+K203+L203+M203+N203+O203+P203</f>
        <v/>
      </c>
      <c r="AE203" s="4" t="n">
        <v>1</v>
      </c>
      <c r="AF203" s="4" t="n">
        <v>1</v>
      </c>
      <c r="AG203" s="4" t="n">
        <v>1</v>
      </c>
      <c r="AH203" s="4" t="n">
        <v>1</v>
      </c>
      <c r="AI203" s="4" t="n">
        <v>1</v>
      </c>
    </row>
    <row r="204">
      <c r="A204" s="4" t="inlineStr">
        <is>
          <t>G203</t>
        </is>
      </c>
      <c r="B204" s="8" t="inlineStr">
        <is>
          <t>US20160319102A1</t>
        </is>
      </c>
      <c r="C204" s="8" t="inlineStr">
        <is>
          <t>Valqua, Ltd. (Nippon Valqua Industries)</t>
        </is>
      </c>
      <c r="D204" s="8" t="inlineStr">
        <is>
          <t>Comparative Example 9</t>
        </is>
      </c>
      <c r="E204" s="8" t="inlineStr">
        <is>
          <t>FFKM</t>
        </is>
      </c>
      <c r="F204" s="8" t="inlineStr">
        <is>
          <t>3M Dyneon PFE-131TZ (TFE/PAVE/CN-PAVE)</t>
        </is>
      </c>
      <c r="G204" s="8" t="inlineStr">
        <is>
          <t>nitrile_bisaminophenol</t>
        </is>
      </c>
      <c r="H204" s="8" t="n">
        <v>100</v>
      </c>
      <c r="I204" s="8" t="n">
        <v>0</v>
      </c>
      <c r="J204" s="8" t="n">
        <v>0</v>
      </c>
      <c r="K204" s="8" t="n">
        <v>0</v>
      </c>
      <c r="L204" s="8" t="n">
        <v>0</v>
      </c>
      <c r="M204" s="8" t="n">
        <v>0</v>
      </c>
      <c r="N204" s="8" t="n">
        <v>25</v>
      </c>
      <c r="O204" s="8" t="n">
        <v>0</v>
      </c>
      <c r="P204" s="8" t="n">
        <v>0</v>
      </c>
      <c r="Q204" s="8" t="n">
        <v>0</v>
      </c>
      <c r="R204" s="8" t="n">
        <v>0</v>
      </c>
      <c r="S204" s="8" t="n">
        <v>1.5</v>
      </c>
      <c r="T204" s="8" t="n">
        <v>0</v>
      </c>
      <c r="U204" s="8" t="n">
        <v>0</v>
      </c>
      <c r="V204" s="8" t="n">
        <v>0</v>
      </c>
      <c r="W204" s="8" t="n">
        <v>86</v>
      </c>
      <c r="X204" s="8" t="n">
        <v>13.9</v>
      </c>
      <c r="Y204" s="8" t="n">
        <v>130</v>
      </c>
      <c r="Z204" s="8" t="n">
        <v>6.9</v>
      </c>
      <c r="AA204" s="8" t="n">
        <v>33</v>
      </c>
      <c r="AB204" s="8" t="inlineStr">
        <is>
          <t>260C x 72h, 25% compression, O-ring 3.53 mm cross-section (JIS K6262)</t>
        </is>
      </c>
      <c r="AC204" s="4" t="n">
        <v>260</v>
      </c>
      <c r="AD204" s="4">
        <f>I204+J204+K204+L204+M204+N204+O204+P204</f>
        <v/>
      </c>
      <c r="AE204" s="4" t="n">
        <v>1</v>
      </c>
      <c r="AF204" s="4" t="n">
        <v>1</v>
      </c>
      <c r="AG204" s="4" t="n">
        <v>1</v>
      </c>
      <c r="AH204" s="4" t="n">
        <v>1</v>
      </c>
      <c r="AI204" s="4" t="n">
        <v>1</v>
      </c>
    </row>
    <row r="205">
      <c r="A205" s="4" t="inlineStr">
        <is>
          <t>G204</t>
        </is>
      </c>
      <c r="B205" s="8" t="inlineStr">
        <is>
          <t>US20160319102A1</t>
        </is>
      </c>
      <c r="C205" s="8" t="inlineStr">
        <is>
          <t>Valqua, Ltd. (Nippon Valqua Industries)</t>
        </is>
      </c>
      <c r="D205" s="8" t="inlineStr">
        <is>
          <t>Comparative Example 6</t>
        </is>
      </c>
      <c r="E205" s="8" t="inlineStr">
        <is>
          <t>FFKM</t>
        </is>
      </c>
      <c r="F205" s="8" t="inlineStr">
        <is>
          <t>Tecnoflon PFR94 (Solvay Specialty Polymers)</t>
        </is>
      </c>
      <c r="G205" s="8" t="inlineStr">
        <is>
          <t>peroxide</t>
        </is>
      </c>
      <c r="H205" s="8" t="n">
        <v>100</v>
      </c>
      <c r="I205" s="8" t="n">
        <v>0</v>
      </c>
      <c r="J205" s="8" t="n">
        <v>0</v>
      </c>
      <c r="K205" s="8" t="n">
        <v>0</v>
      </c>
      <c r="L205" s="8" t="n">
        <v>0</v>
      </c>
      <c r="M205" s="8" t="n">
        <v>0</v>
      </c>
      <c r="N205" s="8" t="n">
        <v>11</v>
      </c>
      <c r="O205" s="8" t="n">
        <v>0</v>
      </c>
      <c r="P205" s="8" t="n">
        <v>0</v>
      </c>
      <c r="Q205" s="8" t="n">
        <v>3</v>
      </c>
      <c r="R205" s="8" t="n">
        <v>1</v>
      </c>
      <c r="S205" s="8" t="n">
        <v>0</v>
      </c>
      <c r="T205" s="8" t="n">
        <v>0</v>
      </c>
      <c r="U205" s="8" t="n">
        <v>0</v>
      </c>
      <c r="V205" s="8" t="n">
        <v>0</v>
      </c>
      <c r="W205" s="8" t="n">
        <v>64</v>
      </c>
      <c r="X205" s="8" t="n">
        <v>11.3</v>
      </c>
      <c r="Y205" s="8" t="n">
        <v>160</v>
      </c>
      <c r="Z205" s="8" t="n">
        <v>2.5</v>
      </c>
      <c r="AA205" s="8" t="n">
        <v>95</v>
      </c>
      <c r="AB205" s="8" t="inlineStr">
        <is>
          <t>260C x 72h, 25% compression, O-ring 3.53 mm cross-section (JIS K6262)</t>
        </is>
      </c>
      <c r="AC205" s="4" t="n">
        <v>260</v>
      </c>
      <c r="AD205" s="4">
        <f>I205+J205+K205+L205+M205+N205+O205+P205</f>
        <v/>
      </c>
      <c r="AE205" s="4" t="n">
        <v>1</v>
      </c>
      <c r="AF205" s="4" t="n">
        <v>1</v>
      </c>
      <c r="AG205" s="4" t="n">
        <v>1</v>
      </c>
      <c r="AH205" s="4" t="n">
        <v>1</v>
      </c>
      <c r="AI205" s="4" t="n">
        <v>1</v>
      </c>
    </row>
    <row r="206">
      <c r="A206" s="4" t="inlineStr">
        <is>
          <t>G205</t>
        </is>
      </c>
      <c r="B206" s="8" t="inlineStr">
        <is>
          <t>US11118045B2</t>
        </is>
      </c>
      <c r="C206" s="8" t="inlineStr">
        <is>
          <t>Valqua, Ltd.</t>
        </is>
      </c>
      <c r="D206" s="8" t="inlineStr">
        <is>
          <t>Example 1</t>
        </is>
      </c>
      <c r="E206" s="8" t="inlineStr">
        <is>
          <t>FFKM</t>
        </is>
      </c>
      <c r="F206" s="8" t="inlineStr">
        <is>
          <t>Tecnoflon PFR5910M (Solvay; TFE/PAVE/I-PAVE FFKM; elastomer part)</t>
        </is>
      </c>
      <c r="G206" s="8" t="inlineStr">
        <is>
          <t>peroxide</t>
        </is>
      </c>
      <c r="H206" s="8" t="n">
        <v>100</v>
      </c>
      <c r="I206" s="8" t="n">
        <v>0</v>
      </c>
      <c r="J206" s="8" t="n">
        <v>0</v>
      </c>
      <c r="K206" s="8" t="n">
        <v>0</v>
      </c>
      <c r="L206" s="8" t="n">
        <v>0</v>
      </c>
      <c r="M206" s="8" t="n">
        <v>0</v>
      </c>
      <c r="N206" s="8" t="n">
        <v>11</v>
      </c>
      <c r="O206" s="8" t="n">
        <v>0</v>
      </c>
      <c r="P206" s="8" t="n">
        <v>0.1</v>
      </c>
      <c r="Q206" s="8" t="n">
        <v>2</v>
      </c>
      <c r="R206" s="8" t="n">
        <v>1</v>
      </c>
      <c r="S206" s="8" t="n">
        <v>0</v>
      </c>
      <c r="T206" s="8" t="n">
        <v>0</v>
      </c>
      <c r="U206" s="8" t="n">
        <v>0</v>
      </c>
      <c r="V206" s="8" t="n">
        <v>0</v>
      </c>
      <c r="W206" s="8" t="n"/>
      <c r="X206" s="8" t="n"/>
      <c r="Y206" s="8" t="n"/>
      <c r="Z206" s="8" t="n"/>
      <c r="AA206" s="8" t="n">
        <v>20</v>
      </c>
      <c r="AB206" s="8" t="inlineStr">
        <is>
          <t>200C x 72h, 25% compression, O-ring 3.53 mm cross-section (JIS K6262)</t>
        </is>
      </c>
      <c r="AC206" s="4" t="n">
        <v>200</v>
      </c>
      <c r="AD206" s="4">
        <f>I206+J206+K206+L206+M206+N206+O206+P206</f>
        <v/>
      </c>
      <c r="AE206" s="4" t="n">
        <v>0</v>
      </c>
      <c r="AF206" s="4" t="n">
        <v>0</v>
      </c>
      <c r="AG206" s="4" t="n">
        <v>0</v>
      </c>
      <c r="AH206" s="4" t="n">
        <v>0</v>
      </c>
      <c r="AI206" s="4" t="n">
        <v>1</v>
      </c>
    </row>
    <row r="207">
      <c r="A207" s="4" t="inlineStr">
        <is>
          <t>G206</t>
        </is>
      </c>
      <c r="B207" s="8" t="inlineStr">
        <is>
          <t>US11118045B2</t>
        </is>
      </c>
      <c r="C207" s="8" t="inlineStr">
        <is>
          <t>Valqua, Ltd.</t>
        </is>
      </c>
      <c r="D207" s="8" t="inlineStr">
        <is>
          <t>Example 3</t>
        </is>
      </c>
      <c r="E207" s="8" t="inlineStr">
        <is>
          <t>FFKM</t>
        </is>
      </c>
      <c r="F207" s="8" t="inlineStr">
        <is>
          <t>Tecnoflon PFR5910M (Solvay; TFE/PAVE/I-PAVE FFKM; elastomer part)</t>
        </is>
      </c>
      <c r="G207" s="8" t="inlineStr">
        <is>
          <t>peroxide</t>
        </is>
      </c>
      <c r="H207" s="8" t="n">
        <v>100</v>
      </c>
      <c r="I207" s="8" t="n">
        <v>0</v>
      </c>
      <c r="J207" s="8" t="n">
        <v>0</v>
      </c>
      <c r="K207" s="8" t="n">
        <v>0</v>
      </c>
      <c r="L207" s="8" t="n">
        <v>0</v>
      </c>
      <c r="M207" s="8" t="n">
        <v>0</v>
      </c>
      <c r="N207" s="8" t="n">
        <v>11</v>
      </c>
      <c r="O207" s="8" t="n">
        <v>0</v>
      </c>
      <c r="P207" s="8" t="n">
        <v>0.3</v>
      </c>
      <c r="Q207" s="8" t="n">
        <v>2</v>
      </c>
      <c r="R207" s="8" t="n">
        <v>1</v>
      </c>
      <c r="S207" s="8" t="n">
        <v>0</v>
      </c>
      <c r="T207" s="8" t="n">
        <v>0</v>
      </c>
      <c r="U207" s="8" t="n">
        <v>0</v>
      </c>
      <c r="V207" s="8" t="n">
        <v>0</v>
      </c>
      <c r="W207" s="8" t="n"/>
      <c r="X207" s="8" t="n"/>
      <c r="Y207" s="8" t="n"/>
      <c r="Z207" s="8" t="n"/>
      <c r="AA207" s="8" t="n">
        <v>23</v>
      </c>
      <c r="AB207" s="8" t="inlineStr">
        <is>
          <t>200C x 72h, 25% compression, O-ring 3.53 mm cross-section (JIS K6262)</t>
        </is>
      </c>
      <c r="AC207" s="4" t="n">
        <v>200</v>
      </c>
      <c r="AD207" s="4">
        <f>I207+J207+K207+L207+M207+N207+O207+P207</f>
        <v/>
      </c>
      <c r="AE207" s="4" t="n">
        <v>0</v>
      </c>
      <c r="AF207" s="4" t="n">
        <v>0</v>
      </c>
      <c r="AG207" s="4" t="n">
        <v>0</v>
      </c>
      <c r="AH207" s="4" t="n">
        <v>0</v>
      </c>
      <c r="AI207" s="4" t="n">
        <v>1</v>
      </c>
    </row>
    <row r="208">
      <c r="A208" s="4" t="inlineStr">
        <is>
          <t>G207</t>
        </is>
      </c>
      <c r="B208" s="8" t="inlineStr">
        <is>
          <t>US11118045B2</t>
        </is>
      </c>
      <c r="C208" s="8" t="inlineStr">
        <is>
          <t>Valqua, Ltd.</t>
        </is>
      </c>
      <c r="D208" s="8" t="inlineStr">
        <is>
          <t>Example 4</t>
        </is>
      </c>
      <c r="E208" s="8" t="inlineStr">
        <is>
          <t>FFKM</t>
        </is>
      </c>
      <c r="F208" s="8" t="inlineStr">
        <is>
          <t>Tecnoflon PFR5910M (Solvay; TFE/PAVE/I-PAVE FFKM; elastomer part)</t>
        </is>
      </c>
      <c r="G208" s="8" t="inlineStr">
        <is>
          <t>peroxide</t>
        </is>
      </c>
      <c r="H208" s="8" t="n">
        <v>100</v>
      </c>
      <c r="I208" s="8" t="n">
        <v>0</v>
      </c>
      <c r="J208" s="8" t="n">
        <v>0</v>
      </c>
      <c r="K208" s="8" t="n">
        <v>0</v>
      </c>
      <c r="L208" s="8" t="n">
        <v>0</v>
      </c>
      <c r="M208" s="8" t="n">
        <v>0</v>
      </c>
      <c r="N208" s="8" t="n">
        <v>11</v>
      </c>
      <c r="O208" s="8" t="n">
        <v>0</v>
      </c>
      <c r="P208" s="8" t="n">
        <v>0.6</v>
      </c>
      <c r="Q208" s="8" t="n">
        <v>2</v>
      </c>
      <c r="R208" s="8" t="n">
        <v>1</v>
      </c>
      <c r="S208" s="8" t="n">
        <v>0</v>
      </c>
      <c r="T208" s="8" t="n">
        <v>0</v>
      </c>
      <c r="U208" s="8" t="n">
        <v>0</v>
      </c>
      <c r="V208" s="8" t="n">
        <v>0</v>
      </c>
      <c r="W208" s="8" t="n"/>
      <c r="X208" s="8" t="n"/>
      <c r="Y208" s="8" t="n"/>
      <c r="Z208" s="8" t="n"/>
      <c r="AA208" s="8" t="n">
        <v>24</v>
      </c>
      <c r="AB208" s="8" t="inlineStr">
        <is>
          <t>200C x 72h, 25% compression, O-ring 3.53 mm cross-section (JIS K6262)</t>
        </is>
      </c>
      <c r="AC208" s="4" t="n">
        <v>200</v>
      </c>
      <c r="AD208" s="4">
        <f>I208+J208+K208+L208+M208+N208+O208+P208</f>
        <v/>
      </c>
      <c r="AE208" s="4" t="n">
        <v>0</v>
      </c>
      <c r="AF208" s="4" t="n">
        <v>0</v>
      </c>
      <c r="AG208" s="4" t="n">
        <v>0</v>
      </c>
      <c r="AH208" s="4" t="n">
        <v>0</v>
      </c>
      <c r="AI208" s="4" t="n">
        <v>1</v>
      </c>
    </row>
    <row r="209">
      <c r="A209" s="4" t="inlineStr">
        <is>
          <t>G208</t>
        </is>
      </c>
      <c r="B209" s="8" t="inlineStr">
        <is>
          <t>US11118045B2</t>
        </is>
      </c>
      <c r="C209" s="8" t="inlineStr">
        <is>
          <t>Valqua, Ltd.</t>
        </is>
      </c>
      <c r="D209" s="8" t="inlineStr">
        <is>
          <t>Example 5</t>
        </is>
      </c>
      <c r="E209" s="8" t="inlineStr">
        <is>
          <t>FFKM</t>
        </is>
      </c>
      <c r="F209" s="8" t="inlineStr">
        <is>
          <t>Tecnoflon PFR5910M (Solvay; TFE/PAVE/I-PAVE FFKM; elastomer part)</t>
        </is>
      </c>
      <c r="G209" s="8" t="inlineStr">
        <is>
          <t>peroxide</t>
        </is>
      </c>
      <c r="H209" s="8" t="n">
        <v>100</v>
      </c>
      <c r="I209" s="8" t="n">
        <v>0</v>
      </c>
      <c r="J209" s="8" t="n">
        <v>0</v>
      </c>
      <c r="K209" s="8" t="n">
        <v>0</v>
      </c>
      <c r="L209" s="8" t="n">
        <v>0</v>
      </c>
      <c r="M209" s="8" t="n">
        <v>0</v>
      </c>
      <c r="N209" s="8" t="n">
        <v>11</v>
      </c>
      <c r="O209" s="8" t="n">
        <v>0</v>
      </c>
      <c r="P209" s="8" t="n">
        <v>0.1</v>
      </c>
      <c r="Q209" s="8" t="n">
        <v>2</v>
      </c>
      <c r="R209" s="8" t="n">
        <v>1</v>
      </c>
      <c r="S209" s="8" t="n">
        <v>0</v>
      </c>
      <c r="T209" s="8" t="n">
        <v>0</v>
      </c>
      <c r="U209" s="8" t="n">
        <v>0</v>
      </c>
      <c r="V209" s="8" t="n">
        <v>0</v>
      </c>
      <c r="W209" s="8" t="n"/>
      <c r="X209" s="8" t="n"/>
      <c r="Y209" s="8" t="n"/>
      <c r="Z209" s="8" t="n"/>
      <c r="AA209" s="8" t="n">
        <v>23</v>
      </c>
      <c r="AB209" s="8" t="inlineStr">
        <is>
          <t>200C x 72h, 25% compression, O-ring 3.53 mm cross-section (JIS K6262)</t>
        </is>
      </c>
      <c r="AC209" s="4" t="n">
        <v>200</v>
      </c>
      <c r="AD209" s="4">
        <f>I209+J209+K209+L209+M209+N209+O209+P209</f>
        <v/>
      </c>
      <c r="AE209" s="4" t="n">
        <v>0</v>
      </c>
      <c r="AF209" s="4" t="n">
        <v>0</v>
      </c>
      <c r="AG209" s="4" t="n">
        <v>0</v>
      </c>
      <c r="AH209" s="4" t="n">
        <v>0</v>
      </c>
      <c r="AI209" s="4" t="n">
        <v>1</v>
      </c>
    </row>
    <row r="210">
      <c r="A210" s="4" t="inlineStr">
        <is>
          <t>G209</t>
        </is>
      </c>
      <c r="B210" s="8" t="inlineStr">
        <is>
          <t>US11118045B2</t>
        </is>
      </c>
      <c r="C210" s="8" t="inlineStr">
        <is>
          <t>Valqua, Ltd.</t>
        </is>
      </c>
      <c r="D210" s="8" t="inlineStr">
        <is>
          <t>Example 6</t>
        </is>
      </c>
      <c r="E210" s="8" t="inlineStr">
        <is>
          <t>FFKM</t>
        </is>
      </c>
      <c r="F210" s="8" t="inlineStr">
        <is>
          <t>Tecnoflon PFR5910M (Solvay; TFE/PAVE/I-PAVE FFKM; elastomer part)</t>
        </is>
      </c>
      <c r="G210" s="8" t="inlineStr">
        <is>
          <t>peroxide</t>
        </is>
      </c>
      <c r="H210" s="8" t="n">
        <v>100</v>
      </c>
      <c r="I210" s="8" t="n">
        <v>0</v>
      </c>
      <c r="J210" s="8" t="n">
        <v>0</v>
      </c>
      <c r="K210" s="8" t="n">
        <v>0</v>
      </c>
      <c r="L210" s="8" t="n">
        <v>0</v>
      </c>
      <c r="M210" s="8" t="n">
        <v>0</v>
      </c>
      <c r="N210" s="8" t="n">
        <v>11</v>
      </c>
      <c r="O210" s="8" t="n">
        <v>0</v>
      </c>
      <c r="P210" s="8" t="n">
        <v>0.3</v>
      </c>
      <c r="Q210" s="8" t="n">
        <v>2</v>
      </c>
      <c r="R210" s="8" t="n">
        <v>1</v>
      </c>
      <c r="S210" s="8" t="n">
        <v>0</v>
      </c>
      <c r="T210" s="8" t="n">
        <v>0</v>
      </c>
      <c r="U210" s="8" t="n">
        <v>0</v>
      </c>
      <c r="V210" s="8" t="n">
        <v>0</v>
      </c>
      <c r="W210" s="8" t="n"/>
      <c r="X210" s="8" t="n"/>
      <c r="Y210" s="8" t="n"/>
      <c r="Z210" s="8" t="n"/>
      <c r="AA210" s="8" t="n">
        <v>25</v>
      </c>
      <c r="AB210" s="8" t="inlineStr">
        <is>
          <t>200C x 72h, 25% compression, O-ring 3.53 mm cross-section (JIS K6262)</t>
        </is>
      </c>
      <c r="AC210" s="4" t="n">
        <v>200</v>
      </c>
      <c r="AD210" s="4">
        <f>I210+J210+K210+L210+M210+N210+O210+P210</f>
        <v/>
      </c>
      <c r="AE210" s="4" t="n">
        <v>0</v>
      </c>
      <c r="AF210" s="4" t="n">
        <v>0</v>
      </c>
      <c r="AG210" s="4" t="n">
        <v>0</v>
      </c>
      <c r="AH210" s="4" t="n">
        <v>0</v>
      </c>
      <c r="AI210" s="4" t="n">
        <v>1</v>
      </c>
    </row>
    <row r="211">
      <c r="A211" s="4" t="inlineStr">
        <is>
          <t>G210</t>
        </is>
      </c>
      <c r="B211" s="8" t="inlineStr">
        <is>
          <t>US11118045B2</t>
        </is>
      </c>
      <c r="C211" s="8" t="inlineStr">
        <is>
          <t>Valqua, Ltd.</t>
        </is>
      </c>
      <c r="D211" s="8" t="inlineStr">
        <is>
          <t>Example 7</t>
        </is>
      </c>
      <c r="E211" s="8" t="inlineStr">
        <is>
          <t>FFKM</t>
        </is>
      </c>
      <c r="F211" s="8" t="inlineStr">
        <is>
          <t>Tecnoflon PFR5910M (Solvay; TFE/PAVE/I-PAVE FFKM; elastomer part)</t>
        </is>
      </c>
      <c r="G211" s="8" t="inlineStr">
        <is>
          <t>peroxide</t>
        </is>
      </c>
      <c r="H211" s="8" t="n">
        <v>100</v>
      </c>
      <c r="I211" s="8" t="n">
        <v>0</v>
      </c>
      <c r="J211" s="8" t="n">
        <v>0</v>
      </c>
      <c r="K211" s="8" t="n">
        <v>0</v>
      </c>
      <c r="L211" s="8" t="n">
        <v>0</v>
      </c>
      <c r="M211" s="8" t="n">
        <v>0</v>
      </c>
      <c r="N211" s="8" t="n">
        <v>11</v>
      </c>
      <c r="O211" s="8" t="n">
        <v>0</v>
      </c>
      <c r="P211" s="8" t="n">
        <v>0.1</v>
      </c>
      <c r="Q211" s="8" t="n">
        <v>2</v>
      </c>
      <c r="R211" s="8" t="n">
        <v>2</v>
      </c>
      <c r="S211" s="8" t="n">
        <v>0</v>
      </c>
      <c r="T211" s="8" t="n">
        <v>0</v>
      </c>
      <c r="U211" s="8" t="n">
        <v>0</v>
      </c>
      <c r="V211" s="8" t="n">
        <v>0</v>
      </c>
      <c r="W211" s="8" t="n"/>
      <c r="X211" s="8" t="n"/>
      <c r="Y211" s="8" t="n"/>
      <c r="Z211" s="8" t="n"/>
      <c r="AA211" s="8" t="n">
        <v>26</v>
      </c>
      <c r="AB211" s="8" t="inlineStr">
        <is>
          <t>200C x 72h, 25% compression, O-ring 3.53 mm cross-section (JIS K6262)</t>
        </is>
      </c>
      <c r="AC211" s="4" t="n">
        <v>200</v>
      </c>
      <c r="AD211" s="4">
        <f>I211+J211+K211+L211+M211+N211+O211+P211</f>
        <v/>
      </c>
      <c r="AE211" s="4" t="n">
        <v>0</v>
      </c>
      <c r="AF211" s="4" t="n">
        <v>0</v>
      </c>
      <c r="AG211" s="4" t="n">
        <v>0</v>
      </c>
      <c r="AH211" s="4" t="n">
        <v>0</v>
      </c>
      <c r="AI211" s="4" t="n">
        <v>1</v>
      </c>
    </row>
    <row r="212">
      <c r="A212" s="4" t="inlineStr">
        <is>
          <t>G211</t>
        </is>
      </c>
      <c r="B212" s="8" t="inlineStr">
        <is>
          <t>US11118045B2</t>
        </is>
      </c>
      <c r="C212" s="8" t="inlineStr">
        <is>
          <t>Valqua, Ltd.</t>
        </is>
      </c>
      <c r="D212" s="8" t="inlineStr">
        <is>
          <t>Example 8</t>
        </is>
      </c>
      <c r="E212" s="8" t="inlineStr">
        <is>
          <t>FFKM</t>
        </is>
      </c>
      <c r="F212" s="8" t="inlineStr">
        <is>
          <t>Tecnoflon PFR5910M (Solvay; TFE/PAVE/I-PAVE FFKM; elastomer part)</t>
        </is>
      </c>
      <c r="G212" s="8" t="inlineStr">
        <is>
          <t>peroxide</t>
        </is>
      </c>
      <c r="H212" s="8" t="n">
        <v>100</v>
      </c>
      <c r="I212" s="8" t="n">
        <v>0</v>
      </c>
      <c r="J212" s="8" t="n">
        <v>0</v>
      </c>
      <c r="K212" s="8" t="n">
        <v>0</v>
      </c>
      <c r="L212" s="8" t="n">
        <v>0</v>
      </c>
      <c r="M212" s="8" t="n">
        <v>0</v>
      </c>
      <c r="N212" s="8" t="n">
        <v>11</v>
      </c>
      <c r="O212" s="8" t="n">
        <v>0</v>
      </c>
      <c r="P212" s="8" t="n">
        <v>0.3</v>
      </c>
      <c r="Q212" s="8" t="n">
        <v>2</v>
      </c>
      <c r="R212" s="8" t="n">
        <v>2</v>
      </c>
      <c r="S212" s="8" t="n">
        <v>0</v>
      </c>
      <c r="T212" s="8" t="n">
        <v>0</v>
      </c>
      <c r="U212" s="8" t="n">
        <v>0</v>
      </c>
      <c r="V212" s="8" t="n">
        <v>0</v>
      </c>
      <c r="W212" s="8" t="n"/>
      <c r="X212" s="8" t="n"/>
      <c r="Y212" s="8" t="n"/>
      <c r="Z212" s="8" t="n"/>
      <c r="AA212" s="8" t="n">
        <v>24</v>
      </c>
      <c r="AB212" s="8" t="inlineStr">
        <is>
          <t>200C x 72h, 25% compression, O-ring 3.53 mm cross-section (JIS K6262)</t>
        </is>
      </c>
      <c r="AC212" s="4" t="n">
        <v>200</v>
      </c>
      <c r="AD212" s="4">
        <f>I212+J212+K212+L212+M212+N212+O212+P212</f>
        <v/>
      </c>
      <c r="AE212" s="4" t="n">
        <v>0</v>
      </c>
      <c r="AF212" s="4" t="n">
        <v>0</v>
      </c>
      <c r="AG212" s="4" t="n">
        <v>0</v>
      </c>
      <c r="AH212" s="4" t="n">
        <v>0</v>
      </c>
      <c r="AI212" s="4" t="n">
        <v>1</v>
      </c>
    </row>
    <row r="213">
      <c r="A213" s="4" t="inlineStr">
        <is>
          <t>G212</t>
        </is>
      </c>
      <c r="B213" s="8" t="inlineStr">
        <is>
          <t>US11118045B2</t>
        </is>
      </c>
      <c r="C213" s="8" t="inlineStr">
        <is>
          <t>Valqua, Ltd.</t>
        </is>
      </c>
      <c r="D213" s="8" t="inlineStr">
        <is>
          <t>Example 9</t>
        </is>
      </c>
      <c r="E213" s="8" t="inlineStr">
        <is>
          <t>FFKM</t>
        </is>
      </c>
      <c r="F213" s="8" t="inlineStr">
        <is>
          <t>Tecnoflon PFR5910M (Solvay; TFE/PAVE/I-PAVE FFKM; elastomer part)</t>
        </is>
      </c>
      <c r="G213" s="8" t="inlineStr">
        <is>
          <t>peroxide</t>
        </is>
      </c>
      <c r="H213" s="8" t="n">
        <v>100</v>
      </c>
      <c r="I213" s="8" t="n">
        <v>0</v>
      </c>
      <c r="J213" s="8" t="n">
        <v>0</v>
      </c>
      <c r="K213" s="8" t="n">
        <v>0</v>
      </c>
      <c r="L213" s="8" t="n">
        <v>0</v>
      </c>
      <c r="M213" s="8" t="n">
        <v>0</v>
      </c>
      <c r="N213" s="8" t="n">
        <v>11</v>
      </c>
      <c r="O213" s="8" t="n">
        <v>0</v>
      </c>
      <c r="P213" s="8" t="n">
        <v>1.1</v>
      </c>
      <c r="Q213" s="8" t="n">
        <v>2</v>
      </c>
      <c r="R213" s="8" t="n">
        <v>1</v>
      </c>
      <c r="S213" s="8" t="n">
        <v>0</v>
      </c>
      <c r="T213" s="8" t="n">
        <v>0</v>
      </c>
      <c r="U213" s="8" t="n">
        <v>0</v>
      </c>
      <c r="V213" s="8" t="n">
        <v>0</v>
      </c>
      <c r="W213" s="8" t="n"/>
      <c r="X213" s="8" t="n"/>
      <c r="Y213" s="8" t="n"/>
      <c r="Z213" s="8" t="n"/>
      <c r="AA213" s="8" t="n">
        <v>31</v>
      </c>
      <c r="AB213" s="8" t="inlineStr">
        <is>
          <t>200C x 72h, 25% compression, O-ring 3.53 mm cross-section (JIS K6262)</t>
        </is>
      </c>
      <c r="AC213" s="4" t="n">
        <v>200</v>
      </c>
      <c r="AD213" s="4">
        <f>I213+J213+K213+L213+M213+N213+O213+P213</f>
        <v/>
      </c>
      <c r="AE213" s="4" t="n">
        <v>0</v>
      </c>
      <c r="AF213" s="4" t="n">
        <v>0</v>
      </c>
      <c r="AG213" s="4" t="n">
        <v>0</v>
      </c>
      <c r="AH213" s="4" t="n">
        <v>0</v>
      </c>
      <c r="AI213" s="4" t="n">
        <v>1</v>
      </c>
    </row>
    <row r="214">
      <c r="A214" s="4" t="inlineStr">
        <is>
          <t>G213</t>
        </is>
      </c>
      <c r="B214" s="8" t="inlineStr">
        <is>
          <t>US11118045B2</t>
        </is>
      </c>
      <c r="C214" s="8" t="inlineStr">
        <is>
          <t>Valqua, Ltd.</t>
        </is>
      </c>
      <c r="D214" s="8" t="inlineStr">
        <is>
          <t>Comparative Example 1</t>
        </is>
      </c>
      <c r="E214" s="8" t="inlineStr">
        <is>
          <t>FFKM</t>
        </is>
      </c>
      <c r="F214" s="8" t="inlineStr">
        <is>
          <t>Tecnoflon PFR5910M (Solvay; TFE/PAVE/I-PAVE FFKM; elastomer part)</t>
        </is>
      </c>
      <c r="G214" s="8" t="inlineStr">
        <is>
          <t>peroxide</t>
        </is>
      </c>
      <c r="H214" s="8" t="n">
        <v>100</v>
      </c>
      <c r="I214" s="8" t="n">
        <v>0</v>
      </c>
      <c r="J214" s="8" t="n">
        <v>0</v>
      </c>
      <c r="K214" s="8" t="n">
        <v>0</v>
      </c>
      <c r="L214" s="8" t="n">
        <v>0</v>
      </c>
      <c r="M214" s="8" t="n">
        <v>0</v>
      </c>
      <c r="N214" s="8" t="n">
        <v>11</v>
      </c>
      <c r="O214" s="8" t="n">
        <v>0</v>
      </c>
      <c r="P214" s="8" t="n">
        <v>0</v>
      </c>
      <c r="Q214" s="8" t="n">
        <v>2</v>
      </c>
      <c r="R214" s="8" t="n">
        <v>1</v>
      </c>
      <c r="S214" s="8" t="n">
        <v>0</v>
      </c>
      <c r="T214" s="8" t="n">
        <v>0</v>
      </c>
      <c r="U214" s="8" t="n">
        <v>0</v>
      </c>
      <c r="V214" s="8" t="n">
        <v>0</v>
      </c>
      <c r="W214" s="8" t="n"/>
      <c r="X214" s="8" t="n"/>
      <c r="Y214" s="8" t="n"/>
      <c r="Z214" s="8" t="n"/>
      <c r="AA214" s="8" t="n">
        <v>18</v>
      </c>
      <c r="AB214" s="8" t="inlineStr">
        <is>
          <t>200C x 72h, 25% compression, O-ring 3.53 mm cross-section (JIS K6262)</t>
        </is>
      </c>
      <c r="AC214" s="4" t="n">
        <v>200</v>
      </c>
      <c r="AD214" s="4">
        <f>I214+J214+K214+L214+M214+N214+O214+P214</f>
        <v/>
      </c>
      <c r="AE214" s="4" t="n">
        <v>0</v>
      </c>
      <c r="AF214" s="4" t="n">
        <v>0</v>
      </c>
      <c r="AG214" s="4" t="n">
        <v>0</v>
      </c>
      <c r="AH214" s="4" t="n">
        <v>0</v>
      </c>
      <c r="AI214" s="4" t="n">
        <v>1</v>
      </c>
    </row>
    <row r="215">
      <c r="A215" s="4" t="inlineStr">
        <is>
          <t>G214</t>
        </is>
      </c>
      <c r="B215" s="8" t="inlineStr">
        <is>
          <t>US11118045B2</t>
        </is>
      </c>
      <c r="C215" s="8" t="inlineStr">
        <is>
          <t>Valqua, Ltd.</t>
        </is>
      </c>
      <c r="D215" s="8" t="inlineStr">
        <is>
          <t>Example 12</t>
        </is>
      </c>
      <c r="E215" s="8" t="inlineStr">
        <is>
          <t>FFKM</t>
        </is>
      </c>
      <c r="F215" s="8" t="inlineStr">
        <is>
          <t>Tecnoflon PFR5910M (Solvay; TFE/PAVE/I-PAVE FFKM; elastomer part)</t>
        </is>
      </c>
      <c r="G215" s="8" t="inlineStr">
        <is>
          <t>peroxide</t>
        </is>
      </c>
      <c r="H215" s="8" t="n">
        <v>100</v>
      </c>
      <c r="I215" s="8" t="n">
        <v>0</v>
      </c>
      <c r="J215" s="8" t="n">
        <v>0</v>
      </c>
      <c r="K215" s="8" t="n">
        <v>0</v>
      </c>
      <c r="L215" s="8" t="n">
        <v>0</v>
      </c>
      <c r="M215" s="8" t="n">
        <v>0</v>
      </c>
      <c r="N215" s="8" t="n">
        <v>11</v>
      </c>
      <c r="O215" s="8" t="n">
        <v>0</v>
      </c>
      <c r="P215" s="8" t="n">
        <v>0.3</v>
      </c>
      <c r="Q215" s="8" t="n">
        <v>2</v>
      </c>
      <c r="R215" s="8" t="n">
        <v>1</v>
      </c>
      <c r="S215" s="8" t="n">
        <v>0</v>
      </c>
      <c r="T215" s="8" t="n">
        <v>0</v>
      </c>
      <c r="U215" s="8" t="n">
        <v>0</v>
      </c>
      <c r="V215" s="8" t="n">
        <v>0</v>
      </c>
      <c r="W215" s="8" t="n"/>
      <c r="X215" s="8" t="n"/>
      <c r="Y215" s="8" t="n"/>
      <c r="Z215" s="8" t="n"/>
      <c r="AA215" s="8" t="n">
        <v>32</v>
      </c>
      <c r="AB215" s="8" t="inlineStr">
        <is>
          <t>200C x 72h, 25% compression, O-ring 3.53 mm cross-section (JIS K6262)</t>
        </is>
      </c>
      <c r="AC215" s="4" t="n">
        <v>200</v>
      </c>
      <c r="AD215" s="4">
        <f>I215+J215+K215+L215+M215+N215+O215+P215</f>
        <v/>
      </c>
      <c r="AE215" s="4" t="n">
        <v>0</v>
      </c>
      <c r="AF215" s="4" t="n">
        <v>0</v>
      </c>
      <c r="AG215" s="4" t="n">
        <v>0</v>
      </c>
      <c r="AH215" s="4" t="n">
        <v>0</v>
      </c>
      <c r="AI215" s="4" t="n">
        <v>1</v>
      </c>
    </row>
    <row r="216">
      <c r="A216" s="4" t="inlineStr">
        <is>
          <t>G215</t>
        </is>
      </c>
      <c r="B216" s="8" t="inlineStr">
        <is>
          <t>US11118045B2</t>
        </is>
      </c>
      <c r="C216" s="8" t="inlineStr">
        <is>
          <t>Valqua, Ltd.</t>
        </is>
      </c>
      <c r="D216" s="8" t="inlineStr">
        <is>
          <t>Example 13</t>
        </is>
      </c>
      <c r="E216" s="8" t="inlineStr">
        <is>
          <t>FFKM</t>
        </is>
      </c>
      <c r="F216" s="8" t="inlineStr">
        <is>
          <t>Tecnoflon PFR5910M (Solvay; TFE/PAVE/I-PAVE FFKM; elastomer part)</t>
        </is>
      </c>
      <c r="G216" s="8" t="inlineStr">
        <is>
          <t>peroxide</t>
        </is>
      </c>
      <c r="H216" s="8" t="n">
        <v>100</v>
      </c>
      <c r="I216" s="8" t="n">
        <v>0</v>
      </c>
      <c r="J216" s="8" t="n">
        <v>0</v>
      </c>
      <c r="K216" s="8" t="n">
        <v>0</v>
      </c>
      <c r="L216" s="8" t="n">
        <v>0</v>
      </c>
      <c r="M216" s="8" t="n">
        <v>0</v>
      </c>
      <c r="N216" s="8" t="n">
        <v>11</v>
      </c>
      <c r="O216" s="8" t="n">
        <v>0</v>
      </c>
      <c r="P216" s="8" t="n">
        <v>0.05</v>
      </c>
      <c r="Q216" s="8" t="n">
        <v>2</v>
      </c>
      <c r="R216" s="8" t="n">
        <v>1</v>
      </c>
      <c r="S216" s="8" t="n">
        <v>0</v>
      </c>
      <c r="T216" s="8" t="n">
        <v>0</v>
      </c>
      <c r="U216" s="8" t="n">
        <v>0</v>
      </c>
      <c r="V216" s="8" t="n">
        <v>0</v>
      </c>
      <c r="W216" s="8" t="n"/>
      <c r="X216" s="8" t="n"/>
      <c r="Y216" s="8" t="n"/>
      <c r="Z216" s="8" t="n"/>
      <c r="AA216" s="8" t="n">
        <v>29</v>
      </c>
      <c r="AB216" s="8" t="inlineStr">
        <is>
          <t>200C x 72h, 25% compression, O-ring 3.53 mm cross-section (JIS K6262)</t>
        </is>
      </c>
      <c r="AC216" s="4" t="n">
        <v>200</v>
      </c>
      <c r="AD216" s="4">
        <f>I216+J216+K216+L216+M216+N216+O216+P216</f>
        <v/>
      </c>
      <c r="AE216" s="4" t="n">
        <v>0</v>
      </c>
      <c r="AF216" s="4" t="n">
        <v>0</v>
      </c>
      <c r="AG216" s="4" t="n">
        <v>0</v>
      </c>
      <c r="AH216" s="4" t="n">
        <v>0</v>
      </c>
      <c r="AI216" s="4" t="n">
        <v>1</v>
      </c>
    </row>
    <row r="217">
      <c r="A217" s="4" t="inlineStr">
        <is>
          <t>G216</t>
        </is>
      </c>
      <c r="B217" s="8" t="inlineStr">
        <is>
          <t>US11118045B2</t>
        </is>
      </c>
      <c r="C217" s="8" t="inlineStr">
        <is>
          <t>Valqua, Ltd.</t>
        </is>
      </c>
      <c r="D217" s="8" t="inlineStr">
        <is>
          <t>Comparative Example 4</t>
        </is>
      </c>
      <c r="E217" s="8" t="inlineStr">
        <is>
          <t>FFKM</t>
        </is>
      </c>
      <c r="F217" s="8" t="inlineStr">
        <is>
          <t>Tecnoflon PFR5910M (Solvay; TFE/PAVE/I-PAVE FFKM; elastomer part)</t>
        </is>
      </c>
      <c r="G217" s="8" t="inlineStr">
        <is>
          <t>peroxide</t>
        </is>
      </c>
      <c r="H217" s="8" t="n">
        <v>100</v>
      </c>
      <c r="I217" s="8" t="n">
        <v>0</v>
      </c>
      <c r="J217" s="8" t="n">
        <v>0</v>
      </c>
      <c r="K217" s="8" t="n">
        <v>0</v>
      </c>
      <c r="L217" s="8" t="n">
        <v>0</v>
      </c>
      <c r="M217" s="8" t="n">
        <v>0</v>
      </c>
      <c r="N217" s="8" t="n">
        <v>11</v>
      </c>
      <c r="O217" s="8" t="n">
        <v>0</v>
      </c>
      <c r="P217" s="8" t="n">
        <v>2</v>
      </c>
      <c r="Q217" s="8" t="n">
        <v>2</v>
      </c>
      <c r="R217" s="8" t="n">
        <v>1</v>
      </c>
      <c r="S217" s="8" t="n">
        <v>0</v>
      </c>
      <c r="T217" s="8" t="n">
        <v>0</v>
      </c>
      <c r="U217" s="8" t="n">
        <v>0</v>
      </c>
      <c r="V217" s="8" t="n">
        <v>0</v>
      </c>
      <c r="W217" s="8" t="n"/>
      <c r="X217" s="8" t="n"/>
      <c r="Y217" s="8" t="n"/>
      <c r="Z217" s="8" t="n"/>
      <c r="AA217" s="8" t="n">
        <v>33</v>
      </c>
      <c r="AB217" s="8" t="inlineStr">
        <is>
          <t>200C x 72h, 25% compression, O-ring 3.53 mm cross-section (JIS K6262)</t>
        </is>
      </c>
      <c r="AC217" s="4" t="n">
        <v>200</v>
      </c>
      <c r="AD217" s="4">
        <f>I217+J217+K217+L217+M217+N217+O217+P217</f>
        <v/>
      </c>
      <c r="AE217" s="4" t="n">
        <v>0</v>
      </c>
      <c r="AF217" s="4" t="n">
        <v>0</v>
      </c>
      <c r="AG217" s="4" t="n">
        <v>0</v>
      </c>
      <c r="AH217" s="4" t="n">
        <v>0</v>
      </c>
      <c r="AI217" s="4" t="n">
        <v>1</v>
      </c>
    </row>
    <row r="218">
      <c r="A218" s="4" t="inlineStr">
        <is>
          <t>G217</t>
        </is>
      </c>
      <c r="B218" s="8" t="inlineStr">
        <is>
          <t>US11118045B2</t>
        </is>
      </c>
      <c r="C218" s="8" t="inlineStr">
        <is>
          <t>Valqua, Ltd.</t>
        </is>
      </c>
      <c r="D218" s="8" t="inlineStr">
        <is>
          <t>Comparative Example 5</t>
        </is>
      </c>
      <c r="E218" s="8" t="inlineStr">
        <is>
          <t>FFKM</t>
        </is>
      </c>
      <c r="F218" s="8" t="inlineStr">
        <is>
          <t>Tecnoflon PFR5910M (Solvay; TFE/PAVE/I-PAVE FFKM; elastomer part)</t>
        </is>
      </c>
      <c r="G218" s="8" t="inlineStr">
        <is>
          <t>peroxide</t>
        </is>
      </c>
      <c r="H218" s="8" t="n">
        <v>100</v>
      </c>
      <c r="I218" s="8" t="n">
        <v>0</v>
      </c>
      <c r="J218" s="8" t="n">
        <v>0</v>
      </c>
      <c r="K218" s="8" t="n">
        <v>0</v>
      </c>
      <c r="L218" s="8" t="n">
        <v>0</v>
      </c>
      <c r="M218" s="8" t="n">
        <v>0</v>
      </c>
      <c r="N218" s="8" t="n">
        <v>11</v>
      </c>
      <c r="O218" s="8" t="n">
        <v>0</v>
      </c>
      <c r="P218" s="8" t="n">
        <v>5</v>
      </c>
      <c r="Q218" s="8" t="n">
        <v>2</v>
      </c>
      <c r="R218" s="8" t="n">
        <v>1</v>
      </c>
      <c r="S218" s="8" t="n">
        <v>0</v>
      </c>
      <c r="T218" s="8" t="n">
        <v>0</v>
      </c>
      <c r="U218" s="8" t="n">
        <v>0</v>
      </c>
      <c r="V218" s="8" t="n">
        <v>0</v>
      </c>
      <c r="W218" s="8" t="n"/>
      <c r="X218" s="8" t="n"/>
      <c r="Y218" s="8" t="n"/>
      <c r="Z218" s="8" t="n"/>
      <c r="AA218" s="8" t="n">
        <v>43</v>
      </c>
      <c r="AB218" s="8" t="inlineStr">
        <is>
          <t>200C x 72h, 25% compression, O-ring 3.53 mm cross-section (JIS K6262)</t>
        </is>
      </c>
      <c r="AC218" s="4" t="n">
        <v>200</v>
      </c>
      <c r="AD218" s="4">
        <f>I218+J218+K218+L218+M218+N218+O218+P218</f>
        <v/>
      </c>
      <c r="AE218" s="4" t="n">
        <v>0</v>
      </c>
      <c r="AF218" s="4" t="n">
        <v>0</v>
      </c>
      <c r="AG218" s="4" t="n">
        <v>0</v>
      </c>
      <c r="AH218" s="4" t="n">
        <v>0</v>
      </c>
      <c r="AI218" s="4" t="n">
        <v>1</v>
      </c>
    </row>
    <row r="219">
      <c r="A219" s="4" t="inlineStr">
        <is>
          <t>G218</t>
        </is>
      </c>
      <c r="B219" s="8" t="inlineStr">
        <is>
          <t>US11118045B2</t>
        </is>
      </c>
      <c r="C219" s="8" t="inlineStr">
        <is>
          <t>Valqua, Ltd.</t>
        </is>
      </c>
      <c r="D219" s="8" t="inlineStr">
        <is>
          <t>Comparative Example 6</t>
        </is>
      </c>
      <c r="E219" s="8" t="inlineStr">
        <is>
          <t>FFKM</t>
        </is>
      </c>
      <c r="F219" s="8" t="inlineStr">
        <is>
          <t>Tecnoflon PFR5910M (Solvay; TFE/PAVE/I-PAVE FFKM; elastomer part)</t>
        </is>
      </c>
      <c r="G219" s="8" t="inlineStr">
        <is>
          <t>peroxide</t>
        </is>
      </c>
      <c r="H219" s="8" t="n">
        <v>100</v>
      </c>
      <c r="I219" s="8" t="n">
        <v>0</v>
      </c>
      <c r="J219" s="8" t="n">
        <v>0</v>
      </c>
      <c r="K219" s="8" t="n">
        <v>0</v>
      </c>
      <c r="L219" s="8" t="n">
        <v>0</v>
      </c>
      <c r="M219" s="8" t="n">
        <v>0</v>
      </c>
      <c r="N219" s="8" t="n">
        <v>11</v>
      </c>
      <c r="O219" s="8" t="n">
        <v>0</v>
      </c>
      <c r="P219" s="8" t="n">
        <v>10</v>
      </c>
      <c r="Q219" s="8" t="n">
        <v>2</v>
      </c>
      <c r="R219" s="8" t="n">
        <v>1</v>
      </c>
      <c r="S219" s="8" t="n">
        <v>0</v>
      </c>
      <c r="T219" s="8" t="n">
        <v>0</v>
      </c>
      <c r="U219" s="8" t="n">
        <v>0</v>
      </c>
      <c r="V219" s="8" t="n">
        <v>0</v>
      </c>
      <c r="W219" s="8" t="n"/>
      <c r="X219" s="8" t="n"/>
      <c r="Y219" s="8" t="n"/>
      <c r="Z219" s="8" t="n"/>
      <c r="AA219" s="8" t="n">
        <v>59</v>
      </c>
      <c r="AB219" s="8" t="inlineStr">
        <is>
          <t>200C x 72h, 25% compression, O-ring 3.53 mm cross-section (JIS K6262)</t>
        </is>
      </c>
      <c r="AC219" s="4" t="n">
        <v>200</v>
      </c>
      <c r="AD219" s="4">
        <f>I219+J219+K219+L219+M219+N219+O219+P219</f>
        <v/>
      </c>
      <c r="AE219" s="4" t="n">
        <v>0</v>
      </c>
      <c r="AF219" s="4" t="n">
        <v>0</v>
      </c>
      <c r="AG219" s="4" t="n">
        <v>0</v>
      </c>
      <c r="AH219" s="4" t="n">
        <v>0</v>
      </c>
      <c r="AI219" s="4" t="n">
        <v>1</v>
      </c>
    </row>
    <row r="220">
      <c r="A220" s="4" t="inlineStr">
        <is>
          <t>G219</t>
        </is>
      </c>
      <c r="B220" s="8" t="inlineStr">
        <is>
          <t>US11118045B2</t>
        </is>
      </c>
      <c r="C220" s="8" t="inlineStr">
        <is>
          <t>Valqua, Ltd.</t>
        </is>
      </c>
      <c r="D220" s="8" t="inlineStr">
        <is>
          <t>Comparative Example 7</t>
        </is>
      </c>
      <c r="E220" s="8" t="inlineStr">
        <is>
          <t>FFKM</t>
        </is>
      </c>
      <c r="F220" s="8" t="inlineStr">
        <is>
          <t>Tecnoflon PFR5910M (Solvay; TFE/PAVE/I-PAVE FFKM; elastomer part)</t>
        </is>
      </c>
      <c r="G220" s="8" t="inlineStr">
        <is>
          <t>peroxide</t>
        </is>
      </c>
      <c r="H220" s="8" t="n">
        <v>100</v>
      </c>
      <c r="I220" s="8" t="n">
        <v>0</v>
      </c>
      <c r="J220" s="8" t="n">
        <v>0</v>
      </c>
      <c r="K220" s="8" t="n">
        <v>0</v>
      </c>
      <c r="L220" s="8" t="n">
        <v>0</v>
      </c>
      <c r="M220" s="8" t="n">
        <v>0</v>
      </c>
      <c r="N220" s="8" t="n">
        <v>11</v>
      </c>
      <c r="O220" s="8" t="n">
        <v>0</v>
      </c>
      <c r="P220" s="8" t="n">
        <v>20</v>
      </c>
      <c r="Q220" s="8" t="n">
        <v>2</v>
      </c>
      <c r="R220" s="8" t="n">
        <v>1</v>
      </c>
      <c r="S220" s="8" t="n">
        <v>0</v>
      </c>
      <c r="T220" s="8" t="n">
        <v>0</v>
      </c>
      <c r="U220" s="8" t="n">
        <v>0</v>
      </c>
      <c r="V220" s="8" t="n">
        <v>0</v>
      </c>
      <c r="W220" s="8" t="n"/>
      <c r="X220" s="8" t="n"/>
      <c r="Y220" s="8" t="n"/>
      <c r="Z220" s="8" t="n"/>
      <c r="AA220" s="8" t="n">
        <v>66</v>
      </c>
      <c r="AB220" s="8" t="inlineStr">
        <is>
          <t>200C x 72h, 25% compression, O-ring 3.53 mm cross-section (JIS K6262)</t>
        </is>
      </c>
      <c r="AC220" s="4" t="n">
        <v>200</v>
      </c>
      <c r="AD220" s="4">
        <f>I220+J220+K220+L220+M220+N220+O220+P220</f>
        <v/>
      </c>
      <c r="AE220" s="4" t="n">
        <v>0</v>
      </c>
      <c r="AF220" s="4" t="n">
        <v>0</v>
      </c>
      <c r="AG220" s="4" t="n">
        <v>0</v>
      </c>
      <c r="AH220" s="4" t="n">
        <v>0</v>
      </c>
      <c r="AI220" s="4" t="n">
        <v>1</v>
      </c>
    </row>
    <row r="221">
      <c r="A221" s="4" t="inlineStr">
        <is>
          <t>G220</t>
        </is>
      </c>
      <c r="B221" s="8" t="inlineStr">
        <is>
          <t>US11118045B2</t>
        </is>
      </c>
      <c r="C221" s="8" t="inlineStr">
        <is>
          <t>Valqua, Ltd.</t>
        </is>
      </c>
      <c r="D221" s="8" t="inlineStr">
        <is>
          <t>Example 10</t>
        </is>
      </c>
      <c r="E221" s="8" t="inlineStr">
        <is>
          <t>FFKM</t>
        </is>
      </c>
      <c r="F221" s="8" t="inlineStr">
        <is>
          <t>3M PFE 191TZ (FFKM; placed in FFKM 2 row by inference, see notes)</t>
        </is>
      </c>
      <c r="G221" s="8" t="inlineStr">
        <is>
          <t>nitrile_triazine</t>
        </is>
      </c>
      <c r="H221" s="8" t="n">
        <v>100</v>
      </c>
      <c r="I221" s="8" t="n">
        <v>15</v>
      </c>
      <c r="J221" s="8" t="n">
        <v>0</v>
      </c>
      <c r="K221" s="8" t="n">
        <v>0</v>
      </c>
      <c r="L221" s="8" t="n">
        <v>0</v>
      </c>
      <c r="M221" s="8" t="n">
        <v>0</v>
      </c>
      <c r="N221" s="8" t="n">
        <v>0</v>
      </c>
      <c r="O221" s="8" t="n">
        <v>0</v>
      </c>
      <c r="P221" s="8" t="n">
        <v>0.3</v>
      </c>
      <c r="Q221" s="8" t="n">
        <v>0</v>
      </c>
      <c r="R221" s="8" t="n">
        <v>0</v>
      </c>
      <c r="S221" s="8" t="n">
        <v>1</v>
      </c>
      <c r="T221" s="8" t="n">
        <v>0</v>
      </c>
      <c r="U221" s="8" t="n">
        <v>0</v>
      </c>
      <c r="V221" s="8" t="n">
        <v>0</v>
      </c>
      <c r="W221" s="8" t="n"/>
      <c r="X221" s="8" t="n"/>
      <c r="Y221" s="8" t="n"/>
      <c r="Z221" s="8" t="n"/>
      <c r="AA221" s="8" t="n">
        <v>11</v>
      </c>
      <c r="AB221" s="8" t="inlineStr">
        <is>
          <t>200C x 72h, 25% compression, O-ring 3.53 mm cross-section (JIS K6262)</t>
        </is>
      </c>
      <c r="AC221" s="4" t="n">
        <v>200</v>
      </c>
      <c r="AD221" s="4">
        <f>I221+J221+K221+L221+M221+N221+O221+P221</f>
        <v/>
      </c>
      <c r="AE221" s="4" t="n">
        <v>0</v>
      </c>
      <c r="AF221" s="4" t="n">
        <v>0</v>
      </c>
      <c r="AG221" s="4" t="n">
        <v>0</v>
      </c>
      <c r="AH221" s="4" t="n">
        <v>0</v>
      </c>
      <c r="AI221" s="4" t="n">
        <v>1</v>
      </c>
    </row>
    <row r="222">
      <c r="A222" s="4" t="inlineStr">
        <is>
          <t>G221</t>
        </is>
      </c>
      <c r="B222" s="8" t="inlineStr">
        <is>
          <t>US11118045B2</t>
        </is>
      </c>
      <c r="C222" s="8" t="inlineStr">
        <is>
          <t>Valqua, Ltd.</t>
        </is>
      </c>
      <c r="D222" s="8" t="inlineStr">
        <is>
          <t>Comparative Example 2</t>
        </is>
      </c>
      <c r="E222" s="8" t="inlineStr">
        <is>
          <t>FFKM</t>
        </is>
      </c>
      <c r="F222" s="8" t="inlineStr">
        <is>
          <t>3M PFE 191TZ (FFKM; placed in FFKM 2 row by inference, see notes)</t>
        </is>
      </c>
      <c r="G222" s="8" t="inlineStr">
        <is>
          <t>nitrile_triazine</t>
        </is>
      </c>
      <c r="H222" s="8" t="n">
        <v>100</v>
      </c>
      <c r="I222" s="8" t="n">
        <v>15</v>
      </c>
      <c r="J222" s="8" t="n">
        <v>0</v>
      </c>
      <c r="K222" s="8" t="n">
        <v>0</v>
      </c>
      <c r="L222" s="8" t="n">
        <v>0</v>
      </c>
      <c r="M222" s="8" t="n">
        <v>0</v>
      </c>
      <c r="N222" s="8" t="n">
        <v>0</v>
      </c>
      <c r="O222" s="8" t="n">
        <v>0</v>
      </c>
      <c r="P222" s="8" t="n">
        <v>0</v>
      </c>
      <c r="Q222" s="8" t="n">
        <v>0</v>
      </c>
      <c r="R222" s="8" t="n">
        <v>0</v>
      </c>
      <c r="S222" s="8" t="n">
        <v>1</v>
      </c>
      <c r="T222" s="8" t="n">
        <v>0</v>
      </c>
      <c r="U222" s="8" t="n">
        <v>0</v>
      </c>
      <c r="V222" s="8" t="n">
        <v>0</v>
      </c>
      <c r="W222" s="8" t="n"/>
      <c r="X222" s="8" t="n"/>
      <c r="Y222" s="8" t="n"/>
      <c r="Z222" s="8" t="n"/>
      <c r="AA222" s="8" t="n">
        <v>8</v>
      </c>
      <c r="AB222" s="8" t="inlineStr">
        <is>
          <t>200C x 72h, 25% compression, O-ring 3.53 mm cross-section (JIS K6262)</t>
        </is>
      </c>
      <c r="AC222" s="4" t="n">
        <v>200</v>
      </c>
      <c r="AD222" s="4">
        <f>I222+J222+K222+L222+M222+N222+O222+P222</f>
        <v/>
      </c>
      <c r="AE222" s="4" t="n">
        <v>0</v>
      </c>
      <c r="AF222" s="4" t="n">
        <v>0</v>
      </c>
      <c r="AG222" s="4" t="n">
        <v>0</v>
      </c>
      <c r="AH222" s="4" t="n">
        <v>0</v>
      </c>
      <c r="AI222" s="4" t="n">
        <v>1</v>
      </c>
    </row>
    <row r="223">
      <c r="A223" s="4" t="inlineStr">
        <is>
          <t>G222</t>
        </is>
      </c>
      <c r="B223" s="8" t="inlineStr">
        <is>
          <t>US11118045B2</t>
        </is>
      </c>
      <c r="C223" s="8" t="inlineStr">
        <is>
          <t>Valqua, Ltd.</t>
        </is>
      </c>
      <c r="D223" s="8" t="inlineStr">
        <is>
          <t>Example 11</t>
        </is>
      </c>
      <c r="E223" s="8" t="inlineStr">
        <is>
          <t>FFKM</t>
        </is>
      </c>
      <c r="F223" s="8" t="inlineStr">
        <is>
          <t>3M PFE 133TBZ elastomer part 93 + 3M PFE 01CZ elastomer part 7</t>
        </is>
      </c>
      <c r="G223" s="8" t="inlineStr">
        <is>
          <t>nitrile_triazine</t>
        </is>
      </c>
      <c r="H223" s="8" t="n">
        <v>100</v>
      </c>
      <c r="I223" s="8" t="n">
        <v>0</v>
      </c>
      <c r="J223" s="8" t="n">
        <v>2</v>
      </c>
      <c r="K223" s="8" t="n">
        <v>0</v>
      </c>
      <c r="L223" s="8" t="n">
        <v>0</v>
      </c>
      <c r="M223" s="8" t="n">
        <v>0</v>
      </c>
      <c r="N223" s="8" t="n">
        <v>23</v>
      </c>
      <c r="O223" s="8" t="n">
        <v>0</v>
      </c>
      <c r="P223" s="8" t="n">
        <v>0.4</v>
      </c>
      <c r="Q223" s="8" t="n">
        <v>0</v>
      </c>
      <c r="R223" s="8" t="n">
        <v>0</v>
      </c>
      <c r="S223" s="8" t="n">
        <v>2</v>
      </c>
      <c r="T223" s="8" t="n">
        <v>0</v>
      </c>
      <c r="U223" s="8" t="n">
        <v>0</v>
      </c>
      <c r="V223" s="8" t="n">
        <v>0</v>
      </c>
      <c r="W223" s="8" t="n"/>
      <c r="X223" s="8" t="n"/>
      <c r="Y223" s="8" t="n"/>
      <c r="Z223" s="8" t="n"/>
      <c r="AA223" s="8" t="n">
        <v>16</v>
      </c>
      <c r="AB223" s="8" t="inlineStr">
        <is>
          <t>200C x 72h, 25% compression, O-ring 3.53 mm cross-section (JIS K6262)</t>
        </is>
      </c>
      <c r="AC223" s="4" t="n">
        <v>200</v>
      </c>
      <c r="AD223" s="4">
        <f>I223+J223+K223+L223+M223+N223+O223+P223</f>
        <v/>
      </c>
      <c r="AE223" s="4" t="n">
        <v>0</v>
      </c>
      <c r="AF223" s="4" t="n">
        <v>0</v>
      </c>
      <c r="AG223" s="4" t="n">
        <v>0</v>
      </c>
      <c r="AH223" s="4" t="n">
        <v>0</v>
      </c>
      <c r="AI223" s="4" t="n">
        <v>1</v>
      </c>
    </row>
    <row r="224">
      <c r="A224" s="4" t="inlineStr">
        <is>
          <t>G223</t>
        </is>
      </c>
      <c r="B224" s="8" t="inlineStr">
        <is>
          <t>US11118045B2</t>
        </is>
      </c>
      <c r="C224" s="8" t="inlineStr">
        <is>
          <t>Valqua, Ltd.</t>
        </is>
      </c>
      <c r="D224" s="8" t="inlineStr">
        <is>
          <t>Comparative Example 3</t>
        </is>
      </c>
      <c r="E224" s="8" t="inlineStr">
        <is>
          <t>FFKM</t>
        </is>
      </c>
      <c r="F224" s="8" t="inlineStr">
        <is>
          <t>3M PFE 133TBZ elastomer part 93 + 3M PFE 01CZ elastomer part 7</t>
        </is>
      </c>
      <c r="G224" s="8" t="inlineStr">
        <is>
          <t>nitrile_triazine</t>
        </is>
      </c>
      <c r="H224" s="8" t="n">
        <v>100</v>
      </c>
      <c r="I224" s="8" t="n">
        <v>0</v>
      </c>
      <c r="J224" s="8" t="n">
        <v>2</v>
      </c>
      <c r="K224" s="8" t="n">
        <v>0</v>
      </c>
      <c r="L224" s="8" t="n">
        <v>0</v>
      </c>
      <c r="M224" s="8" t="n">
        <v>0</v>
      </c>
      <c r="N224" s="8" t="n">
        <v>23</v>
      </c>
      <c r="O224" s="8" t="n">
        <v>0</v>
      </c>
      <c r="P224" s="8" t="n">
        <v>0</v>
      </c>
      <c r="Q224" s="8" t="n">
        <v>0</v>
      </c>
      <c r="R224" s="8" t="n">
        <v>0</v>
      </c>
      <c r="S224" s="8" t="n">
        <v>2</v>
      </c>
      <c r="T224" s="8" t="n">
        <v>0</v>
      </c>
      <c r="U224" s="8" t="n">
        <v>0</v>
      </c>
      <c r="V224" s="8" t="n">
        <v>0</v>
      </c>
      <c r="W224" s="8" t="n"/>
      <c r="X224" s="8" t="n"/>
      <c r="Y224" s="8" t="n"/>
      <c r="Z224" s="8" t="n"/>
      <c r="AA224" s="8" t="n">
        <v>18</v>
      </c>
      <c r="AB224" s="8" t="inlineStr">
        <is>
          <t>200C x 72h, 25% compression, O-ring 3.53 mm cross-section (JIS K6262)</t>
        </is>
      </c>
      <c r="AC224" s="4" t="n">
        <v>200</v>
      </c>
      <c r="AD224" s="4">
        <f>I224+J224+K224+L224+M224+N224+O224+P224</f>
        <v/>
      </c>
      <c r="AE224" s="4" t="n">
        <v>0</v>
      </c>
      <c r="AF224" s="4" t="n">
        <v>0</v>
      </c>
      <c r="AG224" s="4" t="n">
        <v>0</v>
      </c>
      <c r="AH224" s="4" t="n">
        <v>0</v>
      </c>
      <c r="AI224" s="4" t="n">
        <v>1</v>
      </c>
    </row>
    <row r="225">
      <c r="A225" s="4" t="inlineStr">
        <is>
          <t>G224</t>
        </is>
      </c>
      <c r="B225" s="8" t="inlineStr">
        <is>
          <t>US8349965B2</t>
        </is>
      </c>
      <c r="C225" s="8" t="inlineStr">
        <is>
          <t>Nippon Valqua Industries, Ltd.</t>
        </is>
      </c>
      <c r="D225" s="8" t="inlineStr">
        <is>
          <t>Example 1</t>
        </is>
      </c>
      <c r="E225" s="8" t="inlineStr">
        <is>
          <t>FKM</t>
        </is>
      </c>
      <c r="F225" s="8" t="inlineStr">
        <is>
          <t>DAI-EL G912 (VDF/HFP/TFE)</t>
        </is>
      </c>
      <c r="G225" s="8" t="inlineStr">
        <is>
          <t>peroxide</t>
        </is>
      </c>
      <c r="H225" s="8" t="n">
        <v>100</v>
      </c>
      <c r="I225" s="8" t="n">
        <v>0</v>
      </c>
      <c r="J225" s="8" t="n">
        <v>0</v>
      </c>
      <c r="K225" s="8" t="n">
        <v>0</v>
      </c>
      <c r="L225" s="8" t="n">
        <v>0</v>
      </c>
      <c r="M225" s="8" t="n">
        <v>0</v>
      </c>
      <c r="N225" s="8" t="n">
        <v>0</v>
      </c>
      <c r="O225" s="8" t="n">
        <v>0</v>
      </c>
      <c r="P225" s="8" t="n">
        <v>0</v>
      </c>
      <c r="Q225" s="8" t="n">
        <v>4</v>
      </c>
      <c r="R225" s="8" t="n">
        <v>1.5</v>
      </c>
      <c r="S225" s="8" t="n">
        <v>0</v>
      </c>
      <c r="T225" s="8" t="n">
        <v>0.5</v>
      </c>
      <c r="U225" s="8" t="n">
        <v>0</v>
      </c>
      <c r="V225" s="8" t="n">
        <v>0</v>
      </c>
      <c r="W225" s="8" t="n"/>
      <c r="X225" s="8" t="n"/>
      <c r="Y225" s="8" t="n"/>
      <c r="Z225" s="8" t="n"/>
      <c r="AA225" s="8" t="n">
        <v>24</v>
      </c>
      <c r="AB225" s="8" t="inlineStr">
        <is>
          <t>200C x 70h, 25% compression, AS214 O-ring (JIS K6262)</t>
        </is>
      </c>
      <c r="AC225" s="4" t="n">
        <v>200</v>
      </c>
      <c r="AD225" s="4">
        <f>I225+J225+K225+L225+M225+N225+O225+P225</f>
        <v/>
      </c>
      <c r="AE225" s="4" t="n">
        <v>0</v>
      </c>
      <c r="AF225" s="4" t="n">
        <v>0</v>
      </c>
      <c r="AG225" s="4" t="n">
        <v>0</v>
      </c>
      <c r="AH225" s="4" t="n">
        <v>0</v>
      </c>
      <c r="AI225" s="4" t="n">
        <v>1</v>
      </c>
    </row>
    <row r="226">
      <c r="A226" s="4" t="inlineStr">
        <is>
          <t>G225</t>
        </is>
      </c>
      <c r="B226" s="8" t="inlineStr">
        <is>
          <t>US8349965B2</t>
        </is>
      </c>
      <c r="C226" s="8" t="inlineStr">
        <is>
          <t>Nippon Valqua Industries, Ltd.</t>
        </is>
      </c>
      <c r="D226" s="8" t="inlineStr">
        <is>
          <t>Example 2</t>
        </is>
      </c>
      <c r="E226" s="8" t="inlineStr">
        <is>
          <t>FKM</t>
        </is>
      </c>
      <c r="F226" s="8" t="inlineStr">
        <is>
          <t>DAI-EL LT302 (VDF/PAVE/TFE)</t>
        </is>
      </c>
      <c r="G226" s="8" t="inlineStr">
        <is>
          <t>peroxide</t>
        </is>
      </c>
      <c r="H226" s="8" t="n">
        <v>100</v>
      </c>
      <c r="I226" s="8" t="n">
        <v>0</v>
      </c>
      <c r="J226" s="8" t="n">
        <v>0</v>
      </c>
      <c r="K226" s="8" t="n">
        <v>0</v>
      </c>
      <c r="L226" s="8" t="n">
        <v>0</v>
      </c>
      <c r="M226" s="8" t="n">
        <v>0</v>
      </c>
      <c r="N226" s="8" t="n">
        <v>0</v>
      </c>
      <c r="O226" s="8" t="n">
        <v>0</v>
      </c>
      <c r="P226" s="8" t="n">
        <v>0</v>
      </c>
      <c r="Q226" s="8" t="n">
        <v>4</v>
      </c>
      <c r="R226" s="8" t="n">
        <v>1.5</v>
      </c>
      <c r="S226" s="8" t="n">
        <v>0</v>
      </c>
      <c r="T226" s="8" t="n">
        <v>0.5</v>
      </c>
      <c r="U226" s="8" t="n">
        <v>0</v>
      </c>
      <c r="V226" s="8" t="n">
        <v>0</v>
      </c>
      <c r="W226" s="8" t="n"/>
      <c r="X226" s="8" t="n"/>
      <c r="Y226" s="8" t="n"/>
      <c r="Z226" s="8" t="n"/>
      <c r="AA226" s="8" t="n">
        <v>36</v>
      </c>
      <c r="AB226" s="8" t="inlineStr">
        <is>
          <t>200C x 70h, 25% compression, AS214 O-ring (JIS K6262)</t>
        </is>
      </c>
      <c r="AC226" s="4" t="n">
        <v>200</v>
      </c>
      <c r="AD226" s="4">
        <f>I226+J226+K226+L226+M226+N226+O226+P226</f>
        <v/>
      </c>
      <c r="AE226" s="4" t="n">
        <v>0</v>
      </c>
      <c r="AF226" s="4" t="n">
        <v>0</v>
      </c>
      <c r="AG226" s="4" t="n">
        <v>0</v>
      </c>
      <c r="AH226" s="4" t="n">
        <v>0</v>
      </c>
      <c r="AI226" s="4" t="n">
        <v>1</v>
      </c>
    </row>
    <row r="227">
      <c r="A227" s="4" t="inlineStr">
        <is>
          <t>G226</t>
        </is>
      </c>
      <c r="B227" s="8" t="inlineStr">
        <is>
          <t>US8349965B2</t>
        </is>
      </c>
      <c r="C227" s="8" t="inlineStr">
        <is>
          <t>Nippon Valqua Industries, Ltd.</t>
        </is>
      </c>
      <c r="D227" s="8" t="inlineStr">
        <is>
          <t>Example 3</t>
        </is>
      </c>
      <c r="E227" s="8" t="inlineStr">
        <is>
          <t>FKM</t>
        </is>
      </c>
      <c r="F227" s="8" t="inlineStr">
        <is>
          <t>DAI-EL G912 (VDF/HFP/TFE) 50 + DAI-EL LT302 (VDF/PAVE/TFE) 50</t>
        </is>
      </c>
      <c r="G227" s="8" t="inlineStr">
        <is>
          <t>peroxide</t>
        </is>
      </c>
      <c r="H227" s="8" t="n">
        <v>100</v>
      </c>
      <c r="I227" s="8" t="n">
        <v>0</v>
      </c>
      <c r="J227" s="8" t="n">
        <v>0</v>
      </c>
      <c r="K227" s="8" t="n">
        <v>0</v>
      </c>
      <c r="L227" s="8" t="n">
        <v>0</v>
      </c>
      <c r="M227" s="8" t="n">
        <v>0</v>
      </c>
      <c r="N227" s="8" t="n">
        <v>0</v>
      </c>
      <c r="O227" s="8" t="n">
        <v>0</v>
      </c>
      <c r="P227" s="8" t="n">
        <v>0</v>
      </c>
      <c r="Q227" s="8" t="n">
        <v>4</v>
      </c>
      <c r="R227" s="8" t="n">
        <v>1.5</v>
      </c>
      <c r="S227" s="8" t="n">
        <v>0</v>
      </c>
      <c r="T227" s="8" t="n">
        <v>0.5</v>
      </c>
      <c r="U227" s="8" t="n">
        <v>0</v>
      </c>
      <c r="V227" s="8" t="n">
        <v>0</v>
      </c>
      <c r="W227" s="8" t="n"/>
      <c r="X227" s="8" t="n"/>
      <c r="Y227" s="8" t="n"/>
      <c r="Z227" s="8" t="n"/>
      <c r="AA227" s="8" t="n">
        <v>29</v>
      </c>
      <c r="AB227" s="8" t="inlineStr">
        <is>
          <t>200C x 70h, 25% compression, AS214 O-ring (JIS K6262)</t>
        </is>
      </c>
      <c r="AC227" s="4" t="n">
        <v>200</v>
      </c>
      <c r="AD227" s="4">
        <f>I227+J227+K227+L227+M227+N227+O227+P227</f>
        <v/>
      </c>
      <c r="AE227" s="4" t="n">
        <v>0</v>
      </c>
      <c r="AF227" s="4" t="n">
        <v>0</v>
      </c>
      <c r="AG227" s="4" t="n">
        <v>0</v>
      </c>
      <c r="AH227" s="4" t="n">
        <v>0</v>
      </c>
      <c r="AI227" s="4" t="n">
        <v>1</v>
      </c>
    </row>
    <row r="228">
      <c r="A228" s="4" t="inlineStr">
        <is>
          <t>G227</t>
        </is>
      </c>
      <c r="B228" s="8" t="inlineStr">
        <is>
          <t>US8349965B2</t>
        </is>
      </c>
      <c r="C228" s="8" t="inlineStr">
        <is>
          <t>Nippon Valqua Industries, Ltd.</t>
        </is>
      </c>
      <c r="D228" s="8" t="inlineStr">
        <is>
          <t>Example 4</t>
        </is>
      </c>
      <c r="E228" s="8" t="inlineStr">
        <is>
          <t>FKM</t>
        </is>
      </c>
      <c r="F228" s="8" t="inlineStr">
        <is>
          <t>DAI-EL G912 (VDF/HFP/TFE)</t>
        </is>
      </c>
      <c r="G228" s="8" t="inlineStr">
        <is>
          <t>peroxide</t>
        </is>
      </c>
      <c r="H228" s="8" t="n">
        <v>100</v>
      </c>
      <c r="I228" s="8" t="n">
        <v>0</v>
      </c>
      <c r="J228" s="8" t="n">
        <v>0</v>
      </c>
      <c r="K228" s="8" t="n">
        <v>0</v>
      </c>
      <c r="L228" s="8" t="n">
        <v>0</v>
      </c>
      <c r="M228" s="8" t="n">
        <v>0</v>
      </c>
      <c r="N228" s="8" t="n">
        <v>0</v>
      </c>
      <c r="O228" s="8" t="n">
        <v>0</v>
      </c>
      <c r="P228" s="8" t="n">
        <v>0</v>
      </c>
      <c r="Q228" s="8" t="n">
        <v>4</v>
      </c>
      <c r="R228" s="8" t="n">
        <v>1.5</v>
      </c>
      <c r="S228" s="8" t="n">
        <v>0</v>
      </c>
      <c r="T228" s="8" t="n">
        <v>0.1</v>
      </c>
      <c r="U228" s="8" t="n">
        <v>0</v>
      </c>
      <c r="V228" s="8" t="n">
        <v>0</v>
      </c>
      <c r="W228" s="8" t="n"/>
      <c r="X228" s="8" t="n"/>
      <c r="Y228" s="8" t="n"/>
      <c r="Z228" s="8" t="n"/>
      <c r="AA228" s="8" t="n">
        <v>25</v>
      </c>
      <c r="AB228" s="8" t="inlineStr">
        <is>
          <t>200C x 70h, 25% compression, AS214 O-ring (JIS K6262)</t>
        </is>
      </c>
      <c r="AC228" s="4" t="n">
        <v>200</v>
      </c>
      <c r="AD228" s="4">
        <f>I228+J228+K228+L228+M228+N228+O228+P228</f>
        <v/>
      </c>
      <c r="AE228" s="4" t="n">
        <v>0</v>
      </c>
      <c r="AF228" s="4" t="n">
        <v>0</v>
      </c>
      <c r="AG228" s="4" t="n">
        <v>0</v>
      </c>
      <c r="AH228" s="4" t="n">
        <v>0</v>
      </c>
      <c r="AI228" s="4" t="n">
        <v>1</v>
      </c>
    </row>
    <row r="229">
      <c r="A229" s="4" t="inlineStr">
        <is>
          <t>G228</t>
        </is>
      </c>
      <c r="B229" s="8" t="inlineStr">
        <is>
          <t>US8349965B2</t>
        </is>
      </c>
      <c r="C229" s="8" t="inlineStr">
        <is>
          <t>Nippon Valqua Industries, Ltd.</t>
        </is>
      </c>
      <c r="D229" s="8" t="inlineStr">
        <is>
          <t>Example 5</t>
        </is>
      </c>
      <c r="E229" s="8" t="inlineStr">
        <is>
          <t>FKM</t>
        </is>
      </c>
      <c r="F229" s="8" t="inlineStr">
        <is>
          <t>DAI-EL G912 (VDF/HFP/TFE)</t>
        </is>
      </c>
      <c r="G229" s="8" t="inlineStr">
        <is>
          <t>peroxide</t>
        </is>
      </c>
      <c r="H229" s="8" t="n">
        <v>100</v>
      </c>
      <c r="I229" s="8" t="n">
        <v>0</v>
      </c>
      <c r="J229" s="8" t="n">
        <v>0</v>
      </c>
      <c r="K229" s="8" t="n">
        <v>0</v>
      </c>
      <c r="L229" s="8" t="n">
        <v>0</v>
      </c>
      <c r="M229" s="8" t="n">
        <v>0</v>
      </c>
      <c r="N229" s="8" t="n">
        <v>0</v>
      </c>
      <c r="O229" s="8" t="n">
        <v>0</v>
      </c>
      <c r="P229" s="8" t="n">
        <v>0</v>
      </c>
      <c r="Q229" s="8" t="n">
        <v>4</v>
      </c>
      <c r="R229" s="8" t="n">
        <v>1.5</v>
      </c>
      <c r="S229" s="8" t="n">
        <v>0</v>
      </c>
      <c r="T229" s="8" t="n">
        <v>1</v>
      </c>
      <c r="U229" s="8" t="n">
        <v>0</v>
      </c>
      <c r="V229" s="8" t="n">
        <v>0</v>
      </c>
      <c r="W229" s="8" t="n"/>
      <c r="X229" s="8" t="n"/>
      <c r="Y229" s="8" t="n"/>
      <c r="Z229" s="8" t="n"/>
      <c r="AA229" s="8" t="n">
        <v>38</v>
      </c>
      <c r="AB229" s="8" t="inlineStr">
        <is>
          <t>200C x 70h, 25% compression, AS214 O-ring (JIS K6262)</t>
        </is>
      </c>
      <c r="AC229" s="4" t="n">
        <v>200</v>
      </c>
      <c r="AD229" s="4">
        <f>I229+J229+K229+L229+M229+N229+O229+P229</f>
        <v/>
      </c>
      <c r="AE229" s="4" t="n">
        <v>0</v>
      </c>
      <c r="AF229" s="4" t="n">
        <v>0</v>
      </c>
      <c r="AG229" s="4" t="n">
        <v>0</v>
      </c>
      <c r="AH229" s="4" t="n">
        <v>0</v>
      </c>
      <c r="AI229" s="4" t="n">
        <v>1</v>
      </c>
    </row>
    <row r="230">
      <c r="A230" s="4" t="inlineStr">
        <is>
          <t>G229</t>
        </is>
      </c>
      <c r="B230" s="8" t="inlineStr">
        <is>
          <t>US8349965B2</t>
        </is>
      </c>
      <c r="C230" s="8" t="inlineStr">
        <is>
          <t>Nippon Valqua Industries, Ltd.</t>
        </is>
      </c>
      <c r="D230" s="8" t="inlineStr">
        <is>
          <t>Example 6</t>
        </is>
      </c>
      <c r="E230" s="8" t="inlineStr">
        <is>
          <t>FKM</t>
        </is>
      </c>
      <c r="F230" s="8" t="inlineStr">
        <is>
          <t>DAI-EL G912 (VDF/HFP/TFE)</t>
        </is>
      </c>
      <c r="G230" s="8" t="inlineStr">
        <is>
          <t>peroxide</t>
        </is>
      </c>
      <c r="H230" s="8" t="n">
        <v>100</v>
      </c>
      <c r="I230" s="8" t="n">
        <v>0</v>
      </c>
      <c r="J230" s="8" t="n">
        <v>0</v>
      </c>
      <c r="K230" s="8" t="n">
        <v>0</v>
      </c>
      <c r="L230" s="8" t="n">
        <v>0</v>
      </c>
      <c r="M230" s="8" t="n">
        <v>0</v>
      </c>
      <c r="N230" s="8" t="n">
        <v>0</v>
      </c>
      <c r="O230" s="8" t="n">
        <v>0</v>
      </c>
      <c r="P230" s="8" t="n">
        <v>0</v>
      </c>
      <c r="Q230" s="8" t="n">
        <v>4</v>
      </c>
      <c r="R230" s="8" t="n">
        <v>1.5</v>
      </c>
      <c r="S230" s="8" t="n">
        <v>0</v>
      </c>
      <c r="T230" s="8" t="n">
        <v>3</v>
      </c>
      <c r="U230" s="8" t="n">
        <v>0</v>
      </c>
      <c r="V230" s="8" t="n">
        <v>0</v>
      </c>
      <c r="W230" s="8" t="n"/>
      <c r="X230" s="8" t="n"/>
      <c r="Y230" s="8" t="n"/>
      <c r="Z230" s="8" t="n"/>
      <c r="AA230" s="8" t="n">
        <v>56</v>
      </c>
      <c r="AB230" s="8" t="inlineStr">
        <is>
          <t>200C x 70h, 25% compression, AS214 O-ring (JIS K6262)</t>
        </is>
      </c>
      <c r="AC230" s="4" t="n">
        <v>200</v>
      </c>
      <c r="AD230" s="4">
        <f>I230+J230+K230+L230+M230+N230+O230+P230</f>
        <v/>
      </c>
      <c r="AE230" s="4" t="n">
        <v>0</v>
      </c>
      <c r="AF230" s="4" t="n">
        <v>0</v>
      </c>
      <c r="AG230" s="4" t="n">
        <v>0</v>
      </c>
      <c r="AH230" s="4" t="n">
        <v>0</v>
      </c>
      <c r="AI230" s="4" t="n">
        <v>1</v>
      </c>
    </row>
    <row r="231">
      <c r="A231" s="4" t="inlineStr">
        <is>
          <t>G230</t>
        </is>
      </c>
      <c r="B231" s="8" t="inlineStr">
        <is>
          <t>US8349965B2</t>
        </is>
      </c>
      <c r="C231" s="8" t="inlineStr">
        <is>
          <t>Nippon Valqua Industries, Ltd.</t>
        </is>
      </c>
      <c r="D231" s="8" t="inlineStr">
        <is>
          <t>Example 7</t>
        </is>
      </c>
      <c r="E231" s="8" t="inlineStr">
        <is>
          <t>FKM</t>
        </is>
      </c>
      <c r="F231" s="8" t="inlineStr">
        <is>
          <t>DAI-EL G801 (VDF/HFP)</t>
        </is>
      </c>
      <c r="G231" s="8" t="inlineStr">
        <is>
          <t>peroxide</t>
        </is>
      </c>
      <c r="H231" s="8" t="n">
        <v>100</v>
      </c>
      <c r="I231" s="8" t="n">
        <v>0</v>
      </c>
      <c r="J231" s="8" t="n">
        <v>0</v>
      </c>
      <c r="K231" s="8" t="n">
        <v>0</v>
      </c>
      <c r="L231" s="8" t="n">
        <v>0</v>
      </c>
      <c r="M231" s="8" t="n">
        <v>0</v>
      </c>
      <c r="N231" s="8" t="n">
        <v>0</v>
      </c>
      <c r="O231" s="8" t="n">
        <v>0</v>
      </c>
      <c r="P231" s="8" t="n">
        <v>0</v>
      </c>
      <c r="Q231" s="8" t="n">
        <v>4</v>
      </c>
      <c r="R231" s="8" t="n">
        <v>1.5</v>
      </c>
      <c r="S231" s="8" t="n">
        <v>0</v>
      </c>
      <c r="T231" s="8" t="n">
        <v>0.5</v>
      </c>
      <c r="U231" s="8" t="n">
        <v>0</v>
      </c>
      <c r="V231" s="8" t="n">
        <v>0</v>
      </c>
      <c r="W231" s="8" t="n"/>
      <c r="X231" s="8" t="n"/>
      <c r="Y231" s="8" t="n"/>
      <c r="Z231" s="8" t="n"/>
      <c r="AA231" s="8" t="n">
        <v>26</v>
      </c>
      <c r="AB231" s="8" t="inlineStr">
        <is>
          <t>200C x 70h, 25% compression, AS214 O-ring (JIS K6262)</t>
        </is>
      </c>
      <c r="AC231" s="4" t="n">
        <v>200</v>
      </c>
      <c r="AD231" s="4">
        <f>I231+J231+K231+L231+M231+N231+O231+P231</f>
        <v/>
      </c>
      <c r="AE231" s="4" t="n">
        <v>0</v>
      </c>
      <c r="AF231" s="4" t="n">
        <v>0</v>
      </c>
      <c r="AG231" s="4" t="n">
        <v>0</v>
      </c>
      <c r="AH231" s="4" t="n">
        <v>0</v>
      </c>
      <c r="AI231" s="4" t="n">
        <v>1</v>
      </c>
    </row>
    <row r="232">
      <c r="A232" s="4" t="inlineStr">
        <is>
          <t>G231</t>
        </is>
      </c>
      <c r="B232" s="8" t="inlineStr">
        <is>
          <t>US8349965B2</t>
        </is>
      </c>
      <c r="C232" s="8" t="inlineStr">
        <is>
          <t>Nippon Valqua Industries, Ltd.</t>
        </is>
      </c>
      <c r="D232" s="8" t="inlineStr">
        <is>
          <t>Example 8</t>
        </is>
      </c>
      <c r="E232" s="8" t="inlineStr">
        <is>
          <t>FKM</t>
        </is>
      </c>
      <c r="F232" s="8" t="inlineStr">
        <is>
          <t>DAI-EL G912 (VDF/HFP/TFE)</t>
        </is>
      </c>
      <c r="G232" s="8" t="inlineStr">
        <is>
          <t>peroxide</t>
        </is>
      </c>
      <c r="H232" s="8" t="n">
        <v>100</v>
      </c>
      <c r="I232" s="8" t="n">
        <v>0</v>
      </c>
      <c r="J232" s="8" t="n">
        <v>0</v>
      </c>
      <c r="K232" s="8" t="n">
        <v>0</v>
      </c>
      <c r="L232" s="8" t="n">
        <v>0</v>
      </c>
      <c r="M232" s="8" t="n">
        <v>0</v>
      </c>
      <c r="N232" s="8" t="n">
        <v>0</v>
      </c>
      <c r="O232" s="8" t="n">
        <v>0</v>
      </c>
      <c r="P232" s="8" t="n">
        <v>0</v>
      </c>
      <c r="Q232" s="8" t="n">
        <v>4</v>
      </c>
      <c r="R232" s="8" t="n">
        <v>1.5</v>
      </c>
      <c r="S232" s="8" t="n">
        <v>0</v>
      </c>
      <c r="T232" s="8" t="n">
        <v>0.5</v>
      </c>
      <c r="U232" s="8" t="n">
        <v>0</v>
      </c>
      <c r="V232" s="8" t="n">
        <v>0</v>
      </c>
      <c r="W232" s="8" t="n"/>
      <c r="X232" s="8" t="n"/>
      <c r="Y232" s="8" t="n"/>
      <c r="Z232" s="8" t="n"/>
      <c r="AA232" s="8" t="n">
        <v>30</v>
      </c>
      <c r="AB232" s="8" t="inlineStr">
        <is>
          <t>200C x 70h, 25% compression, AS214 O-ring (JIS K6262)</t>
        </is>
      </c>
      <c r="AC232" s="4" t="n">
        <v>200</v>
      </c>
      <c r="AD232" s="4">
        <f>I232+J232+K232+L232+M232+N232+O232+P232</f>
        <v/>
      </c>
      <c r="AE232" s="4" t="n">
        <v>0</v>
      </c>
      <c r="AF232" s="4" t="n">
        <v>0</v>
      </c>
      <c r="AG232" s="4" t="n">
        <v>0</v>
      </c>
      <c r="AH232" s="4" t="n">
        <v>0</v>
      </c>
      <c r="AI232" s="4" t="n">
        <v>1</v>
      </c>
    </row>
    <row r="233">
      <c r="A233" s="4" t="inlineStr">
        <is>
          <t>G232</t>
        </is>
      </c>
      <c r="B233" s="8" t="inlineStr">
        <is>
          <t>US8349965B2</t>
        </is>
      </c>
      <c r="C233" s="8" t="inlineStr">
        <is>
          <t>Nippon Valqua Industries, Ltd.</t>
        </is>
      </c>
      <c r="D233" s="8" t="inlineStr">
        <is>
          <t>Example 9</t>
        </is>
      </c>
      <c r="E233" s="8" t="inlineStr">
        <is>
          <t>FKM</t>
        </is>
      </c>
      <c r="F233" s="8" t="inlineStr">
        <is>
          <t>DAI-EL G912 (VDF/HFP/TFE)</t>
        </is>
      </c>
      <c r="G233" s="8" t="inlineStr">
        <is>
          <t>peroxide</t>
        </is>
      </c>
      <c r="H233" s="8" t="n">
        <v>100</v>
      </c>
      <c r="I233" s="8" t="n">
        <v>0</v>
      </c>
      <c r="J233" s="8" t="n">
        <v>0</v>
      </c>
      <c r="K233" s="8" t="n">
        <v>0</v>
      </c>
      <c r="L233" s="8" t="n">
        <v>0</v>
      </c>
      <c r="M233" s="8" t="n">
        <v>0</v>
      </c>
      <c r="N233" s="8" t="n">
        <v>0</v>
      </c>
      <c r="O233" s="8" t="n">
        <v>0</v>
      </c>
      <c r="P233" s="8" t="n">
        <v>0</v>
      </c>
      <c r="Q233" s="8" t="n">
        <v>2.5</v>
      </c>
      <c r="R233" s="8" t="n">
        <v>1.5</v>
      </c>
      <c r="S233" s="8" t="n">
        <v>0</v>
      </c>
      <c r="T233" s="8" t="n">
        <v>0.5</v>
      </c>
      <c r="U233" s="8" t="n">
        <v>0</v>
      </c>
      <c r="V233" s="8" t="n">
        <v>0</v>
      </c>
      <c r="W233" s="8" t="n"/>
      <c r="X233" s="8" t="n"/>
      <c r="Y233" s="8" t="n"/>
      <c r="Z233" s="8" t="n"/>
      <c r="AA233" s="8" t="n">
        <v>35</v>
      </c>
      <c r="AB233" s="8" t="inlineStr">
        <is>
          <t>200C x 70h, 25% compression, AS214 O-ring (JIS K6262)</t>
        </is>
      </c>
      <c r="AC233" s="4" t="n">
        <v>200</v>
      </c>
      <c r="AD233" s="4">
        <f>I233+J233+K233+L233+M233+N233+O233+P233</f>
        <v/>
      </c>
      <c r="AE233" s="4" t="n">
        <v>0</v>
      </c>
      <c r="AF233" s="4" t="n">
        <v>0</v>
      </c>
      <c r="AG233" s="4" t="n">
        <v>0</v>
      </c>
      <c r="AH233" s="4" t="n">
        <v>0</v>
      </c>
      <c r="AI233" s="4" t="n">
        <v>1</v>
      </c>
    </row>
    <row r="234">
      <c r="A234" s="4" t="inlineStr">
        <is>
          <t>G233</t>
        </is>
      </c>
      <c r="B234" s="8" t="inlineStr">
        <is>
          <t>US8349965B2</t>
        </is>
      </c>
      <c r="C234" s="8" t="inlineStr">
        <is>
          <t>Nippon Valqua Industries, Ltd.</t>
        </is>
      </c>
      <c r="D234" s="8" t="inlineStr">
        <is>
          <t>Example 10</t>
        </is>
      </c>
      <c r="E234" s="8" t="inlineStr">
        <is>
          <t>FKM</t>
        </is>
      </c>
      <c r="F234" s="8" t="inlineStr">
        <is>
          <t>DAI-EL G912 (VDF/HFP/TFE)</t>
        </is>
      </c>
      <c r="G234" s="8" t="inlineStr">
        <is>
          <t>peroxide</t>
        </is>
      </c>
      <c r="H234" s="8" t="n">
        <v>100</v>
      </c>
      <c r="I234" s="8" t="n">
        <v>0</v>
      </c>
      <c r="J234" s="8" t="n">
        <v>0</v>
      </c>
      <c r="K234" s="8" t="n">
        <v>0</v>
      </c>
      <c r="L234" s="8" t="n">
        <v>0</v>
      </c>
      <c r="M234" s="8" t="n">
        <v>0</v>
      </c>
      <c r="N234" s="8" t="n">
        <v>0</v>
      </c>
      <c r="O234" s="8" t="n">
        <v>0</v>
      </c>
      <c r="P234" s="8" t="n">
        <v>0</v>
      </c>
      <c r="Q234" s="8" t="n">
        <v>7</v>
      </c>
      <c r="R234" s="8" t="n">
        <v>1.5</v>
      </c>
      <c r="S234" s="8" t="n">
        <v>0</v>
      </c>
      <c r="T234" s="8" t="n">
        <v>0.5</v>
      </c>
      <c r="U234" s="8" t="n">
        <v>0</v>
      </c>
      <c r="V234" s="8" t="n">
        <v>0</v>
      </c>
      <c r="W234" s="8" t="n"/>
      <c r="X234" s="8" t="n"/>
      <c r="Y234" s="8" t="n"/>
      <c r="Z234" s="8" t="n"/>
      <c r="AA234" s="8" t="n">
        <v>30</v>
      </c>
      <c r="AB234" s="8" t="inlineStr">
        <is>
          <t>200C x 70h, 25% compression, AS214 O-ring (JIS K6262)</t>
        </is>
      </c>
      <c r="AC234" s="4" t="n">
        <v>200</v>
      </c>
      <c r="AD234" s="4">
        <f>I234+J234+K234+L234+M234+N234+O234+P234</f>
        <v/>
      </c>
      <c r="AE234" s="4" t="n">
        <v>0</v>
      </c>
      <c r="AF234" s="4" t="n">
        <v>0</v>
      </c>
      <c r="AG234" s="4" t="n">
        <v>0</v>
      </c>
      <c r="AH234" s="4" t="n">
        <v>0</v>
      </c>
      <c r="AI234" s="4" t="n">
        <v>1</v>
      </c>
    </row>
    <row r="235">
      <c r="A235" s="4" t="inlineStr">
        <is>
          <t>G234</t>
        </is>
      </c>
      <c r="B235" s="8" t="inlineStr">
        <is>
          <t>US8349965B2</t>
        </is>
      </c>
      <c r="C235" s="8" t="inlineStr">
        <is>
          <t>Nippon Valqua Industries, Ltd.</t>
        </is>
      </c>
      <c r="D235" s="8" t="inlineStr">
        <is>
          <t>Example 11</t>
        </is>
      </c>
      <c r="E235" s="8" t="inlineStr">
        <is>
          <t>FKM</t>
        </is>
      </c>
      <c r="F235" s="8" t="inlineStr">
        <is>
          <t>DAI-EL G912 (VDF/HFP/TFE)</t>
        </is>
      </c>
      <c r="G235" s="8" t="inlineStr">
        <is>
          <t>peroxide</t>
        </is>
      </c>
      <c r="H235" s="8" t="n">
        <v>100</v>
      </c>
      <c r="I235" s="8" t="n">
        <v>0</v>
      </c>
      <c r="J235" s="8" t="n">
        <v>0</v>
      </c>
      <c r="K235" s="8" t="n">
        <v>0</v>
      </c>
      <c r="L235" s="8" t="n">
        <v>0</v>
      </c>
      <c r="M235" s="8" t="n">
        <v>0</v>
      </c>
      <c r="N235" s="8" t="n">
        <v>0</v>
      </c>
      <c r="O235" s="8" t="n">
        <v>0</v>
      </c>
      <c r="P235" s="8" t="n">
        <v>0</v>
      </c>
      <c r="Q235" s="8" t="n">
        <v>4</v>
      </c>
      <c r="R235" s="8" t="n">
        <v>3</v>
      </c>
      <c r="S235" s="8" t="n">
        <v>0</v>
      </c>
      <c r="T235" s="8" t="n">
        <v>0.5</v>
      </c>
      <c r="U235" s="8" t="n">
        <v>0</v>
      </c>
      <c r="V235" s="8" t="n">
        <v>0</v>
      </c>
      <c r="W235" s="8" t="n"/>
      <c r="X235" s="8" t="n"/>
      <c r="Y235" s="8" t="n"/>
      <c r="Z235" s="8" t="n"/>
      <c r="AA235" s="8" t="n">
        <v>28</v>
      </c>
      <c r="AB235" s="8" t="inlineStr">
        <is>
          <t>200C x 70h, 25% compression, AS214 O-ring (JIS K6262)</t>
        </is>
      </c>
      <c r="AC235" s="4" t="n">
        <v>200</v>
      </c>
      <c r="AD235" s="4">
        <f>I235+J235+K235+L235+M235+N235+O235+P235</f>
        <v/>
      </c>
      <c r="AE235" s="4" t="n">
        <v>0</v>
      </c>
      <c r="AF235" s="4" t="n">
        <v>0</v>
      </c>
      <c r="AG235" s="4" t="n">
        <v>0</v>
      </c>
      <c r="AH235" s="4" t="n">
        <v>0</v>
      </c>
      <c r="AI235" s="4" t="n">
        <v>1</v>
      </c>
    </row>
    <row r="236">
      <c r="A236" s="4" t="inlineStr">
        <is>
          <t>G235</t>
        </is>
      </c>
      <c r="B236" s="8" t="inlineStr">
        <is>
          <t>US8349965B2</t>
        </is>
      </c>
      <c r="C236" s="8" t="inlineStr">
        <is>
          <t>Nippon Valqua Industries, Ltd.</t>
        </is>
      </c>
      <c r="D236" s="8" t="inlineStr">
        <is>
          <t>Example 12</t>
        </is>
      </c>
      <c r="E236" s="8" t="inlineStr">
        <is>
          <t>FKM</t>
        </is>
      </c>
      <c r="F236" s="8" t="inlineStr">
        <is>
          <t>DAI-EL G912 (VDF/HFP/TFE)</t>
        </is>
      </c>
      <c r="G236" s="8" t="inlineStr">
        <is>
          <t>peroxide</t>
        </is>
      </c>
      <c r="H236" s="8" t="n">
        <v>100</v>
      </c>
      <c r="I236" s="8" t="n">
        <v>0</v>
      </c>
      <c r="J236" s="8" t="n">
        <v>0</v>
      </c>
      <c r="K236" s="8" t="n">
        <v>0</v>
      </c>
      <c r="L236" s="8" t="n">
        <v>0</v>
      </c>
      <c r="M236" s="8" t="n">
        <v>0</v>
      </c>
      <c r="N236" s="8" t="n">
        <v>0</v>
      </c>
      <c r="O236" s="8" t="n">
        <v>0</v>
      </c>
      <c r="P236" s="8" t="n">
        <v>0</v>
      </c>
      <c r="Q236" s="8" t="n">
        <v>4</v>
      </c>
      <c r="R236" s="8" t="n">
        <v>1.5</v>
      </c>
      <c r="S236" s="8" t="n">
        <v>0</v>
      </c>
      <c r="T236" s="8" t="n">
        <v>0.5</v>
      </c>
      <c r="U236" s="8" t="n">
        <v>0</v>
      </c>
      <c r="V236" s="8" t="n">
        <v>0</v>
      </c>
      <c r="W236" s="8" t="n"/>
      <c r="X236" s="8" t="n"/>
      <c r="Y236" s="8" t="n"/>
      <c r="Z236" s="8" t="n"/>
      <c r="AA236" s="8" t="n">
        <v>32</v>
      </c>
      <c r="AB236" s="8" t="inlineStr">
        <is>
          <t>200C x 70h, 25% compression, AS214 O-ring (JIS K6262)</t>
        </is>
      </c>
      <c r="AC236" s="4" t="n">
        <v>200</v>
      </c>
      <c r="AD236" s="4">
        <f>I236+J236+K236+L236+M236+N236+O236+P236</f>
        <v/>
      </c>
      <c r="AE236" s="4" t="n">
        <v>0</v>
      </c>
      <c r="AF236" s="4" t="n">
        <v>0</v>
      </c>
      <c r="AG236" s="4" t="n">
        <v>0</v>
      </c>
      <c r="AH236" s="4" t="n">
        <v>0</v>
      </c>
      <c r="AI236" s="4" t="n">
        <v>1</v>
      </c>
    </row>
    <row r="237">
      <c r="A237" s="4" t="inlineStr">
        <is>
          <t>G236</t>
        </is>
      </c>
      <c r="B237" s="8" t="inlineStr">
        <is>
          <t>US8349965B2</t>
        </is>
      </c>
      <c r="C237" s="8" t="inlineStr">
        <is>
          <t>Nippon Valqua Industries, Ltd.</t>
        </is>
      </c>
      <c r="D237" s="8" t="inlineStr">
        <is>
          <t>Example 13</t>
        </is>
      </c>
      <c r="E237" s="8" t="inlineStr">
        <is>
          <t>FKM</t>
        </is>
      </c>
      <c r="F237" s="8" t="inlineStr">
        <is>
          <t>DAI-EL G912 (VDF/HFP/TFE)</t>
        </is>
      </c>
      <c r="G237" s="8" t="inlineStr">
        <is>
          <t>peroxide</t>
        </is>
      </c>
      <c r="H237" s="8" t="n">
        <v>100</v>
      </c>
      <c r="I237" s="8" t="n">
        <v>0</v>
      </c>
      <c r="J237" s="8" t="n">
        <v>0</v>
      </c>
      <c r="K237" s="8" t="n">
        <v>0</v>
      </c>
      <c r="L237" s="8" t="n">
        <v>0</v>
      </c>
      <c r="M237" s="8" t="n">
        <v>0</v>
      </c>
      <c r="N237" s="8" t="n">
        <v>0</v>
      </c>
      <c r="O237" s="8" t="n">
        <v>0</v>
      </c>
      <c r="P237" s="8" t="n">
        <v>0</v>
      </c>
      <c r="Q237" s="8" t="n">
        <v>4</v>
      </c>
      <c r="R237" s="8" t="n">
        <v>0.5</v>
      </c>
      <c r="S237" s="8" t="n">
        <v>0</v>
      </c>
      <c r="T237" s="8" t="n">
        <v>0.5</v>
      </c>
      <c r="U237" s="8" t="n">
        <v>0</v>
      </c>
      <c r="V237" s="8" t="n">
        <v>0</v>
      </c>
      <c r="W237" s="8" t="n"/>
      <c r="X237" s="8" t="n"/>
      <c r="Y237" s="8" t="n"/>
      <c r="Z237" s="8" t="n"/>
      <c r="AA237" s="8" t="n">
        <v>34</v>
      </c>
      <c r="AB237" s="8" t="inlineStr">
        <is>
          <t>200C x 70h, 25% compression, AS214 O-ring (JIS K6262)</t>
        </is>
      </c>
      <c r="AC237" s="4" t="n">
        <v>200</v>
      </c>
      <c r="AD237" s="4">
        <f>I237+J237+K237+L237+M237+N237+O237+P237</f>
        <v/>
      </c>
      <c r="AE237" s="4" t="n">
        <v>0</v>
      </c>
      <c r="AF237" s="4" t="n">
        <v>0</v>
      </c>
      <c r="AG237" s="4" t="n">
        <v>0</v>
      </c>
      <c r="AH237" s="4" t="n">
        <v>0</v>
      </c>
      <c r="AI237" s="4" t="n">
        <v>1</v>
      </c>
    </row>
    <row r="238">
      <c r="A238" s="4" t="inlineStr">
        <is>
          <t>G237</t>
        </is>
      </c>
      <c r="B238" s="8" t="inlineStr">
        <is>
          <t>US8349965B2</t>
        </is>
      </c>
      <c r="C238" s="8" t="inlineStr">
        <is>
          <t>Nippon Valqua Industries, Ltd.</t>
        </is>
      </c>
      <c r="D238" s="8" t="inlineStr">
        <is>
          <t>Example 14</t>
        </is>
      </c>
      <c r="E238" s="8" t="inlineStr">
        <is>
          <t>FKM</t>
        </is>
      </c>
      <c r="F238" s="8" t="inlineStr">
        <is>
          <t>DAI-EL G912 (VDF/HFP/TFE)</t>
        </is>
      </c>
      <c r="G238" s="8" t="inlineStr">
        <is>
          <t>peroxide</t>
        </is>
      </c>
      <c r="H238" s="8" t="n">
        <v>100</v>
      </c>
      <c r="I238" s="8" t="n">
        <v>0</v>
      </c>
      <c r="J238" s="8" t="n">
        <v>0</v>
      </c>
      <c r="K238" s="8" t="n">
        <v>0</v>
      </c>
      <c r="L238" s="8" t="n">
        <v>0</v>
      </c>
      <c r="M238" s="8" t="n">
        <v>0</v>
      </c>
      <c r="N238" s="8" t="n">
        <v>0</v>
      </c>
      <c r="O238" s="8" t="n">
        <v>0</v>
      </c>
      <c r="P238" s="8" t="n">
        <v>0</v>
      </c>
      <c r="Q238" s="8" t="n">
        <v>4</v>
      </c>
      <c r="R238" s="8" t="n">
        <v>1</v>
      </c>
      <c r="S238" s="8" t="n">
        <v>0</v>
      </c>
      <c r="T238" s="8" t="n">
        <v>0.5</v>
      </c>
      <c r="U238" s="8" t="n">
        <v>0</v>
      </c>
      <c r="V238" s="8" t="n">
        <v>0</v>
      </c>
      <c r="W238" s="8" t="n"/>
      <c r="X238" s="8" t="n"/>
      <c r="Y238" s="8" t="n"/>
      <c r="Z238" s="8" t="n"/>
      <c r="AA238" s="8" t="n">
        <v>31</v>
      </c>
      <c r="AB238" s="8" t="inlineStr">
        <is>
          <t>200C x 70h, 25% compression, AS214 O-ring (JIS K6262)</t>
        </is>
      </c>
      <c r="AC238" s="4" t="n">
        <v>200</v>
      </c>
      <c r="AD238" s="4">
        <f>I238+J238+K238+L238+M238+N238+O238+P238</f>
        <v/>
      </c>
      <c r="AE238" s="4" t="n">
        <v>0</v>
      </c>
      <c r="AF238" s="4" t="n">
        <v>0</v>
      </c>
      <c r="AG238" s="4" t="n">
        <v>0</v>
      </c>
      <c r="AH238" s="4" t="n">
        <v>0</v>
      </c>
      <c r="AI238" s="4" t="n">
        <v>1</v>
      </c>
    </row>
    <row r="239">
      <c r="A239" s="4" t="inlineStr">
        <is>
          <t>G238</t>
        </is>
      </c>
      <c r="B239" s="8" t="inlineStr">
        <is>
          <t>US8349965B2</t>
        </is>
      </c>
      <c r="C239" s="8" t="inlineStr">
        <is>
          <t>Nippon Valqua Industries, Ltd.</t>
        </is>
      </c>
      <c r="D239" s="8" t="inlineStr">
        <is>
          <t>Comparative Example 1</t>
        </is>
      </c>
      <c r="E239" s="8" t="inlineStr">
        <is>
          <t>FKM</t>
        </is>
      </c>
      <c r="F239" s="8" t="inlineStr">
        <is>
          <t>DAI-EL G912 (VDF/HFP/TFE)</t>
        </is>
      </c>
      <c r="G239" s="8" t="inlineStr">
        <is>
          <t>peroxide</t>
        </is>
      </c>
      <c r="H239" s="8" t="n">
        <v>100</v>
      </c>
      <c r="I239" s="8" t="n">
        <v>0</v>
      </c>
      <c r="J239" s="8" t="n">
        <v>0</v>
      </c>
      <c r="K239" s="8" t="n">
        <v>0</v>
      </c>
      <c r="L239" s="8" t="n">
        <v>0</v>
      </c>
      <c r="M239" s="8" t="n">
        <v>0</v>
      </c>
      <c r="N239" s="8" t="n">
        <v>0</v>
      </c>
      <c r="O239" s="8" t="n">
        <v>0</v>
      </c>
      <c r="P239" s="8" t="n">
        <v>0</v>
      </c>
      <c r="Q239" s="8" t="n">
        <v>4</v>
      </c>
      <c r="R239" s="8" t="n">
        <v>1.5</v>
      </c>
      <c r="S239" s="8" t="n">
        <v>0</v>
      </c>
      <c r="T239" s="8" t="n">
        <v>0</v>
      </c>
      <c r="U239" s="8" t="n">
        <v>0</v>
      </c>
      <c r="V239" s="8" t="n">
        <v>0</v>
      </c>
      <c r="W239" s="8" t="n"/>
      <c r="X239" s="8" t="n"/>
      <c r="Y239" s="8" t="n"/>
      <c r="Z239" s="8" t="n"/>
      <c r="AA239" s="8" t="n">
        <v>23</v>
      </c>
      <c r="AB239" s="8" t="inlineStr">
        <is>
          <t>200C x 70h, 25% compression, AS214 O-ring (JIS K6262)</t>
        </is>
      </c>
      <c r="AC239" s="4" t="n">
        <v>200</v>
      </c>
      <c r="AD239" s="4">
        <f>I239+J239+K239+L239+M239+N239+O239+P239</f>
        <v/>
      </c>
      <c r="AE239" s="4" t="n">
        <v>0</v>
      </c>
      <c r="AF239" s="4" t="n">
        <v>0</v>
      </c>
      <c r="AG239" s="4" t="n">
        <v>0</v>
      </c>
      <c r="AH239" s="4" t="n">
        <v>0</v>
      </c>
      <c r="AI239" s="4" t="n">
        <v>1</v>
      </c>
    </row>
    <row r="240">
      <c r="A240" s="4" t="inlineStr">
        <is>
          <t>G239</t>
        </is>
      </c>
      <c r="B240" s="8" t="inlineStr">
        <is>
          <t>US8349965B2</t>
        </is>
      </c>
      <c r="C240" s="8" t="inlineStr">
        <is>
          <t>Nippon Valqua Industries, Ltd.</t>
        </is>
      </c>
      <c r="D240" s="8" t="inlineStr">
        <is>
          <t>Comparative Example 2</t>
        </is>
      </c>
      <c r="E240" s="8" t="inlineStr">
        <is>
          <t>FKM</t>
        </is>
      </c>
      <c r="F240" s="8" t="inlineStr">
        <is>
          <t>DAI-EL LT302 (VDF/PAVE/TFE)</t>
        </is>
      </c>
      <c r="G240" s="8" t="inlineStr">
        <is>
          <t>peroxide</t>
        </is>
      </c>
      <c r="H240" s="8" t="n">
        <v>100</v>
      </c>
      <c r="I240" s="8" t="n">
        <v>0</v>
      </c>
      <c r="J240" s="8" t="n">
        <v>0</v>
      </c>
      <c r="K240" s="8" t="n">
        <v>0</v>
      </c>
      <c r="L240" s="8" t="n">
        <v>0</v>
      </c>
      <c r="M240" s="8" t="n">
        <v>0</v>
      </c>
      <c r="N240" s="8" t="n">
        <v>0</v>
      </c>
      <c r="O240" s="8" t="n">
        <v>0</v>
      </c>
      <c r="P240" s="8" t="n">
        <v>0</v>
      </c>
      <c r="Q240" s="8" t="n">
        <v>4</v>
      </c>
      <c r="R240" s="8" t="n">
        <v>1.5</v>
      </c>
      <c r="S240" s="8" t="n">
        <v>0</v>
      </c>
      <c r="T240" s="8" t="n">
        <v>0</v>
      </c>
      <c r="U240" s="8" t="n">
        <v>0</v>
      </c>
      <c r="V240" s="8" t="n">
        <v>0</v>
      </c>
      <c r="W240" s="8" t="n"/>
      <c r="X240" s="8" t="n"/>
      <c r="Y240" s="8" t="n"/>
      <c r="Z240" s="8" t="n"/>
      <c r="AA240" s="8" t="n">
        <v>34</v>
      </c>
      <c r="AB240" s="8" t="inlineStr">
        <is>
          <t>200C x 70h, 25% compression, AS214 O-ring (JIS K6262)</t>
        </is>
      </c>
      <c r="AC240" s="4" t="n">
        <v>200</v>
      </c>
      <c r="AD240" s="4">
        <f>I240+J240+K240+L240+M240+N240+O240+P240</f>
        <v/>
      </c>
      <c r="AE240" s="4" t="n">
        <v>0</v>
      </c>
      <c r="AF240" s="4" t="n">
        <v>0</v>
      </c>
      <c r="AG240" s="4" t="n">
        <v>0</v>
      </c>
      <c r="AH240" s="4" t="n">
        <v>0</v>
      </c>
      <c r="AI240" s="4" t="n">
        <v>1</v>
      </c>
    </row>
    <row r="241">
      <c r="A241" s="4" t="inlineStr">
        <is>
          <t>G240</t>
        </is>
      </c>
      <c r="B241" s="8" t="inlineStr">
        <is>
          <t>US8349965B2</t>
        </is>
      </c>
      <c r="C241" s="8" t="inlineStr">
        <is>
          <t>Nippon Valqua Industries, Ltd.</t>
        </is>
      </c>
      <c r="D241" s="8" t="inlineStr">
        <is>
          <t>Comparative Example 3</t>
        </is>
      </c>
      <c r="E241" s="8" t="inlineStr">
        <is>
          <t>FKM</t>
        </is>
      </c>
      <c r="F241" s="8" t="inlineStr">
        <is>
          <t>DAI-EL G912 (VDF/HFP/TFE) 50 + DAI-EL LT302 (VDF/PAVE/TFE) 50</t>
        </is>
      </c>
      <c r="G241" s="8" t="inlineStr">
        <is>
          <t>peroxide</t>
        </is>
      </c>
      <c r="H241" s="8" t="n">
        <v>100</v>
      </c>
      <c r="I241" s="8" t="n">
        <v>0</v>
      </c>
      <c r="J241" s="8" t="n">
        <v>0</v>
      </c>
      <c r="K241" s="8" t="n">
        <v>0</v>
      </c>
      <c r="L241" s="8" t="n">
        <v>0</v>
      </c>
      <c r="M241" s="8" t="n">
        <v>0</v>
      </c>
      <c r="N241" s="8" t="n">
        <v>0</v>
      </c>
      <c r="O241" s="8" t="n">
        <v>0</v>
      </c>
      <c r="P241" s="8" t="n">
        <v>0</v>
      </c>
      <c r="Q241" s="8" t="n">
        <v>4</v>
      </c>
      <c r="R241" s="8" t="n">
        <v>1.5</v>
      </c>
      <c r="S241" s="8" t="n">
        <v>0</v>
      </c>
      <c r="T241" s="8" t="n">
        <v>0</v>
      </c>
      <c r="U241" s="8" t="n">
        <v>0</v>
      </c>
      <c r="V241" s="8" t="n">
        <v>0</v>
      </c>
      <c r="W241" s="8" t="n"/>
      <c r="X241" s="8" t="n"/>
      <c r="Y241" s="8" t="n"/>
      <c r="Z241" s="8" t="n"/>
      <c r="AA241" s="8" t="n">
        <v>30</v>
      </c>
      <c r="AB241" s="8" t="inlineStr">
        <is>
          <t>200C x 70h, 25% compression, AS214 O-ring (JIS K6262)</t>
        </is>
      </c>
      <c r="AC241" s="4" t="n">
        <v>200</v>
      </c>
      <c r="AD241" s="4">
        <f>I241+J241+K241+L241+M241+N241+O241+P241</f>
        <v/>
      </c>
      <c r="AE241" s="4" t="n">
        <v>0</v>
      </c>
      <c r="AF241" s="4" t="n">
        <v>0</v>
      </c>
      <c r="AG241" s="4" t="n">
        <v>0</v>
      </c>
      <c r="AH241" s="4" t="n">
        <v>0</v>
      </c>
      <c r="AI241" s="4" t="n">
        <v>1</v>
      </c>
    </row>
    <row r="242">
      <c r="A242" s="4" t="inlineStr">
        <is>
          <t>G241</t>
        </is>
      </c>
      <c r="B242" s="8" t="inlineStr">
        <is>
          <t>US8349965B2</t>
        </is>
      </c>
      <c r="C242" s="8" t="inlineStr">
        <is>
          <t>Nippon Valqua Industries, Ltd.</t>
        </is>
      </c>
      <c r="D242" s="8" t="inlineStr">
        <is>
          <t>Comparative Example 4</t>
        </is>
      </c>
      <c r="E242" s="8" t="inlineStr">
        <is>
          <t>FKM</t>
        </is>
      </c>
      <c r="F242" s="8" t="inlineStr">
        <is>
          <t>DAI-EL G701M BP (VDF/HFP)</t>
        </is>
      </c>
      <c r="G242" s="8" t="inlineStr">
        <is>
          <t>bisphenol</t>
        </is>
      </c>
      <c r="H242" s="8" t="n">
        <v>100</v>
      </c>
      <c r="I242" s="8" t="n">
        <v>0</v>
      </c>
      <c r="J242" s="8" t="n">
        <v>0</v>
      </c>
      <c r="K242" s="8" t="n">
        <v>0</v>
      </c>
      <c r="L242" s="8" t="n">
        <v>0</v>
      </c>
      <c r="M242" s="8" t="n">
        <v>0</v>
      </c>
      <c r="N242" s="8" t="n">
        <v>0</v>
      </c>
      <c r="O242" s="8" t="n">
        <v>0</v>
      </c>
      <c r="P242" s="8" t="n">
        <v>0</v>
      </c>
      <c r="Q242" s="8" t="n">
        <v>0</v>
      </c>
      <c r="R242" s="8" t="n">
        <v>0</v>
      </c>
      <c r="S242" s="8" t="n">
        <v>0</v>
      </c>
      <c r="T242" s="8" t="n">
        <v>6.5</v>
      </c>
      <c r="U242" s="8" t="n">
        <v>9</v>
      </c>
      <c r="V242" s="8" t="n">
        <v>0</v>
      </c>
      <c r="W242" s="8" t="n"/>
      <c r="X242" s="8" t="n"/>
      <c r="Y242" s="8" t="n"/>
      <c r="Z242" s="8" t="n"/>
      <c r="AA242" s="8" t="n">
        <v>28</v>
      </c>
      <c r="AB242" s="8" t="inlineStr">
        <is>
          <t>200C x 70h, 25% compression, AS214 O-ring (JIS K6262)</t>
        </is>
      </c>
      <c r="AC242" s="4" t="n">
        <v>200</v>
      </c>
      <c r="AD242" s="4">
        <f>I242+J242+K242+L242+M242+N242+O242+P242</f>
        <v/>
      </c>
      <c r="AE242" s="4" t="n">
        <v>0</v>
      </c>
      <c r="AF242" s="4" t="n">
        <v>0</v>
      </c>
      <c r="AG242" s="4" t="n">
        <v>0</v>
      </c>
      <c r="AH242" s="4" t="n">
        <v>0</v>
      </c>
      <c r="AI242" s="4" t="n">
        <v>1</v>
      </c>
    </row>
    <row r="243">
      <c r="A243" s="4" t="inlineStr">
        <is>
          <t>G242</t>
        </is>
      </c>
      <c r="B243" s="8" t="inlineStr">
        <is>
          <t>US12305107B2</t>
        </is>
      </c>
      <c r="C243" s="8" t="inlineStr">
        <is>
          <t>Nichias Corporation</t>
        </is>
      </c>
      <c r="D243" s="8" t="inlineStr">
        <is>
          <t>Example 1</t>
        </is>
      </c>
      <c r="E243" s="8" t="inlineStr">
        <is>
          <t>FFKM</t>
        </is>
      </c>
      <c r="F243" s="8" t="inlineStr">
        <is>
          <t>3M PFE40Z</t>
        </is>
      </c>
      <c r="G243" s="8" t="inlineStr">
        <is>
          <t>peroxide</t>
        </is>
      </c>
      <c r="H243" s="8" t="n">
        <v>100</v>
      </c>
      <c r="I243" s="8" t="n">
        <v>65</v>
      </c>
      <c r="J243" s="8" t="n">
        <v>0</v>
      </c>
      <c r="K243" s="8" t="n">
        <v>0</v>
      </c>
      <c r="L243" s="8" t="n">
        <v>0</v>
      </c>
      <c r="M243" s="8" t="n">
        <v>0</v>
      </c>
      <c r="N243" s="8" t="n">
        <v>0</v>
      </c>
      <c r="O243" s="8" t="n">
        <v>0</v>
      </c>
      <c r="P243" s="8" t="n">
        <v>0</v>
      </c>
      <c r="Q243" s="8" t="n">
        <v>7</v>
      </c>
      <c r="R243" s="8" t="n">
        <v>2</v>
      </c>
      <c r="S243" s="8" t="n">
        <v>0</v>
      </c>
      <c r="T243" s="8" t="n">
        <v>0</v>
      </c>
      <c r="U243" s="8" t="n">
        <v>0</v>
      </c>
      <c r="V243" s="8" t="n">
        <v>3</v>
      </c>
      <c r="W243" s="8" t="n"/>
      <c r="X243" s="8" t="n"/>
      <c r="Y243" s="8" t="n"/>
      <c r="Z243" s="8" t="n"/>
      <c r="AA243" s="8" t="n">
        <v>32</v>
      </c>
      <c r="AB243" s="8" t="inlineStr">
        <is>
          <t>200C x 72h, 25% compression, O-ring, air (gear oven)</t>
        </is>
      </c>
      <c r="AC243" s="4" t="n">
        <v>200</v>
      </c>
      <c r="AD243" s="4">
        <f>I243+J243+K243+L243+M243+N243+O243+P243</f>
        <v/>
      </c>
      <c r="AE243" s="4" t="n">
        <v>0</v>
      </c>
      <c r="AF243" s="4" t="n">
        <v>0</v>
      </c>
      <c r="AG243" s="4" t="n">
        <v>0</v>
      </c>
      <c r="AH243" s="4" t="n">
        <v>0</v>
      </c>
      <c r="AI243" s="4" t="n">
        <v>1</v>
      </c>
    </row>
    <row r="244">
      <c r="A244" s="4" t="inlineStr">
        <is>
          <t>G243</t>
        </is>
      </c>
      <c r="B244" s="8" t="inlineStr">
        <is>
          <t>US12305107B2</t>
        </is>
      </c>
      <c r="C244" s="8" t="inlineStr">
        <is>
          <t>Nichias Corporation</t>
        </is>
      </c>
      <c r="D244" s="8" t="inlineStr">
        <is>
          <t>Comparative Example 1</t>
        </is>
      </c>
      <c r="E244" s="8" t="inlineStr">
        <is>
          <t>FFKM</t>
        </is>
      </c>
      <c r="F244" s="8" t="inlineStr">
        <is>
          <t>3M PFE40Z</t>
        </is>
      </c>
      <c r="G244" s="8" t="inlineStr">
        <is>
          <t>peroxide</t>
        </is>
      </c>
      <c r="H244" s="8" t="n">
        <v>100</v>
      </c>
      <c r="I244" s="8" t="n">
        <v>50</v>
      </c>
      <c r="J244" s="8" t="n">
        <v>0</v>
      </c>
      <c r="K244" s="8" t="n">
        <v>0</v>
      </c>
      <c r="L244" s="8" t="n">
        <v>0</v>
      </c>
      <c r="M244" s="8" t="n">
        <v>0</v>
      </c>
      <c r="N244" s="8" t="n">
        <v>0</v>
      </c>
      <c r="O244" s="8" t="n">
        <v>0</v>
      </c>
      <c r="P244" s="8" t="n">
        <v>0</v>
      </c>
      <c r="Q244" s="8" t="n">
        <v>7</v>
      </c>
      <c r="R244" s="8" t="n">
        <v>2</v>
      </c>
      <c r="S244" s="8" t="n">
        <v>0</v>
      </c>
      <c r="T244" s="8" t="n">
        <v>0</v>
      </c>
      <c r="U244" s="8" t="n">
        <v>0</v>
      </c>
      <c r="V244" s="8" t="n">
        <v>3</v>
      </c>
      <c r="W244" s="8" t="n"/>
      <c r="X244" s="8" t="n"/>
      <c r="Y244" s="8" t="n"/>
      <c r="Z244" s="8" t="n"/>
      <c r="AA244" s="8" t="n">
        <v>28</v>
      </c>
      <c r="AB244" s="8" t="inlineStr">
        <is>
          <t>200C x 72h, 25% compression, O-ring, air (gear oven)</t>
        </is>
      </c>
      <c r="AC244" s="4" t="n">
        <v>200</v>
      </c>
      <c r="AD244" s="4">
        <f>I244+J244+K244+L244+M244+N244+O244+P244</f>
        <v/>
      </c>
      <c r="AE244" s="4" t="n">
        <v>0</v>
      </c>
      <c r="AF244" s="4" t="n">
        <v>0</v>
      </c>
      <c r="AG244" s="4" t="n">
        <v>0</v>
      </c>
      <c r="AH244" s="4" t="n">
        <v>0</v>
      </c>
      <c r="AI244" s="4" t="n">
        <v>1</v>
      </c>
    </row>
    <row r="245">
      <c r="A245" s="4" t="inlineStr">
        <is>
          <t>G244</t>
        </is>
      </c>
      <c r="B245" s="8" t="inlineStr">
        <is>
          <t>US12584054B2</t>
        </is>
      </c>
      <c r="C245" s="8" t="inlineStr">
        <is>
          <t>Mitsubishi Cable Industries, Ltd.</t>
        </is>
      </c>
      <c r="D245" s="8" t="inlineStr">
        <is>
          <t>Example 1</t>
        </is>
      </c>
      <c r="E245" s="8" t="inlineStr">
        <is>
          <t>FKM</t>
        </is>
      </c>
      <c r="F245" s="8" t="inlineStr">
        <is>
          <t>Tecnoflon P959 (Solvay)</t>
        </is>
      </c>
      <c r="G245" s="8" t="inlineStr">
        <is>
          <t>peroxide</t>
        </is>
      </c>
      <c r="H245" s="8" t="n">
        <v>100</v>
      </c>
      <c r="I245" s="8" t="n">
        <v>0</v>
      </c>
      <c r="J245" s="8" t="n">
        <v>0</v>
      </c>
      <c r="K245" s="8" t="n">
        <v>0</v>
      </c>
      <c r="L245" s="8" t="n">
        <v>0</v>
      </c>
      <c r="M245" s="8" t="n">
        <v>0</v>
      </c>
      <c r="N245" s="8" t="n">
        <v>0</v>
      </c>
      <c r="O245" s="8" t="n">
        <v>0</v>
      </c>
      <c r="P245" s="8" t="n">
        <v>1</v>
      </c>
      <c r="Q245" s="8" t="n">
        <v>2</v>
      </c>
      <c r="R245" s="8" t="n">
        <v>1.5</v>
      </c>
      <c r="S245" s="8" t="n">
        <v>0</v>
      </c>
      <c r="T245" s="8" t="n">
        <v>0</v>
      </c>
      <c r="U245" s="8" t="n">
        <v>0</v>
      </c>
      <c r="V245" s="8" t="n">
        <v>0</v>
      </c>
      <c r="W245" s="8" t="n">
        <v>51</v>
      </c>
      <c r="X245" s="8" t="n">
        <v>12</v>
      </c>
      <c r="Y245" s="8" t="n">
        <v>270</v>
      </c>
      <c r="Z245" s="8" t="n">
        <v>1.4</v>
      </c>
      <c r="AA245" s="8" t="n">
        <v>20</v>
      </c>
      <c r="AB245" s="8" t="inlineStr">
        <is>
          <t>JIS K6262, AS-214 O-ring cut in half; temperature/time not stated</t>
        </is>
      </c>
      <c r="AC245" s="4" t="n"/>
      <c r="AD245" s="4">
        <f>I245+J245+K245+L245+M245+N245+O245+P245</f>
        <v/>
      </c>
      <c r="AE245" s="4" t="n">
        <v>1</v>
      </c>
      <c r="AF245" s="4" t="n">
        <v>1</v>
      </c>
      <c r="AG245" s="4" t="n">
        <v>1</v>
      </c>
      <c r="AH245" s="4" t="n">
        <v>1</v>
      </c>
      <c r="AI245" s="4" t="n">
        <v>0</v>
      </c>
    </row>
    <row r="246">
      <c r="A246" s="4" t="inlineStr">
        <is>
          <t>G245</t>
        </is>
      </c>
      <c r="B246" s="8" t="inlineStr">
        <is>
          <t>US12584054B2</t>
        </is>
      </c>
      <c r="C246" s="8" t="inlineStr">
        <is>
          <t>Mitsubishi Cable Industries, Ltd.</t>
        </is>
      </c>
      <c r="D246" s="8" t="inlineStr">
        <is>
          <t>Example 2</t>
        </is>
      </c>
      <c r="E246" s="8" t="inlineStr">
        <is>
          <t>FKM</t>
        </is>
      </c>
      <c r="F246" s="8" t="inlineStr">
        <is>
          <t>Tecnoflon P959 (Solvay)</t>
        </is>
      </c>
      <c r="G246" s="8" t="inlineStr">
        <is>
          <t>peroxide</t>
        </is>
      </c>
      <c r="H246" s="8" t="n">
        <v>100</v>
      </c>
      <c r="I246" s="8" t="n">
        <v>0</v>
      </c>
      <c r="J246" s="8" t="n">
        <v>0</v>
      </c>
      <c r="K246" s="8" t="n">
        <v>0</v>
      </c>
      <c r="L246" s="8" t="n">
        <v>0</v>
      </c>
      <c r="M246" s="8" t="n">
        <v>0</v>
      </c>
      <c r="N246" s="8" t="n">
        <v>0</v>
      </c>
      <c r="O246" s="8" t="n">
        <v>0</v>
      </c>
      <c r="P246" s="8" t="n">
        <v>10</v>
      </c>
      <c r="Q246" s="8" t="n">
        <v>2</v>
      </c>
      <c r="R246" s="8" t="n">
        <v>1.5</v>
      </c>
      <c r="S246" s="8" t="n">
        <v>0</v>
      </c>
      <c r="T246" s="8" t="n">
        <v>0</v>
      </c>
      <c r="U246" s="8" t="n">
        <v>0</v>
      </c>
      <c r="V246" s="8" t="n">
        <v>0</v>
      </c>
      <c r="W246" s="8" t="n">
        <v>58</v>
      </c>
      <c r="X246" s="8" t="n">
        <v>15</v>
      </c>
      <c r="Y246" s="8" t="n">
        <v>210</v>
      </c>
      <c r="Z246" s="8" t="n">
        <v>2.8</v>
      </c>
      <c r="AA246" s="8" t="n">
        <v>13</v>
      </c>
      <c r="AB246" s="8" t="inlineStr">
        <is>
          <t>JIS K6262, AS-214 O-ring cut in half; temperature/time not stated</t>
        </is>
      </c>
      <c r="AC246" s="4" t="n"/>
      <c r="AD246" s="4">
        <f>I246+J246+K246+L246+M246+N246+O246+P246</f>
        <v/>
      </c>
      <c r="AE246" s="4" t="n">
        <v>1</v>
      </c>
      <c r="AF246" s="4" t="n">
        <v>1</v>
      </c>
      <c r="AG246" s="4" t="n">
        <v>1</v>
      </c>
      <c r="AH246" s="4" t="n">
        <v>1</v>
      </c>
      <c r="AI246" s="4" t="n">
        <v>0</v>
      </c>
    </row>
    <row r="247">
      <c r="A247" s="4" t="inlineStr">
        <is>
          <t>G246</t>
        </is>
      </c>
      <c r="B247" s="8" t="inlineStr">
        <is>
          <t>US12584054B2</t>
        </is>
      </c>
      <c r="C247" s="8" t="inlineStr">
        <is>
          <t>Mitsubishi Cable Industries, Ltd.</t>
        </is>
      </c>
      <c r="D247" s="8" t="inlineStr">
        <is>
          <t>Example 3</t>
        </is>
      </c>
      <c r="E247" s="8" t="inlineStr">
        <is>
          <t>FKM</t>
        </is>
      </c>
      <c r="F247" s="8" t="inlineStr">
        <is>
          <t>Tecnoflon P959 (Solvay)</t>
        </is>
      </c>
      <c r="G247" s="8" t="inlineStr">
        <is>
          <t>peroxide</t>
        </is>
      </c>
      <c r="H247" s="8" t="n">
        <v>100</v>
      </c>
      <c r="I247" s="8" t="n">
        <v>0</v>
      </c>
      <c r="J247" s="8" t="n">
        <v>0</v>
      </c>
      <c r="K247" s="8" t="n">
        <v>0</v>
      </c>
      <c r="L247" s="8" t="n">
        <v>0</v>
      </c>
      <c r="M247" s="8" t="n">
        <v>0</v>
      </c>
      <c r="N247" s="8" t="n">
        <v>0</v>
      </c>
      <c r="O247" s="8" t="n">
        <v>0</v>
      </c>
      <c r="P247" s="8" t="n">
        <v>25</v>
      </c>
      <c r="Q247" s="8" t="n">
        <v>2</v>
      </c>
      <c r="R247" s="8" t="n">
        <v>1.5</v>
      </c>
      <c r="S247" s="8" t="n">
        <v>0</v>
      </c>
      <c r="T247" s="8" t="n">
        <v>0</v>
      </c>
      <c r="U247" s="8" t="n">
        <v>0</v>
      </c>
      <c r="V247" s="8" t="n">
        <v>0</v>
      </c>
      <c r="W247" s="8" t="n">
        <v>69</v>
      </c>
      <c r="X247" s="8" t="n">
        <v>20</v>
      </c>
      <c r="Y247" s="8" t="n">
        <v>190</v>
      </c>
      <c r="Z247" s="8" t="n">
        <v>7.5</v>
      </c>
      <c r="AA247" s="8" t="n">
        <v>17</v>
      </c>
      <c r="AB247" s="8" t="inlineStr">
        <is>
          <t>JIS K6262, AS-214 O-ring cut in half; temperature/time not stated</t>
        </is>
      </c>
      <c r="AC247" s="4" t="n"/>
      <c r="AD247" s="4">
        <f>I247+J247+K247+L247+M247+N247+O247+P247</f>
        <v/>
      </c>
      <c r="AE247" s="4" t="n">
        <v>1</v>
      </c>
      <c r="AF247" s="4" t="n">
        <v>1</v>
      </c>
      <c r="AG247" s="4" t="n">
        <v>1</v>
      </c>
      <c r="AH247" s="4" t="n">
        <v>1</v>
      </c>
      <c r="AI247" s="4" t="n">
        <v>0</v>
      </c>
    </row>
    <row r="248">
      <c r="A248" s="4" t="inlineStr">
        <is>
          <t>G247</t>
        </is>
      </c>
      <c r="B248" s="8" t="inlineStr">
        <is>
          <t>US12584054B2</t>
        </is>
      </c>
      <c r="C248" s="8" t="inlineStr">
        <is>
          <t>Mitsubishi Cable Industries, Ltd.</t>
        </is>
      </c>
      <c r="D248" s="8" t="inlineStr">
        <is>
          <t>Example 4</t>
        </is>
      </c>
      <c r="E248" s="8" t="inlineStr">
        <is>
          <t>FKM</t>
        </is>
      </c>
      <c r="F248" s="8" t="inlineStr">
        <is>
          <t>Tecnoflon P959 (Solvay)</t>
        </is>
      </c>
      <c r="G248" s="8" t="inlineStr">
        <is>
          <t>peroxide</t>
        </is>
      </c>
      <c r="H248" s="8" t="n">
        <v>100</v>
      </c>
      <c r="I248" s="8" t="n">
        <v>0</v>
      </c>
      <c r="J248" s="8" t="n">
        <v>0</v>
      </c>
      <c r="K248" s="8" t="n">
        <v>0</v>
      </c>
      <c r="L248" s="8" t="n">
        <v>0</v>
      </c>
      <c r="M248" s="8" t="n">
        <v>0</v>
      </c>
      <c r="N248" s="8" t="n">
        <v>0</v>
      </c>
      <c r="O248" s="8" t="n">
        <v>0</v>
      </c>
      <c r="P248" s="8" t="n">
        <v>50</v>
      </c>
      <c r="Q248" s="8" t="n">
        <v>2</v>
      </c>
      <c r="R248" s="8" t="n">
        <v>1.5</v>
      </c>
      <c r="S248" s="8" t="n">
        <v>0</v>
      </c>
      <c r="T248" s="8" t="n">
        <v>0</v>
      </c>
      <c r="U248" s="8" t="n">
        <v>0</v>
      </c>
      <c r="V248" s="8" t="n">
        <v>0</v>
      </c>
      <c r="W248" s="8" t="n">
        <v>85</v>
      </c>
      <c r="X248" s="8" t="n">
        <v>21</v>
      </c>
      <c r="Y248" s="8" t="n">
        <v>120</v>
      </c>
      <c r="Z248" s="8" t="n">
        <v>17</v>
      </c>
      <c r="AA248" s="8" t="n">
        <v>24</v>
      </c>
      <c r="AB248" s="8" t="inlineStr">
        <is>
          <t>JIS K6262, AS-214 O-ring cut in half; temperature/time not stated</t>
        </is>
      </c>
      <c r="AC248" s="4" t="n"/>
      <c r="AD248" s="4">
        <f>I248+J248+K248+L248+M248+N248+O248+P248</f>
        <v/>
      </c>
      <c r="AE248" s="4" t="n">
        <v>1</v>
      </c>
      <c r="AF248" s="4" t="n">
        <v>1</v>
      </c>
      <c r="AG248" s="4" t="n">
        <v>1</v>
      </c>
      <c r="AH248" s="4" t="n">
        <v>1</v>
      </c>
      <c r="AI248" s="4" t="n">
        <v>0</v>
      </c>
    </row>
    <row r="249">
      <c r="A249" s="4" t="inlineStr">
        <is>
          <t>G248</t>
        </is>
      </c>
      <c r="B249" s="8" t="inlineStr">
        <is>
          <t>US12584054B2</t>
        </is>
      </c>
      <c r="C249" s="8" t="inlineStr">
        <is>
          <t>Mitsubishi Cable Industries, Ltd.</t>
        </is>
      </c>
      <c r="D249" s="8" t="inlineStr">
        <is>
          <t>Example 5</t>
        </is>
      </c>
      <c r="E249" s="8" t="inlineStr">
        <is>
          <t>FKM</t>
        </is>
      </c>
      <c r="F249" s="8" t="inlineStr">
        <is>
          <t>Tecnoflon P959 (Solvay)</t>
        </is>
      </c>
      <c r="G249" s="8" t="inlineStr">
        <is>
          <t>peroxide</t>
        </is>
      </c>
      <c r="H249" s="8" t="n">
        <v>100</v>
      </c>
      <c r="I249" s="8" t="n">
        <v>0</v>
      </c>
      <c r="J249" s="8" t="n">
        <v>0</v>
      </c>
      <c r="K249" s="8" t="n">
        <v>0</v>
      </c>
      <c r="L249" s="8" t="n">
        <v>0</v>
      </c>
      <c r="M249" s="8" t="n">
        <v>0</v>
      </c>
      <c r="N249" s="8" t="n">
        <v>0</v>
      </c>
      <c r="O249" s="8" t="n">
        <v>0</v>
      </c>
      <c r="P249" s="8" t="n">
        <v>10</v>
      </c>
      <c r="Q249" s="8" t="n">
        <v>2</v>
      </c>
      <c r="R249" s="8" t="n">
        <v>1.5</v>
      </c>
      <c r="S249" s="8" t="n">
        <v>0</v>
      </c>
      <c r="T249" s="8" t="n">
        <v>0</v>
      </c>
      <c r="U249" s="8" t="n">
        <v>0</v>
      </c>
      <c r="V249" s="8" t="n">
        <v>0</v>
      </c>
      <c r="W249" s="8" t="n">
        <v>58</v>
      </c>
      <c r="X249" s="8" t="n">
        <v>12</v>
      </c>
      <c r="Y249" s="8" t="n">
        <v>230</v>
      </c>
      <c r="Z249" s="8" t="n">
        <v>2.2</v>
      </c>
      <c r="AA249" s="8" t="n">
        <v>13</v>
      </c>
      <c r="AB249" s="8" t="inlineStr">
        <is>
          <t>JIS K6262, AS-214 O-ring cut in half; temperature/time not stated</t>
        </is>
      </c>
      <c r="AC249" s="4" t="n"/>
      <c r="AD249" s="4">
        <f>I249+J249+K249+L249+M249+N249+O249+P249</f>
        <v/>
      </c>
      <c r="AE249" s="4" t="n">
        <v>1</v>
      </c>
      <c r="AF249" s="4" t="n">
        <v>1</v>
      </c>
      <c r="AG249" s="4" t="n">
        <v>1</v>
      </c>
      <c r="AH249" s="4" t="n">
        <v>1</v>
      </c>
      <c r="AI249" s="4" t="n">
        <v>0</v>
      </c>
    </row>
    <row r="250">
      <c r="A250" s="4" t="inlineStr">
        <is>
          <t>G249</t>
        </is>
      </c>
      <c r="B250" s="8" t="inlineStr">
        <is>
          <t>US12584054B2</t>
        </is>
      </c>
      <c r="C250" s="8" t="inlineStr">
        <is>
          <t>Mitsubishi Cable Industries, Ltd.</t>
        </is>
      </c>
      <c r="D250" s="8" t="inlineStr">
        <is>
          <t>Comparative Example 1</t>
        </is>
      </c>
      <c r="E250" s="8" t="inlineStr">
        <is>
          <t>FKM</t>
        </is>
      </c>
      <c r="F250" s="8" t="inlineStr">
        <is>
          <t>Tecnoflon P959 (Solvay)</t>
        </is>
      </c>
      <c r="G250" s="8" t="inlineStr">
        <is>
          <t>peroxide</t>
        </is>
      </c>
      <c r="H250" s="8" t="n">
        <v>100</v>
      </c>
      <c r="I250" s="8" t="n">
        <v>0</v>
      </c>
      <c r="J250" s="8" t="n">
        <v>0</v>
      </c>
      <c r="K250" s="8" t="n">
        <v>0</v>
      </c>
      <c r="L250" s="8" t="n">
        <v>0</v>
      </c>
      <c r="M250" s="8" t="n">
        <v>0</v>
      </c>
      <c r="N250" s="8" t="n">
        <v>0</v>
      </c>
      <c r="O250" s="8" t="n">
        <v>0</v>
      </c>
      <c r="P250" s="8" t="n">
        <v>0</v>
      </c>
      <c r="Q250" s="8" t="n">
        <v>2</v>
      </c>
      <c r="R250" s="8" t="n">
        <v>1.5</v>
      </c>
      <c r="S250" s="8" t="n">
        <v>0</v>
      </c>
      <c r="T250" s="8" t="n">
        <v>0</v>
      </c>
      <c r="U250" s="8" t="n">
        <v>0</v>
      </c>
      <c r="V250" s="8" t="n">
        <v>0</v>
      </c>
      <c r="W250" s="8" t="n">
        <v>51</v>
      </c>
      <c r="X250" s="8" t="n">
        <v>8.9</v>
      </c>
      <c r="Y250" s="8" t="n">
        <v>290</v>
      </c>
      <c r="Z250" s="8" t="n">
        <v>1.3</v>
      </c>
      <c r="AA250" s="8" t="n">
        <v>27</v>
      </c>
      <c r="AB250" s="8" t="inlineStr">
        <is>
          <t>JIS K6262, AS-214 O-ring cut in half; temperature/time not stated</t>
        </is>
      </c>
      <c r="AC250" s="4" t="n"/>
      <c r="AD250" s="4">
        <f>I250+J250+K250+L250+M250+N250+O250+P250</f>
        <v/>
      </c>
      <c r="AE250" s="4" t="n">
        <v>1</v>
      </c>
      <c r="AF250" s="4" t="n">
        <v>1</v>
      </c>
      <c r="AG250" s="4" t="n">
        <v>1</v>
      </c>
      <c r="AH250" s="4" t="n">
        <v>1</v>
      </c>
      <c r="AI250" s="4" t="n">
        <v>0</v>
      </c>
    </row>
    <row r="251">
      <c r="A251" s="4" t="inlineStr">
        <is>
          <t>G250</t>
        </is>
      </c>
      <c r="B251" s="8" t="inlineStr">
        <is>
          <t>US12584054B2</t>
        </is>
      </c>
      <c r="C251" s="8" t="inlineStr">
        <is>
          <t>Mitsubishi Cable Industries, Ltd.</t>
        </is>
      </c>
      <c r="D251" s="8" t="inlineStr">
        <is>
          <t>Comparative Example 2</t>
        </is>
      </c>
      <c r="E251" s="8" t="inlineStr">
        <is>
          <t>FKM</t>
        </is>
      </c>
      <c r="F251" s="8" t="inlineStr">
        <is>
          <t>Tecnoflon P959 (Solvay)</t>
        </is>
      </c>
      <c r="G251" s="8" t="inlineStr">
        <is>
          <t>peroxide</t>
        </is>
      </c>
      <c r="H251" s="8" t="n">
        <v>100</v>
      </c>
      <c r="I251" s="8" t="n">
        <v>10</v>
      </c>
      <c r="J251" s="8" t="n">
        <v>0</v>
      </c>
      <c r="K251" s="8" t="n">
        <v>0</v>
      </c>
      <c r="L251" s="8" t="n">
        <v>0</v>
      </c>
      <c r="M251" s="8" t="n">
        <v>0</v>
      </c>
      <c r="N251" s="8" t="n">
        <v>0</v>
      </c>
      <c r="O251" s="8" t="n">
        <v>0</v>
      </c>
      <c r="P251" s="8" t="n">
        <v>0</v>
      </c>
      <c r="Q251" s="8" t="n">
        <v>2</v>
      </c>
      <c r="R251" s="8" t="n">
        <v>1.5</v>
      </c>
      <c r="S251" s="8" t="n">
        <v>0</v>
      </c>
      <c r="T251" s="8" t="n">
        <v>0</v>
      </c>
      <c r="U251" s="8" t="n">
        <v>0</v>
      </c>
      <c r="V251" s="8" t="n">
        <v>0</v>
      </c>
      <c r="W251" s="8" t="n">
        <v>55</v>
      </c>
      <c r="X251" s="8" t="n">
        <v>15</v>
      </c>
      <c r="Y251" s="8" t="n">
        <v>210</v>
      </c>
      <c r="Z251" s="8" t="n">
        <v>2.8</v>
      </c>
      <c r="AA251" s="8" t="n">
        <v>25</v>
      </c>
      <c r="AB251" s="8" t="inlineStr">
        <is>
          <t>JIS K6262, AS-214 O-ring cut in half; temperature/time not stated</t>
        </is>
      </c>
      <c r="AC251" s="4" t="n"/>
      <c r="AD251" s="4">
        <f>I251+J251+K251+L251+M251+N251+O251+P251</f>
        <v/>
      </c>
      <c r="AE251" s="4" t="n">
        <v>1</v>
      </c>
      <c r="AF251" s="4" t="n">
        <v>1</v>
      </c>
      <c r="AG251" s="4" t="n">
        <v>1</v>
      </c>
      <c r="AH251" s="4" t="n">
        <v>1</v>
      </c>
      <c r="AI251" s="4" t="n">
        <v>0</v>
      </c>
    </row>
    <row r="252">
      <c r="A252" s="4" t="inlineStr">
        <is>
          <t>G251</t>
        </is>
      </c>
      <c r="B252" s="8" t="inlineStr">
        <is>
          <t>US12584054B2</t>
        </is>
      </c>
      <c r="C252" s="8" t="inlineStr">
        <is>
          <t>Mitsubishi Cable Industries, Ltd.</t>
        </is>
      </c>
      <c r="D252" s="8" t="inlineStr">
        <is>
          <t>Comparative Example 3</t>
        </is>
      </c>
      <c r="E252" s="8" t="inlineStr">
        <is>
          <t>FKM</t>
        </is>
      </c>
      <c r="F252" s="8" t="inlineStr">
        <is>
          <t>Tecnoflon P959 (Solvay)</t>
        </is>
      </c>
      <c r="G252" s="8" t="inlineStr">
        <is>
          <t>peroxide</t>
        </is>
      </c>
      <c r="H252" s="8" t="n">
        <v>100</v>
      </c>
      <c r="I252" s="8" t="n">
        <v>25</v>
      </c>
      <c r="J252" s="8" t="n">
        <v>0</v>
      </c>
      <c r="K252" s="8" t="n">
        <v>0</v>
      </c>
      <c r="L252" s="8" t="n">
        <v>0</v>
      </c>
      <c r="M252" s="8" t="n">
        <v>0</v>
      </c>
      <c r="N252" s="8" t="n">
        <v>0</v>
      </c>
      <c r="O252" s="8" t="n">
        <v>0</v>
      </c>
      <c r="P252" s="8" t="n">
        <v>0</v>
      </c>
      <c r="Q252" s="8" t="n">
        <v>2</v>
      </c>
      <c r="R252" s="8" t="n">
        <v>1.5</v>
      </c>
      <c r="S252" s="8" t="n">
        <v>0</v>
      </c>
      <c r="T252" s="8" t="n">
        <v>0</v>
      </c>
      <c r="U252" s="8" t="n">
        <v>0</v>
      </c>
      <c r="V252" s="8" t="n">
        <v>0</v>
      </c>
      <c r="W252" s="8" t="n">
        <v>68</v>
      </c>
      <c r="X252" s="8" t="n">
        <v>24</v>
      </c>
      <c r="Y252" s="8" t="n">
        <v>260</v>
      </c>
      <c r="Z252" s="8" t="n">
        <v>5.6</v>
      </c>
      <c r="AA252" s="8" t="n">
        <v>25</v>
      </c>
      <c r="AB252" s="8" t="inlineStr">
        <is>
          <t>JIS K6262, AS-214 O-ring cut in half; temperature/time not stated</t>
        </is>
      </c>
      <c r="AC252" s="4" t="n"/>
      <c r="AD252" s="4">
        <f>I252+J252+K252+L252+M252+N252+O252+P252</f>
        <v/>
      </c>
      <c r="AE252" s="4" t="n">
        <v>1</v>
      </c>
      <c r="AF252" s="4" t="n">
        <v>1</v>
      </c>
      <c r="AG252" s="4" t="n">
        <v>1</v>
      </c>
      <c r="AH252" s="4" t="n">
        <v>1</v>
      </c>
      <c r="AI252" s="4" t="n">
        <v>0</v>
      </c>
    </row>
    <row r="253">
      <c r="A253" s="4" t="inlineStr">
        <is>
          <t>G252</t>
        </is>
      </c>
      <c r="B253" s="8" t="inlineStr">
        <is>
          <t>US12584054B2</t>
        </is>
      </c>
      <c r="C253" s="8" t="inlineStr">
        <is>
          <t>Mitsubishi Cable Industries, Ltd.</t>
        </is>
      </c>
      <c r="D253" s="8" t="inlineStr">
        <is>
          <t>Comparative Example 4</t>
        </is>
      </c>
      <c r="E253" s="8" t="inlineStr">
        <is>
          <t>FKM</t>
        </is>
      </c>
      <c r="F253" s="8" t="inlineStr">
        <is>
          <t>Tecnoflon P959 (Solvay)</t>
        </is>
      </c>
      <c r="G253" s="8" t="inlineStr">
        <is>
          <t>peroxide</t>
        </is>
      </c>
      <c r="H253" s="8" t="n">
        <v>100</v>
      </c>
      <c r="I253" s="8" t="n">
        <v>10</v>
      </c>
      <c r="J253" s="8" t="n">
        <v>0</v>
      </c>
      <c r="K253" s="8" t="n">
        <v>0</v>
      </c>
      <c r="L253" s="8" t="n">
        <v>0</v>
      </c>
      <c r="M253" s="8" t="n">
        <v>0</v>
      </c>
      <c r="N253" s="8" t="n">
        <v>0</v>
      </c>
      <c r="O253" s="8" t="n">
        <v>0</v>
      </c>
      <c r="P253" s="8" t="n">
        <v>0</v>
      </c>
      <c r="Q253" s="8" t="n">
        <v>2</v>
      </c>
      <c r="R253" s="8" t="n">
        <v>1.5</v>
      </c>
      <c r="S253" s="8" t="n">
        <v>0</v>
      </c>
      <c r="T253" s="8" t="n">
        <v>0</v>
      </c>
      <c r="U253" s="8" t="n">
        <v>0</v>
      </c>
      <c r="V253" s="8" t="n">
        <v>0</v>
      </c>
      <c r="W253" s="8" t="n">
        <v>63</v>
      </c>
      <c r="X253" s="8" t="n">
        <v>23</v>
      </c>
      <c r="Y253" s="8" t="n">
        <v>220</v>
      </c>
      <c r="Z253" s="8" t="n">
        <v>3.7</v>
      </c>
      <c r="AA253" s="8" t="n">
        <v>24</v>
      </c>
      <c r="AB253" s="8" t="inlineStr">
        <is>
          <t>JIS K6262, AS-214 O-ring cut in half; temperature/time not stated</t>
        </is>
      </c>
      <c r="AC253" s="4" t="n"/>
      <c r="AD253" s="4">
        <f>I253+J253+K253+L253+M253+N253+O253+P253</f>
        <v/>
      </c>
      <c r="AE253" s="4" t="n">
        <v>1</v>
      </c>
      <c r="AF253" s="4" t="n">
        <v>1</v>
      </c>
      <c r="AG253" s="4" t="n">
        <v>1</v>
      </c>
      <c r="AH253" s="4" t="n">
        <v>1</v>
      </c>
      <c r="AI253" s="4" t="n">
        <v>0</v>
      </c>
    </row>
    <row r="254">
      <c r="A254" s="4" t="inlineStr">
        <is>
          <t>G253</t>
        </is>
      </c>
      <c r="B254" s="8" t="inlineStr">
        <is>
          <t>US12584054B2</t>
        </is>
      </c>
      <c r="C254" s="8" t="inlineStr">
        <is>
          <t>Mitsubishi Cable Industries, Ltd.</t>
        </is>
      </c>
      <c r="D254" s="8" t="inlineStr">
        <is>
          <t>Comparative Example 5</t>
        </is>
      </c>
      <c r="E254" s="8" t="inlineStr">
        <is>
          <t>FKM</t>
        </is>
      </c>
      <c r="F254" s="8" t="inlineStr">
        <is>
          <t>Tecnoflon P959 (Solvay)</t>
        </is>
      </c>
      <c r="G254" s="8" t="inlineStr">
        <is>
          <t>peroxide</t>
        </is>
      </c>
      <c r="H254" s="8" t="n">
        <v>100</v>
      </c>
      <c r="I254" s="8" t="n">
        <v>0</v>
      </c>
      <c r="J254" s="8" t="n">
        <v>10</v>
      </c>
      <c r="K254" s="8" t="n">
        <v>0</v>
      </c>
      <c r="L254" s="8" t="n">
        <v>0</v>
      </c>
      <c r="M254" s="8" t="n">
        <v>0</v>
      </c>
      <c r="N254" s="8" t="n">
        <v>0</v>
      </c>
      <c r="O254" s="8" t="n">
        <v>0</v>
      </c>
      <c r="P254" s="8" t="n">
        <v>0</v>
      </c>
      <c r="Q254" s="8" t="n">
        <v>2</v>
      </c>
      <c r="R254" s="8" t="n">
        <v>1.5</v>
      </c>
      <c r="S254" s="8" t="n">
        <v>0</v>
      </c>
      <c r="T254" s="8" t="n">
        <v>0</v>
      </c>
      <c r="U254" s="8" t="n">
        <v>0</v>
      </c>
      <c r="V254" s="8" t="n">
        <v>0</v>
      </c>
      <c r="W254" s="8" t="n">
        <v>65</v>
      </c>
      <c r="X254" s="8" t="n">
        <v>20</v>
      </c>
      <c r="Y254" s="8" t="n">
        <v>270</v>
      </c>
      <c r="Z254" s="8" t="n">
        <v>3.7</v>
      </c>
      <c r="AA254" s="8" t="n">
        <v>36</v>
      </c>
      <c r="AB254" s="8" t="inlineStr">
        <is>
          <t>JIS K6262, AS-214 O-ring cut in half; temperature/time not stated</t>
        </is>
      </c>
      <c r="AC254" s="4" t="n"/>
      <c r="AD254" s="4">
        <f>I254+J254+K254+L254+M254+N254+O254+P254</f>
        <v/>
      </c>
      <c r="AE254" s="4" t="n">
        <v>1</v>
      </c>
      <c r="AF254" s="4" t="n">
        <v>1</v>
      </c>
      <c r="AG254" s="4" t="n">
        <v>1</v>
      </c>
      <c r="AH254" s="4" t="n">
        <v>1</v>
      </c>
      <c r="AI254" s="4" t="n">
        <v>0</v>
      </c>
    </row>
    <row r="255">
      <c r="A255" s="4" t="inlineStr">
        <is>
          <t>G254</t>
        </is>
      </c>
      <c r="B255" s="8" t="inlineStr">
        <is>
          <t>US12584054B2</t>
        </is>
      </c>
      <c r="C255" s="8" t="inlineStr">
        <is>
          <t>Mitsubishi Cable Industries, Ltd.</t>
        </is>
      </c>
      <c r="D255" s="8" t="inlineStr">
        <is>
          <t>Comparative Example 6</t>
        </is>
      </c>
      <c r="E255" s="8" t="inlineStr">
        <is>
          <t>FKM</t>
        </is>
      </c>
      <c r="F255" s="8" t="inlineStr">
        <is>
          <t>Tecnoflon P959 (Solvay)</t>
        </is>
      </c>
      <c r="G255" s="8" t="inlineStr">
        <is>
          <t>peroxide</t>
        </is>
      </c>
      <c r="H255" s="8" t="n">
        <v>100</v>
      </c>
      <c r="I255" s="8" t="n">
        <v>0</v>
      </c>
      <c r="J255" s="8" t="n">
        <v>0</v>
      </c>
      <c r="K255" s="8" t="n">
        <v>0</v>
      </c>
      <c r="L255" s="8" t="n">
        <v>0</v>
      </c>
      <c r="M255" s="8" t="n">
        <v>0</v>
      </c>
      <c r="N255" s="8" t="n">
        <v>0</v>
      </c>
      <c r="O255" s="8" t="n">
        <v>0</v>
      </c>
      <c r="P255" s="8" t="n">
        <v>10</v>
      </c>
      <c r="Q255" s="8" t="n">
        <v>2</v>
      </c>
      <c r="R255" s="8" t="n">
        <v>1.5</v>
      </c>
      <c r="S255" s="8" t="n">
        <v>0</v>
      </c>
      <c r="T255" s="8" t="n">
        <v>0</v>
      </c>
      <c r="U255" s="8" t="n">
        <v>0</v>
      </c>
      <c r="V255" s="8" t="n">
        <v>0</v>
      </c>
      <c r="W255" s="8" t="n">
        <v>59</v>
      </c>
      <c r="X255" s="8" t="n">
        <v>18</v>
      </c>
      <c r="Y255" s="8" t="n">
        <v>210</v>
      </c>
      <c r="Z255" s="8" t="n">
        <v>2.5</v>
      </c>
      <c r="AA255" s="8" t="n">
        <v>30</v>
      </c>
      <c r="AB255" s="8" t="inlineStr">
        <is>
          <t>JIS K6262, AS-214 O-ring cut in half; temperature/time not stated</t>
        </is>
      </c>
      <c r="AC255" s="4" t="n"/>
      <c r="AD255" s="4">
        <f>I255+J255+K255+L255+M255+N255+O255+P255</f>
        <v/>
      </c>
      <c r="AE255" s="4" t="n">
        <v>1</v>
      </c>
      <c r="AF255" s="4" t="n">
        <v>1</v>
      </c>
      <c r="AG255" s="4" t="n">
        <v>1</v>
      </c>
      <c r="AH255" s="4" t="n">
        <v>1</v>
      </c>
      <c r="AI255" s="4" t="n">
        <v>0</v>
      </c>
    </row>
    <row r="256">
      <c r="A256" s="4" t="inlineStr">
        <is>
          <t>G255</t>
        </is>
      </c>
      <c r="B256" s="8" t="inlineStr">
        <is>
          <t>US12584054B2</t>
        </is>
      </c>
      <c r="C256" s="8" t="inlineStr">
        <is>
          <t>Mitsubishi Cable Industries, Ltd.</t>
        </is>
      </c>
      <c r="D256" s="8" t="inlineStr">
        <is>
          <t>Comparative Example 7</t>
        </is>
      </c>
      <c r="E256" s="8" t="inlineStr">
        <is>
          <t>FKM</t>
        </is>
      </c>
      <c r="F256" s="8" t="inlineStr">
        <is>
          <t>Tecnoflon P959 (Solvay)</t>
        </is>
      </c>
      <c r="G256" s="8" t="inlineStr">
        <is>
          <t>peroxide</t>
        </is>
      </c>
      <c r="H256" s="8" t="n">
        <v>100</v>
      </c>
      <c r="I256" s="8" t="n">
        <v>0</v>
      </c>
      <c r="J256" s="8" t="n">
        <v>0</v>
      </c>
      <c r="K256" s="8" t="n">
        <v>0</v>
      </c>
      <c r="L256" s="8" t="n">
        <v>0</v>
      </c>
      <c r="M256" s="8" t="n">
        <v>0</v>
      </c>
      <c r="N256" s="8" t="n">
        <v>10</v>
      </c>
      <c r="O256" s="8" t="n">
        <v>0</v>
      </c>
      <c r="P256" s="8" t="n">
        <v>0</v>
      </c>
      <c r="Q256" s="8" t="n">
        <v>2</v>
      </c>
      <c r="R256" s="8" t="n">
        <v>1.5</v>
      </c>
      <c r="S256" s="8" t="n">
        <v>0</v>
      </c>
      <c r="T256" s="8" t="n">
        <v>0</v>
      </c>
      <c r="U256" s="8" t="n">
        <v>0</v>
      </c>
      <c r="V256" s="8" t="n">
        <v>0</v>
      </c>
      <c r="W256" s="8" t="n">
        <v>55</v>
      </c>
      <c r="X256" s="8" t="n">
        <v>13</v>
      </c>
      <c r="Y256" s="8" t="n">
        <v>280</v>
      </c>
      <c r="Z256" s="8" t="n">
        <v>2.3</v>
      </c>
      <c r="AA256" s="8" t="n">
        <v>26</v>
      </c>
      <c r="AB256" s="8" t="inlineStr">
        <is>
          <t>JIS K6262, AS-214 O-ring cut in half; temperature/time not stated</t>
        </is>
      </c>
      <c r="AC256" s="4" t="n"/>
      <c r="AD256" s="4">
        <f>I256+J256+K256+L256+M256+N256+O256+P256</f>
        <v/>
      </c>
      <c r="AE256" s="4" t="n">
        <v>1</v>
      </c>
      <c r="AF256" s="4" t="n">
        <v>1</v>
      </c>
      <c r="AG256" s="4" t="n">
        <v>1</v>
      </c>
      <c r="AH256" s="4" t="n">
        <v>1</v>
      </c>
      <c r="AI256" s="4" t="n">
        <v>0</v>
      </c>
    </row>
    <row r="257">
      <c r="A257" s="4" t="inlineStr">
        <is>
          <t>G256</t>
        </is>
      </c>
      <c r="B257" s="8" t="inlineStr">
        <is>
          <t>US12584054B2</t>
        </is>
      </c>
      <c r="C257" s="8" t="inlineStr">
        <is>
          <t>Mitsubishi Cable Industries, Ltd.</t>
        </is>
      </c>
      <c r="D257" s="8" t="inlineStr">
        <is>
          <t>Comparative Example 8</t>
        </is>
      </c>
      <c r="E257" s="8" t="inlineStr">
        <is>
          <t>FKM</t>
        </is>
      </c>
      <c r="F257" s="8" t="inlineStr">
        <is>
          <t>Tecnoflon P959 (Solvay)</t>
        </is>
      </c>
      <c r="G257" s="8" t="inlineStr">
        <is>
          <t>peroxide</t>
        </is>
      </c>
      <c r="H257" s="8" t="n">
        <v>100</v>
      </c>
      <c r="I257" s="8" t="n">
        <v>0</v>
      </c>
      <c r="J257" s="8" t="n">
        <v>0</v>
      </c>
      <c r="K257" s="8" t="n">
        <v>0</v>
      </c>
      <c r="L257" s="8" t="n">
        <v>0</v>
      </c>
      <c r="M257" s="8" t="n">
        <v>0</v>
      </c>
      <c r="N257" s="8" t="n">
        <v>25</v>
      </c>
      <c r="O257" s="8" t="n">
        <v>0</v>
      </c>
      <c r="P257" s="8" t="n">
        <v>0</v>
      </c>
      <c r="Q257" s="8" t="n">
        <v>2</v>
      </c>
      <c r="R257" s="8" t="n">
        <v>1.5</v>
      </c>
      <c r="S257" s="8" t="n">
        <v>0</v>
      </c>
      <c r="T257" s="8" t="n">
        <v>0</v>
      </c>
      <c r="U257" s="8" t="n">
        <v>0</v>
      </c>
      <c r="V257" s="8" t="n">
        <v>0</v>
      </c>
      <c r="W257" s="8" t="n">
        <v>68</v>
      </c>
      <c r="X257" s="8" t="n">
        <v>17</v>
      </c>
      <c r="Y257" s="8" t="n">
        <v>270</v>
      </c>
      <c r="Z257" s="8" t="n">
        <v>5.4</v>
      </c>
      <c r="AA257" s="8" t="n">
        <v>30</v>
      </c>
      <c r="AB257" s="8" t="inlineStr">
        <is>
          <t>JIS K6262, AS-214 O-ring cut in half; temperature/time not stated</t>
        </is>
      </c>
      <c r="AC257" s="4" t="n"/>
      <c r="AD257" s="4">
        <f>I257+J257+K257+L257+M257+N257+O257+P257</f>
        <v/>
      </c>
      <c r="AE257" s="4" t="n">
        <v>1</v>
      </c>
      <c r="AF257" s="4" t="n">
        <v>1</v>
      </c>
      <c r="AG257" s="4" t="n">
        <v>1</v>
      </c>
      <c r="AH257" s="4" t="n">
        <v>1</v>
      </c>
      <c r="AI257" s="4" t="n">
        <v>0</v>
      </c>
    </row>
    <row r="258">
      <c r="A258" s="4" t="inlineStr">
        <is>
          <t>G257</t>
        </is>
      </c>
      <c r="B258" s="8" t="inlineStr">
        <is>
          <t>US12584054B2</t>
        </is>
      </c>
      <c r="C258" s="8" t="inlineStr">
        <is>
          <t>Mitsubishi Cable Industries, Ltd.</t>
        </is>
      </c>
      <c r="D258" s="8" t="inlineStr">
        <is>
          <t>Comparative Example 9</t>
        </is>
      </c>
      <c r="E258" s="8" t="inlineStr">
        <is>
          <t>FKM</t>
        </is>
      </c>
      <c r="F258" s="8" t="inlineStr">
        <is>
          <t>Tecnoflon P959 (Solvay)</t>
        </is>
      </c>
      <c r="G258" s="8" t="inlineStr">
        <is>
          <t>peroxide</t>
        </is>
      </c>
      <c r="H258" s="8" t="n">
        <v>100</v>
      </c>
      <c r="I258" s="8" t="n">
        <v>0</v>
      </c>
      <c r="J258" s="8" t="n">
        <v>0</v>
      </c>
      <c r="K258" s="8" t="n">
        <v>0</v>
      </c>
      <c r="L258" s="8" t="n">
        <v>0</v>
      </c>
      <c r="M258" s="8" t="n">
        <v>0</v>
      </c>
      <c r="N258" s="8" t="n">
        <v>10</v>
      </c>
      <c r="O258" s="8" t="n">
        <v>0</v>
      </c>
      <c r="P258" s="8" t="n">
        <v>0</v>
      </c>
      <c r="Q258" s="8" t="n">
        <v>2</v>
      </c>
      <c r="R258" s="8" t="n">
        <v>1.5</v>
      </c>
      <c r="S258" s="8" t="n">
        <v>0</v>
      </c>
      <c r="T258" s="8" t="n">
        <v>0</v>
      </c>
      <c r="U258" s="8" t="n">
        <v>0</v>
      </c>
      <c r="V258" s="8" t="n">
        <v>0</v>
      </c>
      <c r="W258" s="8" t="n">
        <v>55</v>
      </c>
      <c r="X258" s="8" t="n">
        <v>16</v>
      </c>
      <c r="Y258" s="8" t="n">
        <v>350</v>
      </c>
      <c r="Z258" s="8" t="n">
        <v>1.4</v>
      </c>
      <c r="AA258" s="8" t="n">
        <v>28</v>
      </c>
      <c r="AB258" s="8" t="inlineStr">
        <is>
          <t>JIS K6262, AS-214 O-ring cut in half; temperature/time not stated</t>
        </is>
      </c>
      <c r="AC258" s="4" t="n"/>
      <c r="AD258" s="4">
        <f>I258+J258+K258+L258+M258+N258+O258+P258</f>
        <v/>
      </c>
      <c r="AE258" s="4" t="n">
        <v>1</v>
      </c>
      <c r="AF258" s="4" t="n">
        <v>1</v>
      </c>
      <c r="AG258" s="4" t="n">
        <v>1</v>
      </c>
      <c r="AH258" s="4" t="n">
        <v>1</v>
      </c>
      <c r="AI258" s="4" t="n">
        <v>0</v>
      </c>
    </row>
    <row r="259">
      <c r="A259" s="4" t="inlineStr">
        <is>
          <t>G258</t>
        </is>
      </c>
      <c r="B259" s="8" t="inlineStr">
        <is>
          <t>US12584054B2</t>
        </is>
      </c>
      <c r="C259" s="8" t="inlineStr">
        <is>
          <t>Mitsubishi Cable Industries, Ltd.</t>
        </is>
      </c>
      <c r="D259" s="8" t="inlineStr">
        <is>
          <t>Comparative Example 13</t>
        </is>
      </c>
      <c r="E259" s="8" t="inlineStr">
        <is>
          <t>FKM</t>
        </is>
      </c>
      <c r="F259" s="8" t="inlineStr">
        <is>
          <t>Tecnoflon P959 (Solvay)</t>
        </is>
      </c>
      <c r="G259" s="8" t="inlineStr">
        <is>
          <t>peroxide</t>
        </is>
      </c>
      <c r="H259" s="8" t="n">
        <v>100</v>
      </c>
      <c r="I259" s="8" t="n">
        <v>0</v>
      </c>
      <c r="J259" s="8" t="n">
        <v>0</v>
      </c>
      <c r="K259" s="8" t="n">
        <v>0</v>
      </c>
      <c r="L259" s="8" t="n">
        <v>0</v>
      </c>
      <c r="M259" s="8" t="n">
        <v>0</v>
      </c>
      <c r="N259" s="8" t="n">
        <v>0</v>
      </c>
      <c r="O259" s="8" t="n">
        <v>0</v>
      </c>
      <c r="P259" s="8" t="n">
        <v>10</v>
      </c>
      <c r="Q259" s="8" t="n">
        <v>2</v>
      </c>
      <c r="R259" s="8" t="n">
        <v>1.5</v>
      </c>
      <c r="S259" s="8" t="n">
        <v>0</v>
      </c>
      <c r="T259" s="8" t="n">
        <v>0</v>
      </c>
      <c r="U259" s="8" t="n">
        <v>0</v>
      </c>
      <c r="V259" s="8" t="n">
        <v>0</v>
      </c>
      <c r="W259" s="8" t="n">
        <v>58</v>
      </c>
      <c r="X259" s="8" t="n">
        <v>9.5</v>
      </c>
      <c r="Y259" s="8" t="n">
        <v>240</v>
      </c>
      <c r="Z259" s="8" t="n">
        <v>2.4</v>
      </c>
      <c r="AA259" s="8" t="n"/>
      <c r="AB259" s="8" t="inlineStr">
        <is>
          <t>JIS K6262, AS-214 O-ring cut in half; temperature/time not stated</t>
        </is>
      </c>
      <c r="AC259" s="4" t="n"/>
      <c r="AD259" s="4">
        <f>I259+J259+K259+L259+M259+N259+O259+P259</f>
        <v/>
      </c>
      <c r="AE259" s="4" t="n">
        <v>1</v>
      </c>
      <c r="AF259" s="4" t="n">
        <v>1</v>
      </c>
      <c r="AG259" s="4" t="n">
        <v>1</v>
      </c>
      <c r="AH259" s="4" t="n">
        <v>1</v>
      </c>
      <c r="AI259" s="4" t="n">
        <v>0</v>
      </c>
    </row>
    <row r="260">
      <c r="A260" s="4" t="inlineStr">
        <is>
          <t>G259</t>
        </is>
      </c>
      <c r="B260" s="8" t="inlineStr">
        <is>
          <t>US12584054B2</t>
        </is>
      </c>
      <c r="C260" s="8" t="inlineStr">
        <is>
          <t>Mitsubishi Cable Industries, Ltd.</t>
        </is>
      </c>
      <c r="D260" s="8" t="inlineStr">
        <is>
          <t>Example 6</t>
        </is>
      </c>
      <c r="E260" s="8" t="inlineStr">
        <is>
          <t>FKM</t>
        </is>
      </c>
      <c r="F260" s="8" t="inlineStr">
        <is>
          <t>Tecnoflon P959 (Solvay)</t>
        </is>
      </c>
      <c r="G260" s="8" t="inlineStr">
        <is>
          <t>peroxide</t>
        </is>
      </c>
      <c r="H260" s="8" t="n">
        <v>100</v>
      </c>
      <c r="I260" s="8" t="n">
        <v>10</v>
      </c>
      <c r="J260" s="8" t="n">
        <v>0</v>
      </c>
      <c r="K260" s="8" t="n">
        <v>0</v>
      </c>
      <c r="L260" s="8" t="n">
        <v>0</v>
      </c>
      <c r="M260" s="8" t="n">
        <v>0</v>
      </c>
      <c r="N260" s="8" t="n">
        <v>0</v>
      </c>
      <c r="O260" s="8" t="n">
        <v>0</v>
      </c>
      <c r="P260" s="8" t="n">
        <v>10</v>
      </c>
      <c r="Q260" s="8" t="n">
        <v>2</v>
      </c>
      <c r="R260" s="8" t="n">
        <v>1.5</v>
      </c>
      <c r="S260" s="8" t="n">
        <v>0</v>
      </c>
      <c r="T260" s="8" t="n">
        <v>0</v>
      </c>
      <c r="U260" s="8" t="n">
        <v>0</v>
      </c>
      <c r="V260" s="8" t="n">
        <v>0</v>
      </c>
      <c r="W260" s="8" t="n">
        <v>64</v>
      </c>
      <c r="X260" s="8" t="n">
        <v>21.5</v>
      </c>
      <c r="Y260" s="8" t="n">
        <v>200</v>
      </c>
      <c r="Z260" s="8" t="n">
        <v>5.1</v>
      </c>
      <c r="AA260" s="8" t="n">
        <v>13</v>
      </c>
      <c r="AB260" s="8" t="inlineStr">
        <is>
          <t>JIS K6262, AS-214 O-ring cut in half; temperature/time not stated</t>
        </is>
      </c>
      <c r="AC260" s="4" t="n"/>
      <c r="AD260" s="4">
        <f>I260+J260+K260+L260+M260+N260+O260+P260</f>
        <v/>
      </c>
      <c r="AE260" s="4" t="n">
        <v>1</v>
      </c>
      <c r="AF260" s="4" t="n">
        <v>1</v>
      </c>
      <c r="AG260" s="4" t="n">
        <v>1</v>
      </c>
      <c r="AH260" s="4" t="n">
        <v>1</v>
      </c>
      <c r="AI260" s="4" t="n">
        <v>0</v>
      </c>
    </row>
    <row r="261">
      <c r="A261" s="4" t="inlineStr">
        <is>
          <t>G260</t>
        </is>
      </c>
      <c r="B261" s="8" t="inlineStr">
        <is>
          <t>US12584054B2</t>
        </is>
      </c>
      <c r="C261" s="8" t="inlineStr">
        <is>
          <t>Mitsubishi Cable Industries, Ltd.</t>
        </is>
      </c>
      <c r="D261" s="8" t="inlineStr">
        <is>
          <t>Example 8</t>
        </is>
      </c>
      <c r="E261" s="8" t="inlineStr">
        <is>
          <t>FKM</t>
        </is>
      </c>
      <c r="F261" s="8" t="inlineStr">
        <is>
          <t>Tecnoflon P959 (Solvay)</t>
        </is>
      </c>
      <c r="G261" s="8" t="inlineStr">
        <is>
          <t>peroxide</t>
        </is>
      </c>
      <c r="H261" s="8" t="n">
        <v>100</v>
      </c>
      <c r="I261" s="8" t="n">
        <v>0</v>
      </c>
      <c r="J261" s="8" t="n">
        <v>0</v>
      </c>
      <c r="K261" s="8" t="n">
        <v>0</v>
      </c>
      <c r="L261" s="8" t="n">
        <v>0</v>
      </c>
      <c r="M261" s="8" t="n">
        <v>0</v>
      </c>
      <c r="N261" s="8" t="n">
        <v>0</v>
      </c>
      <c r="O261" s="8" t="n">
        <v>0</v>
      </c>
      <c r="P261" s="8" t="n">
        <v>10</v>
      </c>
      <c r="Q261" s="8" t="n">
        <v>2</v>
      </c>
      <c r="R261" s="8" t="n">
        <v>1.5</v>
      </c>
      <c r="S261" s="8" t="n">
        <v>0</v>
      </c>
      <c r="T261" s="8" t="n">
        <v>0</v>
      </c>
      <c r="U261" s="8" t="n">
        <v>0</v>
      </c>
      <c r="V261" s="8" t="n">
        <v>0</v>
      </c>
      <c r="W261" s="8" t="n">
        <v>58</v>
      </c>
      <c r="X261" s="8" t="n">
        <v>14.1</v>
      </c>
      <c r="Y261" s="8" t="n">
        <v>220</v>
      </c>
      <c r="Z261" s="8" t="n">
        <v>2.7</v>
      </c>
      <c r="AA261" s="8" t="n">
        <v>14</v>
      </c>
      <c r="AB261" s="8" t="inlineStr">
        <is>
          <t>JIS K6262, AS-214 O-ring cut in half; temperature/time not stated</t>
        </is>
      </c>
      <c r="AC261" s="4" t="n"/>
      <c r="AD261" s="4">
        <f>I261+J261+K261+L261+M261+N261+O261+P261</f>
        <v/>
      </c>
      <c r="AE261" s="4" t="n">
        <v>1</v>
      </c>
      <c r="AF261" s="4" t="n">
        <v>1</v>
      </c>
      <c r="AG261" s="4" t="n">
        <v>1</v>
      </c>
      <c r="AH261" s="4" t="n">
        <v>1</v>
      </c>
      <c r="AI261" s="4" t="n">
        <v>0</v>
      </c>
    </row>
    <row r="262">
      <c r="A262" s="4" t="inlineStr">
        <is>
          <t>G261</t>
        </is>
      </c>
      <c r="B262" s="8" t="inlineStr">
        <is>
          <t>US12584054B2</t>
        </is>
      </c>
      <c r="C262" s="8" t="inlineStr">
        <is>
          <t>Mitsubishi Cable Industries, Ltd.</t>
        </is>
      </c>
      <c r="D262" s="8" t="inlineStr">
        <is>
          <t>Example 9</t>
        </is>
      </c>
      <c r="E262" s="8" t="inlineStr">
        <is>
          <t>FKM</t>
        </is>
      </c>
      <c r="F262" s="8" t="inlineStr">
        <is>
          <t>Tecnoflon P959 (Solvay)</t>
        </is>
      </c>
      <c r="G262" s="8" t="inlineStr">
        <is>
          <t>peroxide</t>
        </is>
      </c>
      <c r="H262" s="8" t="n">
        <v>100</v>
      </c>
      <c r="I262" s="8" t="n">
        <v>0</v>
      </c>
      <c r="J262" s="8" t="n">
        <v>0</v>
      </c>
      <c r="K262" s="8" t="n">
        <v>0</v>
      </c>
      <c r="L262" s="8" t="n">
        <v>0</v>
      </c>
      <c r="M262" s="8" t="n">
        <v>0</v>
      </c>
      <c r="N262" s="8" t="n">
        <v>0</v>
      </c>
      <c r="O262" s="8" t="n">
        <v>0</v>
      </c>
      <c r="P262" s="8" t="n">
        <v>10</v>
      </c>
      <c r="Q262" s="8" t="n">
        <v>2</v>
      </c>
      <c r="R262" s="8" t="n">
        <v>0.3</v>
      </c>
      <c r="S262" s="8" t="n">
        <v>0</v>
      </c>
      <c r="T262" s="8" t="n">
        <v>0</v>
      </c>
      <c r="U262" s="8" t="n">
        <v>0</v>
      </c>
      <c r="V262" s="8" t="n">
        <v>0</v>
      </c>
      <c r="W262" s="8" t="n">
        <v>57</v>
      </c>
      <c r="X262" s="8" t="n">
        <v>13.9</v>
      </c>
      <c r="Y262" s="8" t="n">
        <v>220</v>
      </c>
      <c r="Z262" s="8" t="n">
        <v>2.6</v>
      </c>
      <c r="AA262" s="8" t="n">
        <v>10</v>
      </c>
      <c r="AB262" s="8" t="inlineStr">
        <is>
          <t>JIS K6262, AS-214 O-ring cut in half; temperature/time not stated</t>
        </is>
      </c>
      <c r="AC262" s="4" t="n"/>
      <c r="AD262" s="4">
        <f>I262+J262+K262+L262+M262+N262+O262+P262</f>
        <v/>
      </c>
      <c r="AE262" s="4" t="n">
        <v>1</v>
      </c>
      <c r="AF262" s="4" t="n">
        <v>1</v>
      </c>
      <c r="AG262" s="4" t="n">
        <v>1</v>
      </c>
      <c r="AH262" s="4" t="n">
        <v>1</v>
      </c>
      <c r="AI262" s="4" t="n">
        <v>0</v>
      </c>
    </row>
    <row r="263">
      <c r="A263" s="4" t="inlineStr">
        <is>
          <t>G262</t>
        </is>
      </c>
      <c r="B263" s="8" t="inlineStr">
        <is>
          <t>US12584054B2</t>
        </is>
      </c>
      <c r="C263" s="8" t="inlineStr">
        <is>
          <t>Mitsubishi Cable Industries, Ltd.</t>
        </is>
      </c>
      <c r="D263" s="8" t="inlineStr">
        <is>
          <t>Comparative Example 11</t>
        </is>
      </c>
      <c r="E263" s="8" t="inlineStr">
        <is>
          <t>FKM</t>
        </is>
      </c>
      <c r="F263" s="8" t="inlineStr">
        <is>
          <t>Tecnoflon P959 (Solvay)</t>
        </is>
      </c>
      <c r="G263" s="8" t="inlineStr">
        <is>
          <t>peroxide</t>
        </is>
      </c>
      <c r="H263" s="8" t="n">
        <v>100</v>
      </c>
      <c r="I263" s="8" t="n">
        <v>10</v>
      </c>
      <c r="J263" s="8" t="n">
        <v>0</v>
      </c>
      <c r="K263" s="8" t="n">
        <v>0</v>
      </c>
      <c r="L263" s="8" t="n">
        <v>0</v>
      </c>
      <c r="M263" s="8" t="n">
        <v>0</v>
      </c>
      <c r="N263" s="8" t="n">
        <v>0</v>
      </c>
      <c r="O263" s="8" t="n">
        <v>0</v>
      </c>
      <c r="P263" s="8" t="n">
        <v>0</v>
      </c>
      <c r="Q263" s="8" t="n">
        <v>2</v>
      </c>
      <c r="R263" s="8" t="n">
        <v>1.5</v>
      </c>
      <c r="S263" s="8" t="n">
        <v>0</v>
      </c>
      <c r="T263" s="8" t="n">
        <v>0</v>
      </c>
      <c r="U263" s="8" t="n">
        <v>0</v>
      </c>
      <c r="V263" s="8" t="n">
        <v>0</v>
      </c>
      <c r="W263" s="8" t="n">
        <v>55</v>
      </c>
      <c r="X263" s="8" t="n">
        <v>14.4</v>
      </c>
      <c r="Y263" s="8" t="n">
        <v>220</v>
      </c>
      <c r="Z263" s="8" t="n">
        <v>2.8</v>
      </c>
      <c r="AA263" s="8" t="n">
        <v>27</v>
      </c>
      <c r="AB263" s="8" t="inlineStr">
        <is>
          <t>JIS K6262, AS-214 O-ring cut in half; temperature/time not stated</t>
        </is>
      </c>
      <c r="AC263" s="4" t="n"/>
      <c r="AD263" s="4">
        <f>I263+J263+K263+L263+M263+N263+O263+P263</f>
        <v/>
      </c>
      <c r="AE263" s="4" t="n">
        <v>1</v>
      </c>
      <c r="AF263" s="4" t="n">
        <v>1</v>
      </c>
      <c r="AG263" s="4" t="n">
        <v>1</v>
      </c>
      <c r="AH263" s="4" t="n">
        <v>1</v>
      </c>
      <c r="AI263" s="4" t="n">
        <v>0</v>
      </c>
    </row>
    <row r="264">
      <c r="A264" s="4" t="inlineStr">
        <is>
          <t>G263</t>
        </is>
      </c>
      <c r="B264" s="8" t="inlineStr">
        <is>
          <t>US12584054B2</t>
        </is>
      </c>
      <c r="C264" s="8" t="inlineStr">
        <is>
          <t>Mitsubishi Cable Industries, Ltd.</t>
        </is>
      </c>
      <c r="D264" s="8" t="inlineStr">
        <is>
          <t>Comparative Example 12</t>
        </is>
      </c>
      <c r="E264" s="8" t="inlineStr">
        <is>
          <t>FKM</t>
        </is>
      </c>
      <c r="F264" s="8" t="inlineStr">
        <is>
          <t>Tecnoflon P959 (Solvay)</t>
        </is>
      </c>
      <c r="G264" s="8" t="inlineStr">
        <is>
          <t>peroxide</t>
        </is>
      </c>
      <c r="H264" s="8" t="n">
        <v>100</v>
      </c>
      <c r="I264" s="8" t="n">
        <v>10</v>
      </c>
      <c r="J264" s="8" t="n">
        <v>0</v>
      </c>
      <c r="K264" s="8" t="n">
        <v>0</v>
      </c>
      <c r="L264" s="8" t="n">
        <v>0</v>
      </c>
      <c r="M264" s="8" t="n">
        <v>0</v>
      </c>
      <c r="N264" s="8" t="n">
        <v>0</v>
      </c>
      <c r="O264" s="8" t="n">
        <v>0</v>
      </c>
      <c r="P264" s="8" t="n">
        <v>0</v>
      </c>
      <c r="Q264" s="8" t="n">
        <v>2</v>
      </c>
      <c r="R264" s="8" t="n">
        <v>0.3</v>
      </c>
      <c r="S264" s="8" t="n">
        <v>0</v>
      </c>
      <c r="T264" s="8" t="n">
        <v>0</v>
      </c>
      <c r="U264" s="8" t="n">
        <v>0</v>
      </c>
      <c r="V264" s="8" t="n">
        <v>0</v>
      </c>
      <c r="W264" s="8" t="n">
        <v>52</v>
      </c>
      <c r="X264" s="8" t="n">
        <v>13.2</v>
      </c>
      <c r="Y264" s="8" t="n">
        <v>250</v>
      </c>
      <c r="Z264" s="8" t="n">
        <v>2.2</v>
      </c>
      <c r="AA264" s="8" t="n">
        <v>39</v>
      </c>
      <c r="AB264" s="8" t="inlineStr">
        <is>
          <t>JIS K6262, AS-214 O-ring cut in half; temperature/time not stated</t>
        </is>
      </c>
      <c r="AC264" s="4" t="n"/>
      <c r="AD264" s="4">
        <f>I264+J264+K264+L264+M264+N264+O264+P264</f>
        <v/>
      </c>
      <c r="AE264" s="4" t="n">
        <v>1</v>
      </c>
      <c r="AF264" s="4" t="n">
        <v>1</v>
      </c>
      <c r="AG264" s="4" t="n">
        <v>1</v>
      </c>
      <c r="AH264" s="4" t="n">
        <v>1</v>
      </c>
      <c r="AI264" s="4" t="n">
        <v>0</v>
      </c>
    </row>
    <row r="265">
      <c r="A265" s="4" t="inlineStr">
        <is>
          <t>G264</t>
        </is>
      </c>
      <c r="B265" s="8" t="inlineStr">
        <is>
          <t>US20230174763A1</t>
        </is>
      </c>
      <c r="C265" s="8" t="inlineStr">
        <is>
          <t>Mitsubishi Cable Industries, Ltd.</t>
        </is>
      </c>
      <c r="D265" s="8" t="inlineStr">
        <is>
          <t>Example 1</t>
        </is>
      </c>
      <c r="E265" s="8" t="inlineStr">
        <is>
          <t>FKM</t>
        </is>
      </c>
      <c r="F265" s="8" t="inlineStr">
        <is>
          <t>Tecnoflon P959 (Solvay)</t>
        </is>
      </c>
      <c r="G265" s="8" t="inlineStr">
        <is>
          <t>peroxide</t>
        </is>
      </c>
      <c r="H265" s="8" t="n">
        <v>100</v>
      </c>
      <c r="I265" s="8" t="n">
        <v>0</v>
      </c>
      <c r="J265" s="8" t="n">
        <v>5</v>
      </c>
      <c r="K265" s="8" t="n">
        <v>0</v>
      </c>
      <c r="L265" s="8" t="n">
        <v>0</v>
      </c>
      <c r="M265" s="8" t="n">
        <v>0</v>
      </c>
      <c r="N265" s="8" t="n">
        <v>0</v>
      </c>
      <c r="O265" s="8" t="n">
        <v>0</v>
      </c>
      <c r="P265" s="8" t="n">
        <v>5</v>
      </c>
      <c r="Q265" s="8" t="n">
        <v>2</v>
      </c>
      <c r="R265" s="8" t="n">
        <v>1.5</v>
      </c>
      <c r="S265" s="8" t="n">
        <v>0</v>
      </c>
      <c r="T265" s="8" t="n">
        <v>0</v>
      </c>
      <c r="U265" s="8" t="n">
        <v>0</v>
      </c>
      <c r="V265" s="8" t="n">
        <v>0</v>
      </c>
      <c r="W265" s="8" t="n">
        <v>66</v>
      </c>
      <c r="X265" s="8" t="n">
        <v>20.3</v>
      </c>
      <c r="Y265" s="8" t="n">
        <v>280</v>
      </c>
      <c r="Z265" s="8" t="n">
        <v>3.9</v>
      </c>
      <c r="AA265" s="8" t="n">
        <v>15</v>
      </c>
      <c r="AB265" s="8" t="inlineStr">
        <is>
          <t>200C x 72h, 25% compression, half-cut AS-214 O-ring (JIS K6262)</t>
        </is>
      </c>
      <c r="AC265" s="4" t="n">
        <v>200</v>
      </c>
      <c r="AD265" s="4">
        <f>I265+J265+K265+L265+M265+N265+O265+P265</f>
        <v/>
      </c>
      <c r="AE265" s="4" t="n">
        <v>1</v>
      </c>
      <c r="AF265" s="4" t="n">
        <v>1</v>
      </c>
      <c r="AG265" s="4" t="n">
        <v>1</v>
      </c>
      <c r="AH265" s="4" t="n">
        <v>1</v>
      </c>
      <c r="AI265" s="4" t="n">
        <v>1</v>
      </c>
    </row>
    <row r="266">
      <c r="A266" s="4" t="inlineStr">
        <is>
          <t>G265</t>
        </is>
      </c>
      <c r="B266" s="8" t="inlineStr">
        <is>
          <t>US20230174763A1</t>
        </is>
      </c>
      <c r="C266" s="8" t="inlineStr">
        <is>
          <t>Mitsubishi Cable Industries, Ltd.</t>
        </is>
      </c>
      <c r="D266" s="8" t="inlineStr">
        <is>
          <t>Example 2</t>
        </is>
      </c>
      <c r="E266" s="8" t="inlineStr">
        <is>
          <t>FKM</t>
        </is>
      </c>
      <c r="F266" s="8" t="inlineStr">
        <is>
          <t>Tecnoflon P959 (Solvay)</t>
        </is>
      </c>
      <c r="G266" s="8" t="inlineStr">
        <is>
          <t>peroxide</t>
        </is>
      </c>
      <c r="H266" s="8" t="n">
        <v>100</v>
      </c>
      <c r="I266" s="8" t="n">
        <v>0</v>
      </c>
      <c r="J266" s="8" t="n">
        <v>10</v>
      </c>
      <c r="K266" s="8" t="n">
        <v>0</v>
      </c>
      <c r="L266" s="8" t="n">
        <v>0</v>
      </c>
      <c r="M266" s="8" t="n">
        <v>0</v>
      </c>
      <c r="N266" s="8" t="n">
        <v>0</v>
      </c>
      <c r="O266" s="8" t="n">
        <v>0</v>
      </c>
      <c r="P266" s="8" t="n">
        <v>10</v>
      </c>
      <c r="Q266" s="8" t="n">
        <v>2</v>
      </c>
      <c r="R266" s="8" t="n">
        <v>1.5</v>
      </c>
      <c r="S266" s="8" t="n">
        <v>0</v>
      </c>
      <c r="T266" s="8" t="n">
        <v>0</v>
      </c>
      <c r="U266" s="8" t="n">
        <v>0</v>
      </c>
      <c r="V266" s="8" t="n">
        <v>0</v>
      </c>
      <c r="W266" s="8" t="n">
        <v>74</v>
      </c>
      <c r="X266" s="8" t="n">
        <v>21.5</v>
      </c>
      <c r="Y266" s="8" t="n">
        <v>210</v>
      </c>
      <c r="Z266" s="8" t="n">
        <v>6</v>
      </c>
      <c r="AA266" s="8" t="n">
        <v>18</v>
      </c>
      <c r="AB266" s="8" t="inlineStr">
        <is>
          <t>200C x 72h, 25% compression, half-cut AS-214 O-ring (JIS K6262)</t>
        </is>
      </c>
      <c r="AC266" s="4" t="n">
        <v>200</v>
      </c>
      <c r="AD266" s="4">
        <f>I266+J266+K266+L266+M266+N266+O266+P266</f>
        <v/>
      </c>
      <c r="AE266" s="4" t="n">
        <v>1</v>
      </c>
      <c r="AF266" s="4" t="n">
        <v>1</v>
      </c>
      <c r="AG266" s="4" t="n">
        <v>1</v>
      </c>
      <c r="AH266" s="4" t="n">
        <v>1</v>
      </c>
      <c r="AI266" s="4" t="n">
        <v>1</v>
      </c>
    </row>
    <row r="267">
      <c r="A267" s="4" t="inlineStr">
        <is>
          <t>G266</t>
        </is>
      </c>
      <c r="B267" s="8" t="inlineStr">
        <is>
          <t>US20230174763A1</t>
        </is>
      </c>
      <c r="C267" s="8" t="inlineStr">
        <is>
          <t>Mitsubishi Cable Industries, Ltd.</t>
        </is>
      </c>
      <c r="D267" s="8" t="inlineStr">
        <is>
          <t>Example 3</t>
        </is>
      </c>
      <c r="E267" s="8" t="inlineStr">
        <is>
          <t>FKM</t>
        </is>
      </c>
      <c r="F267" s="8" t="inlineStr">
        <is>
          <t>Tecnoflon P959 (Solvay)</t>
        </is>
      </c>
      <c r="G267" s="8" t="inlineStr">
        <is>
          <t>peroxide</t>
        </is>
      </c>
      <c r="H267" s="8" t="n">
        <v>100</v>
      </c>
      <c r="I267" s="8" t="n">
        <v>0</v>
      </c>
      <c r="J267" s="8" t="n">
        <v>5</v>
      </c>
      <c r="K267" s="8" t="n">
        <v>0</v>
      </c>
      <c r="L267" s="8" t="n">
        <v>0</v>
      </c>
      <c r="M267" s="8" t="n">
        <v>0</v>
      </c>
      <c r="N267" s="8" t="n">
        <v>0</v>
      </c>
      <c r="O267" s="8" t="n">
        <v>0</v>
      </c>
      <c r="P267" s="8" t="n">
        <v>25</v>
      </c>
      <c r="Q267" s="8" t="n">
        <v>2</v>
      </c>
      <c r="R267" s="8" t="n">
        <v>1.5</v>
      </c>
      <c r="S267" s="8" t="n">
        <v>0</v>
      </c>
      <c r="T267" s="8" t="n">
        <v>0</v>
      </c>
      <c r="U267" s="8" t="n">
        <v>0</v>
      </c>
      <c r="V267" s="8" t="n">
        <v>0</v>
      </c>
      <c r="W267" s="8" t="n">
        <v>73</v>
      </c>
      <c r="X267" s="8" t="n">
        <v>24.3</v>
      </c>
      <c r="Y267" s="8" t="n">
        <v>190</v>
      </c>
      <c r="Z267" s="8" t="n">
        <v>8.300000000000001</v>
      </c>
      <c r="AA267" s="8" t="n">
        <v>23</v>
      </c>
      <c r="AB267" s="8" t="inlineStr">
        <is>
          <t>200C x 72h, 25% compression, half-cut AS-214 O-ring (JIS K6262)</t>
        </is>
      </c>
      <c r="AC267" s="4" t="n">
        <v>200</v>
      </c>
      <c r="AD267" s="4">
        <f>I267+J267+K267+L267+M267+N267+O267+P267</f>
        <v/>
      </c>
      <c r="AE267" s="4" t="n">
        <v>1</v>
      </c>
      <c r="AF267" s="4" t="n">
        <v>1</v>
      </c>
      <c r="AG267" s="4" t="n">
        <v>1</v>
      </c>
      <c r="AH267" s="4" t="n">
        <v>1</v>
      </c>
      <c r="AI267" s="4" t="n">
        <v>1</v>
      </c>
    </row>
    <row r="268">
      <c r="A268" s="4" t="inlineStr">
        <is>
          <t>G267</t>
        </is>
      </c>
      <c r="B268" s="8" t="inlineStr">
        <is>
          <t>US20230174763A1</t>
        </is>
      </c>
      <c r="C268" s="8" t="inlineStr">
        <is>
          <t>Mitsubishi Cable Industries, Ltd.</t>
        </is>
      </c>
      <c r="D268" s="8" t="inlineStr">
        <is>
          <t>Example 4</t>
        </is>
      </c>
      <c r="E268" s="8" t="inlineStr">
        <is>
          <t>FKM</t>
        </is>
      </c>
      <c r="F268" s="8" t="inlineStr">
        <is>
          <t>Tecnoflon P959 (Solvay)</t>
        </is>
      </c>
      <c r="G268" s="8" t="inlineStr">
        <is>
          <t>peroxide</t>
        </is>
      </c>
      <c r="H268" s="8" t="n">
        <v>100</v>
      </c>
      <c r="I268" s="8" t="n">
        <v>0</v>
      </c>
      <c r="J268" s="8" t="n">
        <v>25</v>
      </c>
      <c r="K268" s="8" t="n">
        <v>0</v>
      </c>
      <c r="L268" s="8" t="n">
        <v>0</v>
      </c>
      <c r="M268" s="8" t="n">
        <v>0</v>
      </c>
      <c r="N268" s="8" t="n">
        <v>0</v>
      </c>
      <c r="O268" s="8" t="n">
        <v>0</v>
      </c>
      <c r="P268" s="8" t="n">
        <v>5</v>
      </c>
      <c r="Q268" s="8" t="n">
        <v>2</v>
      </c>
      <c r="R268" s="8" t="n">
        <v>1.5</v>
      </c>
      <c r="S268" s="8" t="n">
        <v>0</v>
      </c>
      <c r="T268" s="8" t="n">
        <v>0</v>
      </c>
      <c r="U268" s="8" t="n">
        <v>0</v>
      </c>
      <c r="V268" s="8" t="n">
        <v>0</v>
      </c>
      <c r="W268" s="8" t="n">
        <v>84</v>
      </c>
      <c r="X268" s="8" t="n">
        <v>23.5</v>
      </c>
      <c r="Y268" s="8" t="n">
        <v>250</v>
      </c>
      <c r="Z268" s="8" t="n">
        <v>8.6</v>
      </c>
      <c r="AA268" s="8" t="n">
        <v>30</v>
      </c>
      <c r="AB268" s="8" t="inlineStr">
        <is>
          <t>200C x 72h, 25% compression, half-cut AS-214 O-ring (JIS K6262)</t>
        </is>
      </c>
      <c r="AC268" s="4" t="n">
        <v>200</v>
      </c>
      <c r="AD268" s="4">
        <f>I268+J268+K268+L268+M268+N268+O268+P268</f>
        <v/>
      </c>
      <c r="AE268" s="4" t="n">
        <v>1</v>
      </c>
      <c r="AF268" s="4" t="n">
        <v>1</v>
      </c>
      <c r="AG268" s="4" t="n">
        <v>1</v>
      </c>
      <c r="AH268" s="4" t="n">
        <v>1</v>
      </c>
      <c r="AI268" s="4" t="n">
        <v>1</v>
      </c>
    </row>
    <row r="269">
      <c r="A269" s="4" t="inlineStr">
        <is>
          <t>G268</t>
        </is>
      </c>
      <c r="B269" s="8" t="inlineStr">
        <is>
          <t>US20230174763A1</t>
        </is>
      </c>
      <c r="C269" s="8" t="inlineStr">
        <is>
          <t>Mitsubishi Cable Industries, Ltd.</t>
        </is>
      </c>
      <c r="D269" s="8" t="inlineStr">
        <is>
          <t>Example 5</t>
        </is>
      </c>
      <c r="E269" s="8" t="inlineStr">
        <is>
          <t>FKM</t>
        </is>
      </c>
      <c r="F269" s="8" t="inlineStr">
        <is>
          <t>Tecnoflon P959 (Solvay)</t>
        </is>
      </c>
      <c r="G269" s="8" t="inlineStr">
        <is>
          <t>peroxide</t>
        </is>
      </c>
      <c r="H269" s="8" t="n">
        <v>100</v>
      </c>
      <c r="I269" s="8" t="n">
        <v>0</v>
      </c>
      <c r="J269" s="8" t="n">
        <v>25</v>
      </c>
      <c r="K269" s="8" t="n">
        <v>0</v>
      </c>
      <c r="L269" s="8" t="n">
        <v>0</v>
      </c>
      <c r="M269" s="8" t="n">
        <v>0</v>
      </c>
      <c r="N269" s="8" t="n">
        <v>0</v>
      </c>
      <c r="O269" s="8" t="n">
        <v>0</v>
      </c>
      <c r="P269" s="8" t="n">
        <v>25</v>
      </c>
      <c r="Q269" s="8" t="n">
        <v>2</v>
      </c>
      <c r="R269" s="8" t="n">
        <v>1.5</v>
      </c>
      <c r="S269" s="8" t="n">
        <v>0</v>
      </c>
      <c r="T269" s="8" t="n">
        <v>0</v>
      </c>
      <c r="U269" s="8" t="n">
        <v>0</v>
      </c>
      <c r="V269" s="8" t="n">
        <v>0</v>
      </c>
      <c r="W269" s="8" t="n">
        <v>92</v>
      </c>
      <c r="X269" s="8" t="n">
        <v>22.4</v>
      </c>
      <c r="Y269" s="8" t="n">
        <v>110</v>
      </c>
      <c r="Z269" s="8" t="n">
        <v>20.9</v>
      </c>
      <c r="AA269" s="8" t="n">
        <v>35</v>
      </c>
      <c r="AB269" s="8" t="inlineStr">
        <is>
          <t>150C x 72h, 25% compression, half-cut AS-214 O-ring (JIS K6262)</t>
        </is>
      </c>
      <c r="AC269" s="4" t="n">
        <v>150</v>
      </c>
      <c r="AD269" s="4">
        <f>I269+J269+K269+L269+M269+N269+O269+P269</f>
        <v/>
      </c>
      <c r="AE269" s="4" t="n">
        <v>1</v>
      </c>
      <c r="AF269" s="4" t="n">
        <v>1</v>
      </c>
      <c r="AG269" s="4" t="n">
        <v>1</v>
      </c>
      <c r="AH269" s="4" t="n">
        <v>1</v>
      </c>
      <c r="AI269" s="4" t="n">
        <v>1</v>
      </c>
    </row>
    <row r="270">
      <c r="A270" s="4" t="inlineStr">
        <is>
          <t>G269</t>
        </is>
      </c>
      <c r="B270" s="8" t="inlineStr">
        <is>
          <t>US20230174763A1</t>
        </is>
      </c>
      <c r="C270" s="8" t="inlineStr">
        <is>
          <t>Mitsubishi Cable Industries, Ltd.</t>
        </is>
      </c>
      <c r="D270" s="8" t="inlineStr">
        <is>
          <t>Comparative Example 5</t>
        </is>
      </c>
      <c r="E270" s="8" t="inlineStr">
        <is>
          <t>FKM</t>
        </is>
      </c>
      <c r="F270" s="8" t="inlineStr">
        <is>
          <t>Tecnoflon P959 (Solvay)</t>
        </is>
      </c>
      <c r="G270" s="8" t="inlineStr">
        <is>
          <t>peroxide</t>
        </is>
      </c>
      <c r="H270" s="8" t="n">
        <v>100</v>
      </c>
      <c r="I270" s="8" t="n">
        <v>0</v>
      </c>
      <c r="J270" s="8" t="n">
        <v>10</v>
      </c>
      <c r="K270" s="8" t="n">
        <v>0</v>
      </c>
      <c r="L270" s="8" t="n">
        <v>0</v>
      </c>
      <c r="M270" s="8" t="n">
        <v>0</v>
      </c>
      <c r="N270" s="8" t="n">
        <v>0</v>
      </c>
      <c r="O270" s="8" t="n">
        <v>0</v>
      </c>
      <c r="P270" s="8" t="n">
        <v>10</v>
      </c>
      <c r="Q270" s="8" t="n">
        <v>2</v>
      </c>
      <c r="R270" s="8" t="n">
        <v>1.5</v>
      </c>
      <c r="S270" s="8" t="n">
        <v>0</v>
      </c>
      <c r="T270" s="8" t="n">
        <v>0</v>
      </c>
      <c r="U270" s="8" t="n">
        <v>0</v>
      </c>
      <c r="V270" s="8" t="n">
        <v>0</v>
      </c>
      <c r="W270" s="8" t="n">
        <v>67</v>
      </c>
      <c r="X270" s="8" t="n">
        <v>15.1</v>
      </c>
      <c r="Y270" s="8" t="n">
        <v>230</v>
      </c>
      <c r="Z270" s="8" t="n">
        <v>3.9</v>
      </c>
      <c r="AA270" s="8" t="n"/>
      <c r="AB270" s="8" t="inlineStr">
        <is>
          <t>200C x 72h, 25% compression, half-cut AS-214 O-ring (JIS K6262)</t>
        </is>
      </c>
      <c r="AC270" s="4" t="n">
        <v>200</v>
      </c>
      <c r="AD270" s="4">
        <f>I270+J270+K270+L270+M270+N270+O270+P270</f>
        <v/>
      </c>
      <c r="AE270" s="4" t="n">
        <v>1</v>
      </c>
      <c r="AF270" s="4" t="n">
        <v>1</v>
      </c>
      <c r="AG270" s="4" t="n">
        <v>1</v>
      </c>
      <c r="AH270" s="4" t="n">
        <v>1</v>
      </c>
      <c r="AI270" s="4" t="n">
        <v>0</v>
      </c>
    </row>
    <row r="271">
      <c r="A271" s="4" t="inlineStr">
        <is>
          <t>G270</t>
        </is>
      </c>
      <c r="B271" s="8" t="inlineStr">
        <is>
          <t>US20230174763A1</t>
        </is>
      </c>
      <c r="C271" s="8" t="inlineStr">
        <is>
          <t>Mitsubishi Cable Industries, Ltd.</t>
        </is>
      </c>
      <c r="D271" s="8" t="inlineStr">
        <is>
          <t>Comparative Example 6</t>
        </is>
      </c>
      <c r="E271" s="8" t="inlineStr">
        <is>
          <t>FKM</t>
        </is>
      </c>
      <c r="F271" s="8" t="inlineStr">
        <is>
          <t>Tecnoflon P959 (Solvay)</t>
        </is>
      </c>
      <c r="G271" s="8" t="inlineStr">
        <is>
          <t>peroxide</t>
        </is>
      </c>
      <c r="H271" s="8" t="n">
        <v>100</v>
      </c>
      <c r="I271" s="8" t="n">
        <v>0</v>
      </c>
      <c r="J271" s="8" t="n">
        <v>10</v>
      </c>
      <c r="K271" s="8" t="n">
        <v>0</v>
      </c>
      <c r="L271" s="8" t="n">
        <v>0</v>
      </c>
      <c r="M271" s="8" t="n">
        <v>0</v>
      </c>
      <c r="N271" s="8" t="n">
        <v>0</v>
      </c>
      <c r="O271" s="8" t="n">
        <v>0</v>
      </c>
      <c r="P271" s="8" t="n">
        <v>0</v>
      </c>
      <c r="Q271" s="8" t="n">
        <v>2</v>
      </c>
      <c r="R271" s="8" t="n">
        <v>1.5</v>
      </c>
      <c r="S271" s="8" t="n">
        <v>0</v>
      </c>
      <c r="T271" s="8" t="n">
        <v>0</v>
      </c>
      <c r="U271" s="8" t="n">
        <v>0</v>
      </c>
      <c r="V271" s="8" t="n">
        <v>0</v>
      </c>
      <c r="W271" s="8" t="n">
        <v>65</v>
      </c>
      <c r="X271" s="8" t="n">
        <v>20.3</v>
      </c>
      <c r="Y271" s="8" t="n">
        <v>270</v>
      </c>
      <c r="Z271" s="8" t="n">
        <v>3.7</v>
      </c>
      <c r="AA271" s="8" t="n">
        <v>36</v>
      </c>
      <c r="AB271" s="8" t="inlineStr">
        <is>
          <t>200C x 72h, 25% compression, half-cut AS-214 O-ring (JIS K6262)</t>
        </is>
      </c>
      <c r="AC271" s="4" t="n">
        <v>200</v>
      </c>
      <c r="AD271" s="4">
        <f>I271+J271+K271+L271+M271+N271+O271+P271</f>
        <v/>
      </c>
      <c r="AE271" s="4" t="n">
        <v>1</v>
      </c>
      <c r="AF271" s="4" t="n">
        <v>1</v>
      </c>
      <c r="AG271" s="4" t="n">
        <v>1</v>
      </c>
      <c r="AH271" s="4" t="n">
        <v>1</v>
      </c>
      <c r="AI271" s="4" t="n">
        <v>1</v>
      </c>
    </row>
    <row r="272">
      <c r="A272" s="4" t="inlineStr">
        <is>
          <t>G271</t>
        </is>
      </c>
      <c r="B272" s="8" t="inlineStr">
        <is>
          <t>US20230174763A1</t>
        </is>
      </c>
      <c r="C272" s="8" t="inlineStr">
        <is>
          <t>Mitsubishi Cable Industries, Ltd.</t>
        </is>
      </c>
      <c r="D272" s="8" t="inlineStr">
        <is>
          <t>Comparative Example 7</t>
        </is>
      </c>
      <c r="E272" s="8" t="inlineStr">
        <is>
          <t>FKM</t>
        </is>
      </c>
      <c r="F272" s="8" t="inlineStr">
        <is>
          <t>Tecnoflon P959 (Solvay)</t>
        </is>
      </c>
      <c r="G272" s="8" t="inlineStr">
        <is>
          <t>peroxide</t>
        </is>
      </c>
      <c r="H272" s="8" t="n">
        <v>100</v>
      </c>
      <c r="I272" s="8" t="n">
        <v>0</v>
      </c>
      <c r="J272" s="8" t="n">
        <v>25</v>
      </c>
      <c r="K272" s="8" t="n">
        <v>0</v>
      </c>
      <c r="L272" s="8" t="n">
        <v>0</v>
      </c>
      <c r="M272" s="8" t="n">
        <v>0</v>
      </c>
      <c r="N272" s="8" t="n">
        <v>0</v>
      </c>
      <c r="O272" s="8" t="n">
        <v>0</v>
      </c>
      <c r="P272" s="8" t="n">
        <v>0</v>
      </c>
      <c r="Q272" s="8" t="n">
        <v>2</v>
      </c>
      <c r="R272" s="8" t="n">
        <v>1.5</v>
      </c>
      <c r="S272" s="8" t="n">
        <v>0</v>
      </c>
      <c r="T272" s="8" t="n">
        <v>0</v>
      </c>
      <c r="U272" s="8" t="n">
        <v>0</v>
      </c>
      <c r="V272" s="8" t="n">
        <v>0</v>
      </c>
      <c r="W272" s="8" t="n">
        <v>83</v>
      </c>
      <c r="X272" s="8" t="n">
        <v>23.2</v>
      </c>
      <c r="Y272" s="8" t="n">
        <v>230</v>
      </c>
      <c r="Z272" s="8" t="n">
        <v>8.4</v>
      </c>
      <c r="AA272" s="8" t="n">
        <v>40</v>
      </c>
      <c r="AB272" s="8" t="inlineStr">
        <is>
          <t>200C x 72h, 25% compression, half-cut AS-214 O-ring (JIS K6262)</t>
        </is>
      </c>
      <c r="AC272" s="4" t="n">
        <v>200</v>
      </c>
      <c r="AD272" s="4">
        <f>I272+J272+K272+L272+M272+N272+O272+P272</f>
        <v/>
      </c>
      <c r="AE272" s="4" t="n">
        <v>1</v>
      </c>
      <c r="AF272" s="4" t="n">
        <v>1</v>
      </c>
      <c r="AG272" s="4" t="n">
        <v>1</v>
      </c>
      <c r="AH272" s="4" t="n">
        <v>1</v>
      </c>
      <c r="AI272" s="4" t="n">
        <v>1</v>
      </c>
    </row>
    <row r="273">
      <c r="A273" s="4" t="inlineStr">
        <is>
          <t>G272</t>
        </is>
      </c>
      <c r="B273" s="8" t="inlineStr">
        <is>
          <t>US20230174763A1</t>
        </is>
      </c>
      <c r="C273" s="8" t="inlineStr">
        <is>
          <t>Mitsubishi Cable Industries, Ltd.</t>
        </is>
      </c>
      <c r="D273" s="8" t="inlineStr">
        <is>
          <t>Comparative Example 11</t>
        </is>
      </c>
      <c r="E273" s="8" t="inlineStr">
        <is>
          <t>FKM</t>
        </is>
      </c>
      <c r="F273" s="8" t="inlineStr">
        <is>
          <t>Tecnoflon P959 (Solvay)</t>
        </is>
      </c>
      <c r="G273" s="8" t="inlineStr">
        <is>
          <t>peroxide</t>
        </is>
      </c>
      <c r="H273" s="8" t="n">
        <v>100</v>
      </c>
      <c r="I273" s="8" t="n">
        <v>10</v>
      </c>
      <c r="J273" s="8" t="n">
        <v>10</v>
      </c>
      <c r="K273" s="8" t="n">
        <v>0</v>
      </c>
      <c r="L273" s="8" t="n">
        <v>0</v>
      </c>
      <c r="M273" s="8" t="n">
        <v>0</v>
      </c>
      <c r="N273" s="8" t="n">
        <v>0</v>
      </c>
      <c r="O273" s="8" t="n">
        <v>0</v>
      </c>
      <c r="P273" s="8" t="n">
        <v>0</v>
      </c>
      <c r="Q273" s="8" t="n">
        <v>2</v>
      </c>
      <c r="R273" s="8" t="n">
        <v>1.5</v>
      </c>
      <c r="S273" s="8" t="n">
        <v>0</v>
      </c>
      <c r="T273" s="8" t="n">
        <v>0</v>
      </c>
      <c r="U273" s="8" t="n">
        <v>0</v>
      </c>
      <c r="V273" s="8" t="n">
        <v>0</v>
      </c>
      <c r="W273" s="8" t="n">
        <v>70</v>
      </c>
      <c r="X273" s="8" t="n">
        <v>19.8</v>
      </c>
      <c r="Y273" s="8" t="n">
        <v>250</v>
      </c>
      <c r="Z273" s="8" t="n">
        <v>4.5</v>
      </c>
      <c r="AA273" s="8" t="n">
        <v>37</v>
      </c>
      <c r="AB273" s="8" t="inlineStr">
        <is>
          <t>200C x 72h, 25% compression, half-cut AS-214 O-ring (JIS K6262)</t>
        </is>
      </c>
      <c r="AC273" s="4" t="n">
        <v>200</v>
      </c>
      <c r="AD273" s="4">
        <f>I273+J273+K273+L273+M273+N273+O273+P273</f>
        <v/>
      </c>
      <c r="AE273" s="4" t="n">
        <v>1</v>
      </c>
      <c r="AF273" s="4" t="n">
        <v>1</v>
      </c>
      <c r="AG273" s="4" t="n">
        <v>1</v>
      </c>
      <c r="AH273" s="4" t="n">
        <v>1</v>
      </c>
      <c r="AI273" s="4" t="n">
        <v>1</v>
      </c>
    </row>
    <row r="274">
      <c r="A274" s="4" t="inlineStr">
        <is>
          <t>G273</t>
        </is>
      </c>
      <c r="B274" s="8" t="inlineStr">
        <is>
          <t>US20230174763A1</t>
        </is>
      </c>
      <c r="C274" s="8" t="inlineStr">
        <is>
          <t>Mitsubishi Cable Industries, Ltd.</t>
        </is>
      </c>
      <c r="D274" s="8" t="inlineStr">
        <is>
          <t>Example 6</t>
        </is>
      </c>
      <c r="E274" s="8" t="inlineStr">
        <is>
          <t>FKM</t>
        </is>
      </c>
      <c r="F274" s="8" t="inlineStr">
        <is>
          <t>Viton A-50 (Chemours)</t>
        </is>
      </c>
      <c r="G274" s="8" t="inlineStr">
        <is>
          <t>bisphenol</t>
        </is>
      </c>
      <c r="H274" s="8" t="n">
        <v>100</v>
      </c>
      <c r="I274" s="8" t="n">
        <v>0</v>
      </c>
      <c r="J274" s="8" t="n">
        <v>10</v>
      </c>
      <c r="K274" s="8" t="n">
        <v>0</v>
      </c>
      <c r="L274" s="8" t="n">
        <v>0</v>
      </c>
      <c r="M274" s="8" t="n">
        <v>0</v>
      </c>
      <c r="N274" s="8" t="n">
        <v>0</v>
      </c>
      <c r="O274" s="8" t="n">
        <v>0</v>
      </c>
      <c r="P274" s="8" t="n">
        <v>10</v>
      </c>
      <c r="Q274" s="8" t="n">
        <v>0</v>
      </c>
      <c r="R274" s="8" t="n">
        <v>0</v>
      </c>
      <c r="S274" s="8" t="n">
        <v>0</v>
      </c>
      <c r="T274" s="8" t="n">
        <v>2.5</v>
      </c>
      <c r="U274" s="8" t="n">
        <v>9</v>
      </c>
      <c r="V274" s="8" t="n">
        <v>0</v>
      </c>
      <c r="W274" s="8" t="n">
        <v>77</v>
      </c>
      <c r="X274" s="8" t="n">
        <v>13.2</v>
      </c>
      <c r="Y274" s="8" t="n">
        <v>240</v>
      </c>
      <c r="Z274" s="8" t="n">
        <v>5.6</v>
      </c>
      <c r="AA274" s="8" t="n">
        <v>21</v>
      </c>
      <c r="AB274" s="8" t="inlineStr">
        <is>
          <t>200C x 72h, 25% compression, half-cut AS-214 O-ring (JIS K6262)</t>
        </is>
      </c>
      <c r="AC274" s="4" t="n">
        <v>200</v>
      </c>
      <c r="AD274" s="4">
        <f>I274+J274+K274+L274+M274+N274+O274+P274</f>
        <v/>
      </c>
      <c r="AE274" s="4" t="n">
        <v>1</v>
      </c>
      <c r="AF274" s="4" t="n">
        <v>1</v>
      </c>
      <c r="AG274" s="4" t="n">
        <v>1</v>
      </c>
      <c r="AH274" s="4" t="n">
        <v>1</v>
      </c>
      <c r="AI274" s="4" t="n">
        <v>1</v>
      </c>
    </row>
    <row r="275">
      <c r="A275" s="4" t="inlineStr">
        <is>
          <t>G274</t>
        </is>
      </c>
      <c r="B275" s="8" t="inlineStr">
        <is>
          <t>US20230174763A1</t>
        </is>
      </c>
      <c r="C275" s="8" t="inlineStr">
        <is>
          <t>Mitsubishi Cable Industries, Ltd.</t>
        </is>
      </c>
      <c r="D275" s="8" t="inlineStr">
        <is>
          <t>Comparative Example 12</t>
        </is>
      </c>
      <c r="E275" s="8" t="inlineStr">
        <is>
          <t>FKM</t>
        </is>
      </c>
      <c r="F275" s="8" t="inlineStr">
        <is>
          <t>Viton A-50 (Chemours)</t>
        </is>
      </c>
      <c r="G275" s="8" t="inlineStr">
        <is>
          <t>bisphenol</t>
        </is>
      </c>
      <c r="H275" s="8" t="n">
        <v>100</v>
      </c>
      <c r="I275" s="8" t="n">
        <v>0</v>
      </c>
      <c r="J275" s="8" t="n">
        <v>0</v>
      </c>
      <c r="K275" s="8" t="n">
        <v>0</v>
      </c>
      <c r="L275" s="8" t="n">
        <v>0</v>
      </c>
      <c r="M275" s="8" t="n">
        <v>0</v>
      </c>
      <c r="N275" s="8" t="n">
        <v>0</v>
      </c>
      <c r="O275" s="8" t="n">
        <v>0</v>
      </c>
      <c r="P275" s="8" t="n">
        <v>0</v>
      </c>
      <c r="Q275" s="8" t="n">
        <v>0</v>
      </c>
      <c r="R275" s="8" t="n">
        <v>0</v>
      </c>
      <c r="S275" s="8" t="n">
        <v>0</v>
      </c>
      <c r="T275" s="8" t="n">
        <v>2.5</v>
      </c>
      <c r="U275" s="8" t="n">
        <v>9</v>
      </c>
      <c r="V275" s="8" t="n">
        <v>0</v>
      </c>
      <c r="W275" s="8" t="n">
        <v>56</v>
      </c>
      <c r="X275" s="8" t="n">
        <v>8.199999999999999</v>
      </c>
      <c r="Y275" s="8" t="n">
        <v>290</v>
      </c>
      <c r="Z275" s="8" t="n">
        <v>1.8</v>
      </c>
      <c r="AA275" s="8" t="n">
        <v>19</v>
      </c>
      <c r="AB275" s="8" t="inlineStr">
        <is>
          <t>200C x 72h, 25% compression, half-cut AS-214 O-ring (JIS K6262)</t>
        </is>
      </c>
      <c r="AC275" s="4" t="n">
        <v>200</v>
      </c>
      <c r="AD275" s="4">
        <f>I275+J275+K275+L275+M275+N275+O275+P275</f>
        <v/>
      </c>
      <c r="AE275" s="4" t="n">
        <v>1</v>
      </c>
      <c r="AF275" s="4" t="n">
        <v>1</v>
      </c>
      <c r="AG275" s="4" t="n">
        <v>1</v>
      </c>
      <c r="AH275" s="4" t="n">
        <v>1</v>
      </c>
      <c r="AI275" s="4" t="n">
        <v>1</v>
      </c>
    </row>
    <row r="276">
      <c r="A276" s="4" t="inlineStr">
        <is>
          <t>G275</t>
        </is>
      </c>
      <c r="B276" s="8" t="inlineStr">
        <is>
          <t>US20230174763A1</t>
        </is>
      </c>
      <c r="C276" s="8" t="inlineStr">
        <is>
          <t>Mitsubishi Cable Industries, Ltd.</t>
        </is>
      </c>
      <c r="D276" s="8" t="inlineStr">
        <is>
          <t>Comparative Example 13</t>
        </is>
      </c>
      <c r="E276" s="8" t="inlineStr">
        <is>
          <t>FKM</t>
        </is>
      </c>
      <c r="F276" s="8" t="inlineStr">
        <is>
          <t>Viton A-50 (Chemours)</t>
        </is>
      </c>
      <c r="G276" s="8" t="inlineStr">
        <is>
          <t>bisphenol</t>
        </is>
      </c>
      <c r="H276" s="8" t="n">
        <v>100</v>
      </c>
      <c r="I276" s="8" t="n">
        <v>0</v>
      </c>
      <c r="J276" s="8" t="n">
        <v>0</v>
      </c>
      <c r="K276" s="8" t="n">
        <v>0</v>
      </c>
      <c r="L276" s="8" t="n">
        <v>0</v>
      </c>
      <c r="M276" s="8" t="n">
        <v>0</v>
      </c>
      <c r="N276" s="8" t="n">
        <v>0</v>
      </c>
      <c r="O276" s="8" t="n">
        <v>0</v>
      </c>
      <c r="P276" s="8" t="n">
        <v>10</v>
      </c>
      <c r="Q276" s="8" t="n">
        <v>0</v>
      </c>
      <c r="R276" s="8" t="n">
        <v>0</v>
      </c>
      <c r="S276" s="8" t="n">
        <v>0</v>
      </c>
      <c r="T276" s="8" t="n">
        <v>2.5</v>
      </c>
      <c r="U276" s="8" t="n">
        <v>9</v>
      </c>
      <c r="V276" s="8" t="n">
        <v>0</v>
      </c>
      <c r="W276" s="8" t="n">
        <v>64</v>
      </c>
      <c r="X276" s="8" t="n">
        <v>10.5</v>
      </c>
      <c r="Y276" s="8" t="n">
        <v>250</v>
      </c>
      <c r="Z276" s="8" t="n">
        <v>2.8</v>
      </c>
      <c r="AA276" s="8" t="n">
        <v>20</v>
      </c>
      <c r="AB276" s="8" t="inlineStr">
        <is>
          <t>200C x 72h, 25% compression, half-cut AS-214 O-ring (JIS K6262)</t>
        </is>
      </c>
      <c r="AC276" s="4" t="n">
        <v>200</v>
      </c>
      <c r="AD276" s="4">
        <f>I276+J276+K276+L276+M276+N276+O276+P276</f>
        <v/>
      </c>
      <c r="AE276" s="4" t="n">
        <v>1</v>
      </c>
      <c r="AF276" s="4" t="n">
        <v>1</v>
      </c>
      <c r="AG276" s="4" t="n">
        <v>1</v>
      </c>
      <c r="AH276" s="4" t="n">
        <v>1</v>
      </c>
      <c r="AI276" s="4" t="n">
        <v>1</v>
      </c>
    </row>
    <row r="277">
      <c r="A277" s="4" t="inlineStr">
        <is>
          <t>G276</t>
        </is>
      </c>
      <c r="B277" s="8" t="inlineStr">
        <is>
          <t>US20230174763A1</t>
        </is>
      </c>
      <c r="C277" s="8" t="inlineStr">
        <is>
          <t>Mitsubishi Cable Industries, Ltd.</t>
        </is>
      </c>
      <c r="D277" s="8" t="inlineStr">
        <is>
          <t>Comparative Example 14</t>
        </is>
      </c>
      <c r="E277" s="8" t="inlineStr">
        <is>
          <t>FKM</t>
        </is>
      </c>
      <c r="F277" s="8" t="inlineStr">
        <is>
          <t>Viton A-50 (Chemours)</t>
        </is>
      </c>
      <c r="G277" s="8" t="inlineStr">
        <is>
          <t>bisphenol</t>
        </is>
      </c>
      <c r="H277" s="8" t="n">
        <v>100</v>
      </c>
      <c r="I277" s="8" t="n">
        <v>0</v>
      </c>
      <c r="J277" s="8" t="n">
        <v>10</v>
      </c>
      <c r="K277" s="8" t="n">
        <v>0</v>
      </c>
      <c r="L277" s="8" t="n">
        <v>0</v>
      </c>
      <c r="M277" s="8" t="n">
        <v>0</v>
      </c>
      <c r="N277" s="8" t="n">
        <v>0</v>
      </c>
      <c r="O277" s="8" t="n">
        <v>0</v>
      </c>
      <c r="P277" s="8" t="n">
        <v>0</v>
      </c>
      <c r="Q277" s="8" t="n">
        <v>0</v>
      </c>
      <c r="R277" s="8" t="n">
        <v>0</v>
      </c>
      <c r="S277" s="8" t="n">
        <v>0</v>
      </c>
      <c r="T277" s="8" t="n">
        <v>2.5</v>
      </c>
      <c r="U277" s="8" t="n">
        <v>9</v>
      </c>
      <c r="V277" s="8" t="n">
        <v>0</v>
      </c>
      <c r="W277" s="8" t="n">
        <v>73</v>
      </c>
      <c r="X277" s="8" t="n">
        <v>15.1</v>
      </c>
      <c r="Y277" s="8" t="n">
        <v>240</v>
      </c>
      <c r="Z277" s="8" t="n">
        <v>4.7</v>
      </c>
      <c r="AA277" s="8" t="n">
        <v>28</v>
      </c>
      <c r="AB277" s="8" t="inlineStr">
        <is>
          <t>200C x 72h, 25% compression, half-cut AS-214 O-ring (JIS K6262)</t>
        </is>
      </c>
      <c r="AC277" s="4" t="n">
        <v>200</v>
      </c>
      <c r="AD277" s="4">
        <f>I277+J277+K277+L277+M277+N277+O277+P277</f>
        <v/>
      </c>
      <c r="AE277" s="4" t="n">
        <v>1</v>
      </c>
      <c r="AF277" s="4" t="n">
        <v>1</v>
      </c>
      <c r="AG277" s="4" t="n">
        <v>1</v>
      </c>
      <c r="AH277" s="4" t="n">
        <v>1</v>
      </c>
      <c r="AI277" s="4" t="n">
        <v>1</v>
      </c>
    </row>
    <row r="278">
      <c r="A278" s="4" t="inlineStr">
        <is>
          <t>G277</t>
        </is>
      </c>
      <c r="B278" s="8" t="inlineStr">
        <is>
          <t>US20230365800A1</t>
        </is>
      </c>
      <c r="C278" s="8" t="inlineStr">
        <is>
          <t>Valqua, Ltd.</t>
        </is>
      </c>
      <c r="D278" s="8" t="inlineStr">
        <is>
          <t>Example 1</t>
        </is>
      </c>
      <c r="E278" s="8" t="inlineStr">
        <is>
          <t>FKM</t>
        </is>
      </c>
      <c r="F278" s="8" t="inlineStr">
        <is>
          <t>Tecnoflon P959 80 + Tecnoflon P757 20</t>
        </is>
      </c>
      <c r="G278" s="8" t="inlineStr">
        <is>
          <t>peroxide</t>
        </is>
      </c>
      <c r="H278" s="8" t="n">
        <v>100</v>
      </c>
      <c r="I278" s="8" t="n">
        <v>0</v>
      </c>
      <c r="J278" s="8" t="n">
        <v>0</v>
      </c>
      <c r="K278" s="8" t="n">
        <v>0</v>
      </c>
      <c r="L278" s="8" t="n">
        <v>0</v>
      </c>
      <c r="M278" s="8" t="n">
        <v>0</v>
      </c>
      <c r="N278" s="8" t="n">
        <v>0</v>
      </c>
      <c r="O278" s="8" t="n">
        <v>0</v>
      </c>
      <c r="P278" s="8" t="n">
        <v>0</v>
      </c>
      <c r="Q278" s="8" t="n">
        <v>6</v>
      </c>
      <c r="R278" s="8" t="n">
        <v>0.5</v>
      </c>
      <c r="S278" s="8" t="n">
        <v>0</v>
      </c>
      <c r="T278" s="8" t="n">
        <v>0</v>
      </c>
      <c r="U278" s="8" t="n">
        <v>0</v>
      </c>
      <c r="V278" s="8" t="n">
        <v>2</v>
      </c>
      <c r="W278" s="8" t="n">
        <v>66</v>
      </c>
      <c r="X278" s="8" t="n">
        <v>14.4</v>
      </c>
      <c r="Y278" s="8" t="n">
        <v>180</v>
      </c>
      <c r="Z278" s="8" t="n">
        <v>4.4</v>
      </c>
      <c r="AA278" s="8" t="n"/>
      <c r="AB278" s="8" t="n"/>
      <c r="AC278" s="4" t="n"/>
      <c r="AD278" s="4">
        <f>I278+J278+K278+L278+M278+N278+O278+P278</f>
        <v/>
      </c>
      <c r="AE278" s="4" t="n">
        <v>1</v>
      </c>
      <c r="AF278" s="4" t="n">
        <v>1</v>
      </c>
      <c r="AG278" s="4" t="n">
        <v>1</v>
      </c>
      <c r="AH278" s="4" t="n">
        <v>1</v>
      </c>
      <c r="AI278" s="4" t="n">
        <v>0</v>
      </c>
    </row>
    <row r="279">
      <c r="A279" s="4" t="inlineStr">
        <is>
          <t>G278</t>
        </is>
      </c>
      <c r="B279" s="8" t="inlineStr">
        <is>
          <t>US20230365800A1</t>
        </is>
      </c>
      <c r="C279" s="8" t="inlineStr">
        <is>
          <t>Valqua, Ltd.</t>
        </is>
      </c>
      <c r="D279" s="8" t="inlineStr">
        <is>
          <t>Example 2</t>
        </is>
      </c>
      <c r="E279" s="8" t="inlineStr">
        <is>
          <t>FKM</t>
        </is>
      </c>
      <c r="F279" s="8" t="inlineStr">
        <is>
          <t>Tecnoflon P959 70 + Tecnoflon P757 30</t>
        </is>
      </c>
      <c r="G279" s="8" t="inlineStr">
        <is>
          <t>peroxide</t>
        </is>
      </c>
      <c r="H279" s="8" t="n">
        <v>100</v>
      </c>
      <c r="I279" s="8" t="n">
        <v>0</v>
      </c>
      <c r="J279" s="8" t="n">
        <v>0</v>
      </c>
      <c r="K279" s="8" t="n">
        <v>0</v>
      </c>
      <c r="L279" s="8" t="n">
        <v>0</v>
      </c>
      <c r="M279" s="8" t="n">
        <v>0</v>
      </c>
      <c r="N279" s="8" t="n">
        <v>0</v>
      </c>
      <c r="O279" s="8" t="n">
        <v>0</v>
      </c>
      <c r="P279" s="8" t="n">
        <v>0</v>
      </c>
      <c r="Q279" s="8" t="n">
        <v>6</v>
      </c>
      <c r="R279" s="8" t="n">
        <v>0.5</v>
      </c>
      <c r="S279" s="8" t="n">
        <v>0</v>
      </c>
      <c r="T279" s="8" t="n">
        <v>0</v>
      </c>
      <c r="U279" s="8" t="n">
        <v>0</v>
      </c>
      <c r="V279" s="8" t="n">
        <v>2</v>
      </c>
      <c r="W279" s="8" t="n">
        <v>66</v>
      </c>
      <c r="X279" s="8" t="n">
        <v>15.6</v>
      </c>
      <c r="Y279" s="8" t="n">
        <v>180</v>
      </c>
      <c r="Z279" s="8" t="n">
        <v>4.5</v>
      </c>
      <c r="AA279" s="8" t="n"/>
      <c r="AB279" s="8" t="n"/>
      <c r="AC279" s="4" t="n"/>
      <c r="AD279" s="4">
        <f>I279+J279+K279+L279+M279+N279+O279+P279</f>
        <v/>
      </c>
      <c r="AE279" s="4" t="n">
        <v>1</v>
      </c>
      <c r="AF279" s="4" t="n">
        <v>1</v>
      </c>
      <c r="AG279" s="4" t="n">
        <v>1</v>
      </c>
      <c r="AH279" s="4" t="n">
        <v>1</v>
      </c>
      <c r="AI279" s="4" t="n">
        <v>0</v>
      </c>
    </row>
    <row r="280">
      <c r="A280" s="4" t="inlineStr">
        <is>
          <t>G279</t>
        </is>
      </c>
      <c r="B280" s="8" t="inlineStr">
        <is>
          <t>US20230365800A1</t>
        </is>
      </c>
      <c r="C280" s="8" t="inlineStr">
        <is>
          <t>Valqua, Ltd.</t>
        </is>
      </c>
      <c r="D280" s="8" t="inlineStr">
        <is>
          <t>Example 3</t>
        </is>
      </c>
      <c r="E280" s="8" t="inlineStr">
        <is>
          <t>FKM</t>
        </is>
      </c>
      <c r="F280" s="8" t="inlineStr">
        <is>
          <t>Tecnoflon P959 45 + Tecnoflon P459 45 + Tecnoflon P757 10</t>
        </is>
      </c>
      <c r="G280" s="8" t="inlineStr">
        <is>
          <t>peroxide</t>
        </is>
      </c>
      <c r="H280" s="8" t="n">
        <v>100</v>
      </c>
      <c r="I280" s="8" t="n">
        <v>0</v>
      </c>
      <c r="J280" s="8" t="n">
        <v>0</v>
      </c>
      <c r="K280" s="8" t="n">
        <v>0</v>
      </c>
      <c r="L280" s="8" t="n">
        <v>0</v>
      </c>
      <c r="M280" s="8" t="n">
        <v>0</v>
      </c>
      <c r="N280" s="8" t="n">
        <v>0</v>
      </c>
      <c r="O280" s="8" t="n">
        <v>0</v>
      </c>
      <c r="P280" s="8" t="n">
        <v>0</v>
      </c>
      <c r="Q280" s="8" t="n">
        <v>6</v>
      </c>
      <c r="R280" s="8" t="n">
        <v>0.5</v>
      </c>
      <c r="S280" s="8" t="n">
        <v>0</v>
      </c>
      <c r="T280" s="8" t="n">
        <v>0</v>
      </c>
      <c r="U280" s="8" t="n">
        <v>0</v>
      </c>
      <c r="V280" s="8" t="n">
        <v>2</v>
      </c>
      <c r="W280" s="8" t="n">
        <v>67</v>
      </c>
      <c r="X280" s="8" t="n">
        <v>14.4</v>
      </c>
      <c r="Y280" s="8" t="n">
        <v>170</v>
      </c>
      <c r="Z280" s="8" t="n">
        <v>5</v>
      </c>
      <c r="AA280" s="8" t="n"/>
      <c r="AB280" s="8" t="n"/>
      <c r="AC280" s="4" t="n"/>
      <c r="AD280" s="4">
        <f>I280+J280+K280+L280+M280+N280+O280+P280</f>
        <v/>
      </c>
      <c r="AE280" s="4" t="n">
        <v>1</v>
      </c>
      <c r="AF280" s="4" t="n">
        <v>1</v>
      </c>
      <c r="AG280" s="4" t="n">
        <v>1</v>
      </c>
      <c r="AH280" s="4" t="n">
        <v>1</v>
      </c>
      <c r="AI280" s="4" t="n">
        <v>0</v>
      </c>
    </row>
    <row r="281">
      <c r="A281" s="4" t="inlineStr">
        <is>
          <t>G280</t>
        </is>
      </c>
      <c r="B281" s="8" t="inlineStr">
        <is>
          <t>US20230365800A1</t>
        </is>
      </c>
      <c r="C281" s="8" t="inlineStr">
        <is>
          <t>Valqua, Ltd.</t>
        </is>
      </c>
      <c r="D281" s="8" t="inlineStr">
        <is>
          <t>Example 4</t>
        </is>
      </c>
      <c r="E281" s="8" t="inlineStr">
        <is>
          <t>FKM</t>
        </is>
      </c>
      <c r="F281" s="8" t="inlineStr">
        <is>
          <t>Tecnoflon P959 65 + Tecnoflon P459 25 + Tecnoflon P757 10</t>
        </is>
      </c>
      <c r="G281" s="8" t="inlineStr">
        <is>
          <t>peroxide</t>
        </is>
      </c>
      <c r="H281" s="8" t="n">
        <v>100</v>
      </c>
      <c r="I281" s="8" t="n">
        <v>0</v>
      </c>
      <c r="J281" s="8" t="n">
        <v>0</v>
      </c>
      <c r="K281" s="8" t="n">
        <v>0</v>
      </c>
      <c r="L281" s="8" t="n">
        <v>0</v>
      </c>
      <c r="M281" s="8" t="n">
        <v>0</v>
      </c>
      <c r="N281" s="8" t="n">
        <v>0</v>
      </c>
      <c r="O281" s="8" t="n">
        <v>0</v>
      </c>
      <c r="P281" s="8" t="n">
        <v>0</v>
      </c>
      <c r="Q281" s="8" t="n">
        <v>6</v>
      </c>
      <c r="R281" s="8" t="n">
        <v>0.5</v>
      </c>
      <c r="S281" s="8" t="n">
        <v>0</v>
      </c>
      <c r="T281" s="8" t="n">
        <v>0</v>
      </c>
      <c r="U281" s="8" t="n">
        <v>0</v>
      </c>
      <c r="V281" s="8" t="n">
        <v>2</v>
      </c>
      <c r="W281" s="8" t="n">
        <v>67</v>
      </c>
      <c r="X281" s="8" t="n">
        <v>13.6</v>
      </c>
      <c r="Y281" s="8" t="n">
        <v>160</v>
      </c>
      <c r="Z281" s="8" t="n">
        <v>5.7</v>
      </c>
      <c r="AA281" s="8" t="n"/>
      <c r="AB281" s="8" t="n"/>
      <c r="AC281" s="4" t="n"/>
      <c r="AD281" s="4">
        <f>I281+J281+K281+L281+M281+N281+O281+P281</f>
        <v/>
      </c>
      <c r="AE281" s="4" t="n">
        <v>1</v>
      </c>
      <c r="AF281" s="4" t="n">
        <v>1</v>
      </c>
      <c r="AG281" s="4" t="n">
        <v>1</v>
      </c>
      <c r="AH281" s="4" t="n">
        <v>1</v>
      </c>
      <c r="AI281" s="4" t="n">
        <v>0</v>
      </c>
    </row>
    <row r="282">
      <c r="A282" s="4" t="inlineStr">
        <is>
          <t>G281</t>
        </is>
      </c>
      <c r="B282" s="8" t="inlineStr">
        <is>
          <t>US20230365800A1</t>
        </is>
      </c>
      <c r="C282" s="8" t="inlineStr">
        <is>
          <t>Valqua, Ltd.</t>
        </is>
      </c>
      <c r="D282" s="8" t="inlineStr">
        <is>
          <t>Example 5</t>
        </is>
      </c>
      <c r="E282" s="8" t="inlineStr">
        <is>
          <t>FKM</t>
        </is>
      </c>
      <c r="F282" s="8" t="inlineStr">
        <is>
          <t>Tecnoflon P959 20 + Tecnoflon P459 60 + Tecnoflon P757 20</t>
        </is>
      </c>
      <c r="G282" s="8" t="inlineStr">
        <is>
          <t>peroxide</t>
        </is>
      </c>
      <c r="H282" s="8" t="n">
        <v>100</v>
      </c>
      <c r="I282" s="8" t="n">
        <v>0</v>
      </c>
      <c r="J282" s="8" t="n">
        <v>0</v>
      </c>
      <c r="K282" s="8" t="n">
        <v>0</v>
      </c>
      <c r="L282" s="8" t="n">
        <v>0</v>
      </c>
      <c r="M282" s="8" t="n">
        <v>0</v>
      </c>
      <c r="N282" s="8" t="n">
        <v>0</v>
      </c>
      <c r="O282" s="8" t="n">
        <v>0</v>
      </c>
      <c r="P282" s="8" t="n">
        <v>0</v>
      </c>
      <c r="Q282" s="8" t="n">
        <v>6</v>
      </c>
      <c r="R282" s="8" t="n">
        <v>0.5</v>
      </c>
      <c r="S282" s="8" t="n">
        <v>0</v>
      </c>
      <c r="T282" s="8" t="n">
        <v>0</v>
      </c>
      <c r="U282" s="8" t="n">
        <v>0</v>
      </c>
      <c r="V282" s="8" t="n">
        <v>2</v>
      </c>
      <c r="W282" s="8" t="n">
        <v>66</v>
      </c>
      <c r="X282" s="8" t="n">
        <v>11.1</v>
      </c>
      <c r="Y282" s="8" t="n">
        <v>150</v>
      </c>
      <c r="Z282" s="8" t="n">
        <v>5.4</v>
      </c>
      <c r="AA282" s="8" t="n"/>
      <c r="AB282" s="8" t="n"/>
      <c r="AC282" s="4" t="n"/>
      <c r="AD282" s="4">
        <f>I282+J282+K282+L282+M282+N282+O282+P282</f>
        <v/>
      </c>
      <c r="AE282" s="4" t="n">
        <v>1</v>
      </c>
      <c r="AF282" s="4" t="n">
        <v>1</v>
      </c>
      <c r="AG282" s="4" t="n">
        <v>1</v>
      </c>
      <c r="AH282" s="4" t="n">
        <v>1</v>
      </c>
      <c r="AI282" s="4" t="n">
        <v>0</v>
      </c>
    </row>
    <row r="283">
      <c r="A283" s="4" t="inlineStr">
        <is>
          <t>G282</t>
        </is>
      </c>
      <c r="B283" s="8" t="inlineStr">
        <is>
          <t>US20230365800A1</t>
        </is>
      </c>
      <c r="C283" s="8" t="inlineStr">
        <is>
          <t>Valqua, Ltd.</t>
        </is>
      </c>
      <c r="D283" s="8" t="inlineStr">
        <is>
          <t>Example 6</t>
        </is>
      </c>
      <c r="E283" s="8" t="inlineStr">
        <is>
          <t>FKM</t>
        </is>
      </c>
      <c r="F283" s="8" t="inlineStr">
        <is>
          <t>Tecnoflon P959 40 + Tecnoflon P459 40 + Tecnoflon P757 20</t>
        </is>
      </c>
      <c r="G283" s="8" t="inlineStr">
        <is>
          <t>peroxide</t>
        </is>
      </c>
      <c r="H283" s="8" t="n">
        <v>100</v>
      </c>
      <c r="I283" s="8" t="n">
        <v>0</v>
      </c>
      <c r="J283" s="8" t="n">
        <v>0</v>
      </c>
      <c r="K283" s="8" t="n">
        <v>0</v>
      </c>
      <c r="L283" s="8" t="n">
        <v>0</v>
      </c>
      <c r="M283" s="8" t="n">
        <v>0</v>
      </c>
      <c r="N283" s="8" t="n">
        <v>0</v>
      </c>
      <c r="O283" s="8" t="n">
        <v>0</v>
      </c>
      <c r="P283" s="8" t="n">
        <v>0</v>
      </c>
      <c r="Q283" s="8" t="n">
        <v>6</v>
      </c>
      <c r="R283" s="8" t="n">
        <v>0.5</v>
      </c>
      <c r="S283" s="8" t="n">
        <v>0</v>
      </c>
      <c r="T283" s="8" t="n">
        <v>0</v>
      </c>
      <c r="U283" s="8" t="n">
        <v>0</v>
      </c>
      <c r="V283" s="8" t="n">
        <v>2</v>
      </c>
      <c r="W283" s="8" t="n">
        <v>66</v>
      </c>
      <c r="X283" s="8" t="n">
        <v>11.8</v>
      </c>
      <c r="Y283" s="8" t="n">
        <v>150</v>
      </c>
      <c r="Z283" s="8" t="n">
        <v>5.7</v>
      </c>
      <c r="AA283" s="8" t="n"/>
      <c r="AB283" s="8" t="n"/>
      <c r="AC283" s="4" t="n"/>
      <c r="AD283" s="4">
        <f>I283+J283+K283+L283+M283+N283+O283+P283</f>
        <v/>
      </c>
      <c r="AE283" s="4" t="n">
        <v>1</v>
      </c>
      <c r="AF283" s="4" t="n">
        <v>1</v>
      </c>
      <c r="AG283" s="4" t="n">
        <v>1</v>
      </c>
      <c r="AH283" s="4" t="n">
        <v>1</v>
      </c>
      <c r="AI283" s="4" t="n">
        <v>0</v>
      </c>
    </row>
    <row r="284">
      <c r="A284" s="4" t="inlineStr">
        <is>
          <t>G283</t>
        </is>
      </c>
      <c r="B284" s="8" t="inlineStr">
        <is>
          <t>US20230365800A1</t>
        </is>
      </c>
      <c r="C284" s="8" t="inlineStr">
        <is>
          <t>Valqua, Ltd.</t>
        </is>
      </c>
      <c r="D284" s="8" t="inlineStr">
        <is>
          <t>Example 8</t>
        </is>
      </c>
      <c r="E284" s="8" t="inlineStr">
        <is>
          <t>FKM</t>
        </is>
      </c>
      <c r="F284" s="8" t="inlineStr">
        <is>
          <t>Tecnoflon P459 70 + Tecnoflon P757 30</t>
        </is>
      </c>
      <c r="G284" s="8" t="inlineStr">
        <is>
          <t>peroxide</t>
        </is>
      </c>
      <c r="H284" s="8" t="n">
        <v>100</v>
      </c>
      <c r="I284" s="8" t="n">
        <v>0</v>
      </c>
      <c r="J284" s="8" t="n">
        <v>0</v>
      </c>
      <c r="K284" s="8" t="n">
        <v>0</v>
      </c>
      <c r="L284" s="8" t="n">
        <v>0</v>
      </c>
      <c r="M284" s="8" t="n">
        <v>0</v>
      </c>
      <c r="N284" s="8" t="n">
        <v>0</v>
      </c>
      <c r="O284" s="8" t="n">
        <v>0</v>
      </c>
      <c r="P284" s="8" t="n">
        <v>0</v>
      </c>
      <c r="Q284" s="8" t="n">
        <v>6</v>
      </c>
      <c r="R284" s="8" t="n">
        <v>0.5</v>
      </c>
      <c r="S284" s="8" t="n">
        <v>0</v>
      </c>
      <c r="T284" s="8" t="n">
        <v>0</v>
      </c>
      <c r="U284" s="8" t="n">
        <v>0</v>
      </c>
      <c r="V284" s="8" t="n">
        <v>2</v>
      </c>
      <c r="W284" s="8" t="n">
        <v>66</v>
      </c>
      <c r="X284" s="8" t="n">
        <v>11.5</v>
      </c>
      <c r="Y284" s="8" t="n">
        <v>140</v>
      </c>
      <c r="Z284" s="8" t="n">
        <v>4.92</v>
      </c>
      <c r="AA284" s="8" t="n"/>
      <c r="AB284" s="8" t="n"/>
      <c r="AC284" s="4" t="n"/>
      <c r="AD284" s="4">
        <f>I284+J284+K284+L284+M284+N284+O284+P284</f>
        <v/>
      </c>
      <c r="AE284" s="4" t="n">
        <v>1</v>
      </c>
      <c r="AF284" s="4" t="n">
        <v>1</v>
      </c>
      <c r="AG284" s="4" t="n">
        <v>1</v>
      </c>
      <c r="AH284" s="4" t="n">
        <v>1</v>
      </c>
      <c r="AI284" s="4" t="n">
        <v>0</v>
      </c>
    </row>
    <row r="285">
      <c r="A285" s="4" t="inlineStr">
        <is>
          <t>G284</t>
        </is>
      </c>
      <c r="B285" s="8" t="inlineStr">
        <is>
          <t>US20230365800A1</t>
        </is>
      </c>
      <c r="C285" s="8" t="inlineStr">
        <is>
          <t>Valqua, Ltd.</t>
        </is>
      </c>
      <c r="D285" s="8" t="inlineStr">
        <is>
          <t>Example 9</t>
        </is>
      </c>
      <c r="E285" s="8" t="inlineStr">
        <is>
          <t>FKM</t>
        </is>
      </c>
      <c r="F285" s="8" t="inlineStr">
        <is>
          <t>DAI-EL G902 70 + Tecnoflon P757 30</t>
        </is>
      </c>
      <c r="G285" s="8" t="inlineStr">
        <is>
          <t>peroxide</t>
        </is>
      </c>
      <c r="H285" s="8" t="n">
        <v>100</v>
      </c>
      <c r="I285" s="8" t="n">
        <v>0</v>
      </c>
      <c r="J285" s="8" t="n">
        <v>0</v>
      </c>
      <c r="K285" s="8" t="n">
        <v>0</v>
      </c>
      <c r="L285" s="8" t="n">
        <v>0</v>
      </c>
      <c r="M285" s="8" t="n">
        <v>0</v>
      </c>
      <c r="N285" s="8" t="n">
        <v>0</v>
      </c>
      <c r="O285" s="8" t="n">
        <v>0</v>
      </c>
      <c r="P285" s="8" t="n">
        <v>0</v>
      </c>
      <c r="Q285" s="8" t="n">
        <v>6</v>
      </c>
      <c r="R285" s="8" t="n">
        <v>0.5</v>
      </c>
      <c r="S285" s="8" t="n">
        <v>0</v>
      </c>
      <c r="T285" s="8" t="n">
        <v>0</v>
      </c>
      <c r="U285" s="8" t="n">
        <v>0</v>
      </c>
      <c r="V285" s="8" t="n">
        <v>2</v>
      </c>
      <c r="W285" s="8" t="n">
        <v>63</v>
      </c>
      <c r="X285" s="8" t="n">
        <v>11.9</v>
      </c>
      <c r="Y285" s="8" t="n">
        <v>155</v>
      </c>
      <c r="Z285" s="8" t="n">
        <v>4</v>
      </c>
      <c r="AA285" s="8" t="n"/>
      <c r="AB285" s="8" t="n"/>
      <c r="AC285" s="4" t="n"/>
      <c r="AD285" s="4">
        <f>I285+J285+K285+L285+M285+N285+O285+P285</f>
        <v/>
      </c>
      <c r="AE285" s="4" t="n">
        <v>1</v>
      </c>
      <c r="AF285" s="4" t="n">
        <v>1</v>
      </c>
      <c r="AG285" s="4" t="n">
        <v>1</v>
      </c>
      <c r="AH285" s="4" t="n">
        <v>1</v>
      </c>
      <c r="AI285" s="4" t="n">
        <v>0</v>
      </c>
    </row>
    <row r="286">
      <c r="A286" s="4" t="inlineStr">
        <is>
          <t>G285</t>
        </is>
      </c>
      <c r="B286" s="8" t="inlineStr">
        <is>
          <t>US20230365800A1</t>
        </is>
      </c>
      <c r="C286" s="8" t="inlineStr">
        <is>
          <t>Valqua, Ltd.</t>
        </is>
      </c>
      <c r="D286" s="8" t="inlineStr">
        <is>
          <t>Comparative Example 3</t>
        </is>
      </c>
      <c r="E286" s="8" t="inlineStr">
        <is>
          <t>FKM</t>
        </is>
      </c>
      <c r="F286" s="8" t="inlineStr">
        <is>
          <t>Tecnoflon P457 70 + Tecnoflon P757 30</t>
        </is>
      </c>
      <c r="G286" s="8" t="inlineStr">
        <is>
          <t>peroxide</t>
        </is>
      </c>
      <c r="H286" s="8" t="n">
        <v>100</v>
      </c>
      <c r="I286" s="8" t="n">
        <v>0</v>
      </c>
      <c r="J286" s="8" t="n">
        <v>0</v>
      </c>
      <c r="K286" s="8" t="n">
        <v>0</v>
      </c>
      <c r="L286" s="8" t="n">
        <v>0</v>
      </c>
      <c r="M286" s="8" t="n">
        <v>0</v>
      </c>
      <c r="N286" s="8" t="n">
        <v>0</v>
      </c>
      <c r="O286" s="8" t="n">
        <v>0</v>
      </c>
      <c r="P286" s="8" t="n">
        <v>0</v>
      </c>
      <c r="Q286" s="8" t="n">
        <v>6</v>
      </c>
      <c r="R286" s="8" t="n">
        <v>0.5</v>
      </c>
      <c r="S286" s="8" t="n">
        <v>0</v>
      </c>
      <c r="T286" s="8" t="n">
        <v>0</v>
      </c>
      <c r="U286" s="8" t="n">
        <v>0</v>
      </c>
      <c r="V286" s="8" t="n">
        <v>2</v>
      </c>
      <c r="W286" s="8" t="n">
        <v>60</v>
      </c>
      <c r="X286" s="8" t="n">
        <v>7.2</v>
      </c>
      <c r="Y286" s="8" t="n">
        <v>150</v>
      </c>
      <c r="Z286" s="8" t="n">
        <v>2.2</v>
      </c>
      <c r="AA286" s="8" t="n"/>
      <c r="AB286" s="8" t="n"/>
      <c r="AC286" s="4" t="n"/>
      <c r="AD286" s="4">
        <f>I286+J286+K286+L286+M286+N286+O286+P286</f>
        <v/>
      </c>
      <c r="AE286" s="4" t="n">
        <v>1</v>
      </c>
      <c r="AF286" s="4" t="n">
        <v>1</v>
      </c>
      <c r="AG286" s="4" t="n">
        <v>1</v>
      </c>
      <c r="AH286" s="4" t="n">
        <v>1</v>
      </c>
      <c r="AI286" s="4" t="n">
        <v>0</v>
      </c>
    </row>
    <row r="287">
      <c r="A287" s="4" t="inlineStr">
        <is>
          <t>G286</t>
        </is>
      </c>
      <c r="B287" s="8" t="inlineStr">
        <is>
          <t>US20230365800A1</t>
        </is>
      </c>
      <c r="C287" s="8" t="inlineStr">
        <is>
          <t>Valqua, Ltd.</t>
        </is>
      </c>
      <c r="D287" s="8" t="inlineStr">
        <is>
          <t>Comparative Example 4</t>
        </is>
      </c>
      <c r="E287" s="8" t="inlineStr">
        <is>
          <t>FKM</t>
        </is>
      </c>
      <c r="F287" s="8" t="inlineStr">
        <is>
          <t>Tecnoflon P757</t>
        </is>
      </c>
      <c r="G287" s="8" t="inlineStr">
        <is>
          <t>peroxide</t>
        </is>
      </c>
      <c r="H287" s="8" t="n">
        <v>100</v>
      </c>
      <c r="I287" s="8" t="n">
        <v>0</v>
      </c>
      <c r="J287" s="8" t="n">
        <v>0</v>
      </c>
      <c r="K287" s="8" t="n">
        <v>0</v>
      </c>
      <c r="L287" s="8" t="n">
        <v>0</v>
      </c>
      <c r="M287" s="8" t="n">
        <v>0</v>
      </c>
      <c r="N287" s="8" t="n">
        <v>0</v>
      </c>
      <c r="O287" s="8" t="n">
        <v>0</v>
      </c>
      <c r="P287" s="8" t="n">
        <v>0</v>
      </c>
      <c r="Q287" s="8" t="n">
        <v>6</v>
      </c>
      <c r="R287" s="8" t="n">
        <v>0.5</v>
      </c>
      <c r="S287" s="8" t="n">
        <v>0</v>
      </c>
      <c r="T287" s="8" t="n">
        <v>0</v>
      </c>
      <c r="U287" s="8" t="n">
        <v>0</v>
      </c>
      <c r="V287" s="8" t="n">
        <v>2</v>
      </c>
      <c r="W287" s="8" t="n">
        <v>61</v>
      </c>
      <c r="X287" s="8" t="n">
        <v>9.9</v>
      </c>
      <c r="Y287" s="8" t="n">
        <v>195</v>
      </c>
      <c r="Z287" s="8" t="n">
        <v>3.09</v>
      </c>
      <c r="AA287" s="8" t="n"/>
      <c r="AB287" s="8" t="n"/>
      <c r="AC287" s="4" t="n"/>
      <c r="AD287" s="4">
        <f>I287+J287+K287+L287+M287+N287+O287+P287</f>
        <v/>
      </c>
      <c r="AE287" s="4" t="n">
        <v>1</v>
      </c>
      <c r="AF287" s="4" t="n">
        <v>1</v>
      </c>
      <c r="AG287" s="4" t="n">
        <v>1</v>
      </c>
      <c r="AH287" s="4" t="n">
        <v>1</v>
      </c>
      <c r="AI287" s="4" t="n">
        <v>0</v>
      </c>
    </row>
    <row r="288">
      <c r="A288" s="4" t="inlineStr">
        <is>
          <t>G287</t>
        </is>
      </c>
      <c r="B288" s="8" t="inlineStr">
        <is>
          <t>US20230365800A1</t>
        </is>
      </c>
      <c r="C288" s="8" t="inlineStr">
        <is>
          <t>Valqua, Ltd.</t>
        </is>
      </c>
      <c r="D288" s="8" t="inlineStr">
        <is>
          <t>Comparative Example 5</t>
        </is>
      </c>
      <c r="E288" s="8" t="inlineStr">
        <is>
          <t>FKM</t>
        </is>
      </c>
      <c r="F288" s="8" t="inlineStr">
        <is>
          <t>DAI-EL G912 70 + Tecnoflon PL855 30</t>
        </is>
      </c>
      <c r="G288" s="8" t="inlineStr">
        <is>
          <t>peroxide</t>
        </is>
      </c>
      <c r="H288" s="8" t="n">
        <v>100</v>
      </c>
      <c r="I288" s="8" t="n">
        <v>0</v>
      </c>
      <c r="J288" s="8" t="n">
        <v>0</v>
      </c>
      <c r="K288" s="8" t="n">
        <v>0</v>
      </c>
      <c r="L288" s="8" t="n">
        <v>0</v>
      </c>
      <c r="M288" s="8" t="n">
        <v>0</v>
      </c>
      <c r="N288" s="8" t="n">
        <v>0</v>
      </c>
      <c r="O288" s="8" t="n">
        <v>0</v>
      </c>
      <c r="P288" s="8" t="n">
        <v>0</v>
      </c>
      <c r="Q288" s="8" t="n">
        <v>6</v>
      </c>
      <c r="R288" s="8" t="n">
        <v>0.5</v>
      </c>
      <c r="S288" s="8" t="n">
        <v>0</v>
      </c>
      <c r="T288" s="8" t="n">
        <v>0</v>
      </c>
      <c r="U288" s="8" t="n">
        <v>0</v>
      </c>
      <c r="V288" s="8" t="n">
        <v>2</v>
      </c>
      <c r="W288" s="8" t="n">
        <v>65</v>
      </c>
      <c r="X288" s="8" t="n">
        <v>9.5</v>
      </c>
      <c r="Y288" s="8" t="n">
        <v>125</v>
      </c>
      <c r="Z288" s="8" t="n">
        <v>5.1</v>
      </c>
      <c r="AA288" s="8" t="n"/>
      <c r="AB288" s="8" t="n"/>
      <c r="AC288" s="4" t="n"/>
      <c r="AD288" s="4">
        <f>I288+J288+K288+L288+M288+N288+O288+P288</f>
        <v/>
      </c>
      <c r="AE288" s="4" t="n">
        <v>1</v>
      </c>
      <c r="AF288" s="4" t="n">
        <v>1</v>
      </c>
      <c r="AG288" s="4" t="n">
        <v>1</v>
      </c>
      <c r="AH288" s="4" t="n">
        <v>1</v>
      </c>
      <c r="AI288" s="4" t="n">
        <v>0</v>
      </c>
    </row>
    <row r="289">
      <c r="A289" s="4" t="inlineStr">
        <is>
          <t>G288</t>
        </is>
      </c>
      <c r="B289" s="8" t="inlineStr">
        <is>
          <t>US20230365800A1</t>
        </is>
      </c>
      <c r="C289" s="8" t="inlineStr">
        <is>
          <t>Valqua, Ltd.</t>
        </is>
      </c>
      <c r="D289" s="8" t="inlineStr">
        <is>
          <t>Example 10</t>
        </is>
      </c>
      <c r="E289" s="8" t="inlineStr">
        <is>
          <t>FKM</t>
        </is>
      </c>
      <c r="F289" s="8" t="inlineStr">
        <is>
          <t>DAI-EL G912 70 + Tecnoflon P757 30</t>
        </is>
      </c>
      <c r="G289" s="8" t="inlineStr">
        <is>
          <t>peroxide</t>
        </is>
      </c>
      <c r="H289" s="8" t="n">
        <v>100</v>
      </c>
      <c r="I289" s="8" t="n">
        <v>0</v>
      </c>
      <c r="J289" s="8" t="n">
        <v>0</v>
      </c>
      <c r="K289" s="8" t="n">
        <v>0</v>
      </c>
      <c r="L289" s="8" t="n">
        <v>0</v>
      </c>
      <c r="M289" s="8" t="n">
        <v>0</v>
      </c>
      <c r="N289" s="8" t="n">
        <v>0</v>
      </c>
      <c r="O289" s="8" t="n">
        <v>0</v>
      </c>
      <c r="P289" s="8" t="n">
        <v>0</v>
      </c>
      <c r="Q289" s="8" t="n">
        <v>6</v>
      </c>
      <c r="R289" s="8" t="n">
        <v>0.5</v>
      </c>
      <c r="S289" s="8" t="n">
        <v>0</v>
      </c>
      <c r="T289" s="8" t="n">
        <v>0</v>
      </c>
      <c r="U289" s="8" t="n">
        <v>0</v>
      </c>
      <c r="V289" s="8" t="n">
        <v>2</v>
      </c>
      <c r="W289" s="8" t="n">
        <v>67</v>
      </c>
      <c r="X289" s="8" t="n">
        <v>10.2</v>
      </c>
      <c r="Y289" s="8" t="n">
        <v>150</v>
      </c>
      <c r="Z289" s="8" t="n">
        <v>5.6</v>
      </c>
      <c r="AA289" s="8" t="n"/>
      <c r="AB289" s="8" t="n"/>
      <c r="AC289" s="4" t="n"/>
      <c r="AD289" s="4">
        <f>I289+J289+K289+L289+M289+N289+O289+P289</f>
        <v/>
      </c>
      <c r="AE289" s="4" t="n">
        <v>1</v>
      </c>
      <c r="AF289" s="4" t="n">
        <v>1</v>
      </c>
      <c r="AG289" s="4" t="n">
        <v>1</v>
      </c>
      <c r="AH289" s="4" t="n">
        <v>1</v>
      </c>
      <c r="AI289" s="4" t="n">
        <v>0</v>
      </c>
    </row>
    <row r="290">
      <c r="A290" s="4" t="inlineStr">
        <is>
          <t>G289</t>
        </is>
      </c>
      <c r="B290" s="8" t="inlineStr">
        <is>
          <t>US20230365800A1</t>
        </is>
      </c>
      <c r="C290" s="8" t="inlineStr">
        <is>
          <t>Valqua, Ltd.</t>
        </is>
      </c>
      <c r="D290" s="8" t="inlineStr">
        <is>
          <t>Example 11</t>
        </is>
      </c>
      <c r="E290" s="8" t="inlineStr">
        <is>
          <t>FKM</t>
        </is>
      </c>
      <c r="F290" s="8" t="inlineStr">
        <is>
          <t>DAI-EL G912 70 + Tecnoflon P757 30</t>
        </is>
      </c>
      <c r="G290" s="8" t="inlineStr">
        <is>
          <t>peroxide</t>
        </is>
      </c>
      <c r="H290" s="8" t="n">
        <v>100</v>
      </c>
      <c r="I290" s="8" t="n">
        <v>0</v>
      </c>
      <c r="J290" s="8" t="n">
        <v>0</v>
      </c>
      <c r="K290" s="8" t="n">
        <v>0</v>
      </c>
      <c r="L290" s="8" t="n">
        <v>0</v>
      </c>
      <c r="M290" s="8" t="n">
        <v>0</v>
      </c>
      <c r="N290" s="8" t="n">
        <v>0</v>
      </c>
      <c r="O290" s="8" t="n">
        <v>0</v>
      </c>
      <c r="P290" s="8" t="n">
        <v>0</v>
      </c>
      <c r="Q290" s="8" t="n">
        <v>6</v>
      </c>
      <c r="R290" s="8" t="n">
        <v>0.5</v>
      </c>
      <c r="S290" s="8" t="n">
        <v>0</v>
      </c>
      <c r="T290" s="8" t="n">
        <v>0</v>
      </c>
      <c r="U290" s="8" t="n">
        <v>0</v>
      </c>
      <c r="V290" s="8" t="n">
        <v>2</v>
      </c>
      <c r="W290" s="8" t="n">
        <v>70</v>
      </c>
      <c r="X290" s="8" t="n">
        <v>10.2</v>
      </c>
      <c r="Y290" s="8" t="n">
        <v>135</v>
      </c>
      <c r="Z290" s="8" t="n">
        <v>6.1</v>
      </c>
      <c r="AA290" s="8" t="n"/>
      <c r="AB290" s="8" t="n"/>
      <c r="AC290" s="4" t="n"/>
      <c r="AD290" s="4">
        <f>I290+J290+K290+L290+M290+N290+O290+P290</f>
        <v/>
      </c>
      <c r="AE290" s="4" t="n">
        <v>1</v>
      </c>
      <c r="AF290" s="4" t="n">
        <v>1</v>
      </c>
      <c r="AG290" s="4" t="n">
        <v>1</v>
      </c>
      <c r="AH290" s="4" t="n">
        <v>1</v>
      </c>
      <c r="AI290" s="4" t="n">
        <v>0</v>
      </c>
    </row>
    <row r="291">
      <c r="A291" s="4" t="inlineStr">
        <is>
          <t>G290</t>
        </is>
      </c>
      <c r="B291" s="8" t="inlineStr">
        <is>
          <t>EP4249550A1</t>
        </is>
      </c>
      <c r="C291" s="8" t="inlineStr">
        <is>
          <t>Mitsubishi Cable Industries, Ltd.</t>
        </is>
      </c>
      <c r="D291" s="8" t="inlineStr">
        <is>
          <t>Example 1</t>
        </is>
      </c>
      <c r="E291" s="8" t="inlineStr">
        <is>
          <t>FKM</t>
        </is>
      </c>
      <c r="F291" s="8" t="inlineStr">
        <is>
          <t>DAI-EL G912 (VDF/HFP/TFE)</t>
        </is>
      </c>
      <c r="G291" s="8" t="inlineStr">
        <is>
          <t>peroxide</t>
        </is>
      </c>
      <c r="H291" s="8" t="n">
        <v>100</v>
      </c>
      <c r="I291" s="8" t="n">
        <v>0</v>
      </c>
      <c r="J291" s="8" t="n">
        <v>10</v>
      </c>
      <c r="K291" s="8" t="n">
        <v>0</v>
      </c>
      <c r="L291" s="8" t="n">
        <v>0</v>
      </c>
      <c r="M291" s="8" t="n">
        <v>0</v>
      </c>
      <c r="N291" s="8" t="n">
        <v>0</v>
      </c>
      <c r="O291" s="8" t="n">
        <v>0</v>
      </c>
      <c r="P291" s="8" t="n">
        <v>0</v>
      </c>
      <c r="Q291" s="8" t="n">
        <v>4</v>
      </c>
      <c r="R291" s="8" t="n">
        <v>1.5</v>
      </c>
      <c r="S291" s="8" t="n">
        <v>0</v>
      </c>
      <c r="T291" s="8" t="n">
        <v>0</v>
      </c>
      <c r="U291" s="8" t="n">
        <v>0</v>
      </c>
      <c r="V291" s="8" t="n">
        <v>1</v>
      </c>
      <c r="W291" s="8" t="n">
        <v>73</v>
      </c>
      <c r="X291" s="8" t="n">
        <v>16.3</v>
      </c>
      <c r="Y291" s="8" t="n">
        <v>150</v>
      </c>
      <c r="Z291" s="8" t="n">
        <v>6</v>
      </c>
      <c r="AA291" s="8" t="n">
        <v>31</v>
      </c>
      <c r="AB291" s="8" t="inlineStr">
        <is>
          <t>200C x 72h, half-cut AS-214 O-ring (JIS K6262:2013)</t>
        </is>
      </c>
      <c r="AC291" s="4" t="n">
        <v>200</v>
      </c>
      <c r="AD291" s="4">
        <f>I291+J291+K291+L291+M291+N291+O291+P291</f>
        <v/>
      </c>
      <c r="AE291" s="4" t="n">
        <v>1</v>
      </c>
      <c r="AF291" s="4" t="n">
        <v>1</v>
      </c>
      <c r="AG291" s="4" t="n">
        <v>1</v>
      </c>
      <c r="AH291" s="4" t="n">
        <v>1</v>
      </c>
      <c r="AI291" s="4" t="n">
        <v>1</v>
      </c>
    </row>
    <row r="292">
      <c r="A292" s="4" t="inlineStr">
        <is>
          <t>G291</t>
        </is>
      </c>
      <c r="B292" s="8" t="inlineStr">
        <is>
          <t>EP4249550A1</t>
        </is>
      </c>
      <c r="C292" s="8" t="inlineStr">
        <is>
          <t>Mitsubishi Cable Industries, Ltd.</t>
        </is>
      </c>
      <c r="D292" s="8" t="inlineStr">
        <is>
          <t>Example 2</t>
        </is>
      </c>
      <c r="E292" s="8" t="inlineStr">
        <is>
          <t>FKM</t>
        </is>
      </c>
      <c r="F292" s="8" t="inlineStr">
        <is>
          <t>DAI-EL G912 (VDF/HFP/TFE)</t>
        </is>
      </c>
      <c r="G292" s="8" t="inlineStr">
        <is>
          <t>peroxide</t>
        </is>
      </c>
      <c r="H292" s="8" t="n">
        <v>100</v>
      </c>
      <c r="I292" s="8" t="n">
        <v>0</v>
      </c>
      <c r="J292" s="8" t="n">
        <v>0.2</v>
      </c>
      <c r="K292" s="8" t="n">
        <v>0</v>
      </c>
      <c r="L292" s="8" t="n">
        <v>0</v>
      </c>
      <c r="M292" s="8" t="n">
        <v>0</v>
      </c>
      <c r="N292" s="8" t="n">
        <v>0</v>
      </c>
      <c r="O292" s="8" t="n">
        <v>0</v>
      </c>
      <c r="P292" s="8" t="n">
        <v>0</v>
      </c>
      <c r="Q292" s="8" t="n">
        <v>4</v>
      </c>
      <c r="R292" s="8" t="n">
        <v>1.5</v>
      </c>
      <c r="S292" s="8" t="n">
        <v>0</v>
      </c>
      <c r="T292" s="8" t="n">
        <v>0</v>
      </c>
      <c r="U292" s="8" t="n">
        <v>0</v>
      </c>
      <c r="V292" s="8" t="n">
        <v>1</v>
      </c>
      <c r="W292" s="8" t="n">
        <v>57</v>
      </c>
      <c r="X292" s="8" t="n">
        <v>14.4</v>
      </c>
      <c r="Y292" s="8" t="n">
        <v>350</v>
      </c>
      <c r="Z292" s="8" t="n">
        <v>1.4</v>
      </c>
      <c r="AA292" s="8" t="n">
        <v>32</v>
      </c>
      <c r="AB292" s="8" t="inlineStr">
        <is>
          <t>200C x 72h, half-cut AS-214 O-ring (JIS K6262:2013)</t>
        </is>
      </c>
      <c r="AC292" s="4" t="n">
        <v>200</v>
      </c>
      <c r="AD292" s="4">
        <f>I292+J292+K292+L292+M292+N292+O292+P292</f>
        <v/>
      </c>
      <c r="AE292" s="4" t="n">
        <v>1</v>
      </c>
      <c r="AF292" s="4" t="n">
        <v>1</v>
      </c>
      <c r="AG292" s="4" t="n">
        <v>1</v>
      </c>
      <c r="AH292" s="4" t="n">
        <v>1</v>
      </c>
      <c r="AI292" s="4" t="n">
        <v>1</v>
      </c>
    </row>
    <row r="293">
      <c r="A293" s="4" t="inlineStr">
        <is>
          <t>G292</t>
        </is>
      </c>
      <c r="B293" s="8" t="inlineStr">
        <is>
          <t>EP4249550A1</t>
        </is>
      </c>
      <c r="C293" s="8" t="inlineStr">
        <is>
          <t>Mitsubishi Cable Industries, Ltd.</t>
        </is>
      </c>
      <c r="D293" s="8" t="inlineStr">
        <is>
          <t>Example 3</t>
        </is>
      </c>
      <c r="E293" s="8" t="inlineStr">
        <is>
          <t>FKM</t>
        </is>
      </c>
      <c r="F293" s="8" t="inlineStr">
        <is>
          <t>DAI-EL G912 (VDF/HFP/TFE)</t>
        </is>
      </c>
      <c r="G293" s="8" t="inlineStr">
        <is>
          <t>peroxide</t>
        </is>
      </c>
      <c r="H293" s="8" t="n">
        <v>100</v>
      </c>
      <c r="I293" s="8" t="n">
        <v>0</v>
      </c>
      <c r="J293" s="8" t="n">
        <v>10</v>
      </c>
      <c r="K293" s="8" t="n">
        <v>0</v>
      </c>
      <c r="L293" s="8" t="n">
        <v>0</v>
      </c>
      <c r="M293" s="8" t="n">
        <v>0</v>
      </c>
      <c r="N293" s="8" t="n">
        <v>0</v>
      </c>
      <c r="O293" s="8" t="n">
        <v>0</v>
      </c>
      <c r="P293" s="8" t="n">
        <v>0</v>
      </c>
      <c r="Q293" s="8" t="n">
        <v>4</v>
      </c>
      <c r="R293" s="8" t="n">
        <v>1.5</v>
      </c>
      <c r="S293" s="8" t="n">
        <v>0</v>
      </c>
      <c r="T293" s="8" t="n">
        <v>0</v>
      </c>
      <c r="U293" s="8" t="n">
        <v>0</v>
      </c>
      <c r="V293" s="8" t="n">
        <v>1</v>
      </c>
      <c r="W293" s="8" t="n">
        <v>72</v>
      </c>
      <c r="X293" s="8" t="n">
        <v>18.3</v>
      </c>
      <c r="Y293" s="8" t="n">
        <v>180</v>
      </c>
      <c r="Z293" s="8" t="n">
        <v>5.9</v>
      </c>
      <c r="AA293" s="8" t="n">
        <v>30</v>
      </c>
      <c r="AB293" s="8" t="inlineStr">
        <is>
          <t>200C x 72h, half-cut AS-214 O-ring (JIS K6262:2013)</t>
        </is>
      </c>
      <c r="AC293" s="4" t="n">
        <v>200</v>
      </c>
      <c r="AD293" s="4">
        <f>I293+J293+K293+L293+M293+N293+O293+P293</f>
        <v/>
      </c>
      <c r="AE293" s="4" t="n">
        <v>1</v>
      </c>
      <c r="AF293" s="4" t="n">
        <v>1</v>
      </c>
      <c r="AG293" s="4" t="n">
        <v>1</v>
      </c>
      <c r="AH293" s="4" t="n">
        <v>1</v>
      </c>
      <c r="AI293" s="4" t="n">
        <v>1</v>
      </c>
    </row>
    <row r="294">
      <c r="A294" s="4" t="inlineStr">
        <is>
          <t>G293</t>
        </is>
      </c>
      <c r="B294" s="8" t="inlineStr">
        <is>
          <t>EP4249550A1</t>
        </is>
      </c>
      <c r="C294" s="8" t="inlineStr">
        <is>
          <t>Mitsubishi Cable Industries, Ltd.</t>
        </is>
      </c>
      <c r="D294" s="8" t="inlineStr">
        <is>
          <t>Example 4</t>
        </is>
      </c>
      <c r="E294" s="8" t="inlineStr">
        <is>
          <t>FKM</t>
        </is>
      </c>
      <c r="F294" s="8" t="inlineStr">
        <is>
          <t>DAI-EL G912 (VDF/HFP/TFE)</t>
        </is>
      </c>
      <c r="G294" s="8" t="inlineStr">
        <is>
          <t>peroxide</t>
        </is>
      </c>
      <c r="H294" s="8" t="n">
        <v>100</v>
      </c>
      <c r="I294" s="8" t="n">
        <v>0</v>
      </c>
      <c r="J294" s="8" t="n">
        <v>10</v>
      </c>
      <c r="K294" s="8" t="n">
        <v>0</v>
      </c>
      <c r="L294" s="8" t="n">
        <v>0</v>
      </c>
      <c r="M294" s="8" t="n">
        <v>0</v>
      </c>
      <c r="N294" s="8" t="n">
        <v>0</v>
      </c>
      <c r="O294" s="8" t="n">
        <v>0</v>
      </c>
      <c r="P294" s="8" t="n">
        <v>0</v>
      </c>
      <c r="Q294" s="8" t="n">
        <v>4</v>
      </c>
      <c r="R294" s="8" t="n">
        <v>1.5</v>
      </c>
      <c r="S294" s="8" t="n">
        <v>0</v>
      </c>
      <c r="T294" s="8" t="n">
        <v>0</v>
      </c>
      <c r="U294" s="8" t="n">
        <v>0</v>
      </c>
      <c r="V294" s="8" t="n">
        <v>1</v>
      </c>
      <c r="W294" s="8" t="n">
        <v>71</v>
      </c>
      <c r="X294" s="8" t="n">
        <v>18.5</v>
      </c>
      <c r="Y294" s="8" t="n">
        <v>180</v>
      </c>
      <c r="Z294" s="8" t="n">
        <v>6.1</v>
      </c>
      <c r="AA294" s="8" t="n">
        <v>25</v>
      </c>
      <c r="AB294" s="8" t="inlineStr">
        <is>
          <t>200C x 72h, half-cut AS-214 O-ring (JIS K6262:2013)</t>
        </is>
      </c>
      <c r="AC294" s="4" t="n">
        <v>200</v>
      </c>
      <c r="AD294" s="4">
        <f>I294+J294+K294+L294+M294+N294+O294+P294</f>
        <v/>
      </c>
      <c r="AE294" s="4" t="n">
        <v>1</v>
      </c>
      <c r="AF294" s="4" t="n">
        <v>1</v>
      </c>
      <c r="AG294" s="4" t="n">
        <v>1</v>
      </c>
      <c r="AH294" s="4" t="n">
        <v>1</v>
      </c>
      <c r="AI294" s="4" t="n">
        <v>1</v>
      </c>
    </row>
    <row r="295">
      <c r="A295" s="4" t="inlineStr">
        <is>
          <t>G294</t>
        </is>
      </c>
      <c r="B295" s="8" t="inlineStr">
        <is>
          <t>EP4249550A1</t>
        </is>
      </c>
      <c r="C295" s="8" t="inlineStr">
        <is>
          <t>Mitsubishi Cable Industries, Ltd.</t>
        </is>
      </c>
      <c r="D295" s="8" t="inlineStr">
        <is>
          <t>Example 5</t>
        </is>
      </c>
      <c r="E295" s="8" t="inlineStr">
        <is>
          <t>FKM</t>
        </is>
      </c>
      <c r="F295" s="8" t="inlineStr">
        <is>
          <t>DAI-EL G912 (VDF/HFP/TFE)</t>
        </is>
      </c>
      <c r="G295" s="8" t="inlineStr">
        <is>
          <t>peroxide</t>
        </is>
      </c>
      <c r="H295" s="8" t="n">
        <v>100</v>
      </c>
      <c r="I295" s="8" t="n">
        <v>0</v>
      </c>
      <c r="J295" s="8" t="n">
        <v>10</v>
      </c>
      <c r="K295" s="8" t="n">
        <v>0</v>
      </c>
      <c r="L295" s="8" t="n">
        <v>0</v>
      </c>
      <c r="M295" s="8" t="n">
        <v>0</v>
      </c>
      <c r="N295" s="8" t="n">
        <v>0</v>
      </c>
      <c r="O295" s="8" t="n">
        <v>0</v>
      </c>
      <c r="P295" s="8" t="n">
        <v>0</v>
      </c>
      <c r="Q295" s="8" t="n">
        <v>4</v>
      </c>
      <c r="R295" s="8" t="n">
        <v>1.5</v>
      </c>
      <c r="S295" s="8" t="n">
        <v>0</v>
      </c>
      <c r="T295" s="8" t="n">
        <v>0</v>
      </c>
      <c r="U295" s="8" t="n">
        <v>0</v>
      </c>
      <c r="V295" s="8" t="n">
        <v>2</v>
      </c>
      <c r="W295" s="8" t="n">
        <v>71</v>
      </c>
      <c r="X295" s="8" t="n">
        <v>18.1</v>
      </c>
      <c r="Y295" s="8" t="n">
        <v>180</v>
      </c>
      <c r="Z295" s="8" t="n">
        <v>5.8</v>
      </c>
      <c r="AA295" s="8" t="n">
        <v>30</v>
      </c>
      <c r="AB295" s="8" t="inlineStr">
        <is>
          <t>200C x 72h, half-cut AS-214 O-ring (JIS K6262:2013)</t>
        </is>
      </c>
      <c r="AC295" s="4" t="n">
        <v>200</v>
      </c>
      <c r="AD295" s="4">
        <f>I295+J295+K295+L295+M295+N295+O295+P295</f>
        <v/>
      </c>
      <c r="AE295" s="4" t="n">
        <v>1</v>
      </c>
      <c r="AF295" s="4" t="n">
        <v>1</v>
      </c>
      <c r="AG295" s="4" t="n">
        <v>1</v>
      </c>
      <c r="AH295" s="4" t="n">
        <v>1</v>
      </c>
      <c r="AI295" s="4" t="n">
        <v>1</v>
      </c>
    </row>
    <row r="296">
      <c r="A296" s="4" t="inlineStr">
        <is>
          <t>G295</t>
        </is>
      </c>
      <c r="B296" s="8" t="inlineStr">
        <is>
          <t>EP4249550A1</t>
        </is>
      </c>
      <c r="C296" s="8" t="inlineStr">
        <is>
          <t>Mitsubishi Cable Industries, Ltd.</t>
        </is>
      </c>
      <c r="D296" s="8" t="inlineStr">
        <is>
          <t>Example 6</t>
        </is>
      </c>
      <c r="E296" s="8" t="inlineStr">
        <is>
          <t>FKM</t>
        </is>
      </c>
      <c r="F296" s="8" t="inlineStr">
        <is>
          <t>DAI-EL G912 (VDF/HFP/TFE)</t>
        </is>
      </c>
      <c r="G296" s="8" t="inlineStr">
        <is>
          <t>peroxide</t>
        </is>
      </c>
      <c r="H296" s="8" t="n">
        <v>100</v>
      </c>
      <c r="I296" s="8" t="n">
        <v>0</v>
      </c>
      <c r="J296" s="8" t="n">
        <v>10</v>
      </c>
      <c r="K296" s="8" t="n">
        <v>0</v>
      </c>
      <c r="L296" s="8" t="n">
        <v>0</v>
      </c>
      <c r="M296" s="8" t="n">
        <v>0</v>
      </c>
      <c r="N296" s="8" t="n">
        <v>0</v>
      </c>
      <c r="O296" s="8" t="n">
        <v>0</v>
      </c>
      <c r="P296" s="8" t="n">
        <v>0</v>
      </c>
      <c r="Q296" s="8" t="n">
        <v>4</v>
      </c>
      <c r="R296" s="8" t="n">
        <v>1.5</v>
      </c>
      <c r="S296" s="8" t="n">
        <v>0</v>
      </c>
      <c r="T296" s="8" t="n">
        <v>0</v>
      </c>
      <c r="U296" s="8" t="n">
        <v>0</v>
      </c>
      <c r="V296" s="8" t="n">
        <v>5</v>
      </c>
      <c r="W296" s="8" t="n">
        <v>69</v>
      </c>
      <c r="X296" s="8" t="n">
        <v>17.4</v>
      </c>
      <c r="Y296" s="8" t="n">
        <v>190</v>
      </c>
      <c r="Z296" s="8" t="n">
        <v>5.5</v>
      </c>
      <c r="AA296" s="8" t="n">
        <v>32</v>
      </c>
      <c r="AB296" s="8" t="inlineStr">
        <is>
          <t>200C x 72h, half-cut AS-214 O-ring (JIS K6262:2013)</t>
        </is>
      </c>
      <c r="AC296" s="4" t="n">
        <v>200</v>
      </c>
      <c r="AD296" s="4">
        <f>I296+J296+K296+L296+M296+N296+O296+P296</f>
        <v/>
      </c>
      <c r="AE296" s="4" t="n">
        <v>1</v>
      </c>
      <c r="AF296" s="4" t="n">
        <v>1</v>
      </c>
      <c r="AG296" s="4" t="n">
        <v>1</v>
      </c>
      <c r="AH296" s="4" t="n">
        <v>1</v>
      </c>
      <c r="AI296" s="4" t="n">
        <v>1</v>
      </c>
    </row>
    <row r="297">
      <c r="A297" s="4" t="inlineStr">
        <is>
          <t>G296</t>
        </is>
      </c>
      <c r="B297" s="8" t="inlineStr">
        <is>
          <t>EP4249550A1</t>
        </is>
      </c>
      <c r="C297" s="8" t="inlineStr">
        <is>
          <t>Mitsubishi Cable Industries, Ltd.</t>
        </is>
      </c>
      <c r="D297" s="8" t="inlineStr">
        <is>
          <t>Example 7</t>
        </is>
      </c>
      <c r="E297" s="8" t="inlineStr">
        <is>
          <t>FKM</t>
        </is>
      </c>
      <c r="F297" s="8" t="inlineStr">
        <is>
          <t>DAI-EL G912 (VDF/HFP/TFE)</t>
        </is>
      </c>
      <c r="G297" s="8" t="inlineStr">
        <is>
          <t>peroxide</t>
        </is>
      </c>
      <c r="H297" s="8" t="n">
        <v>100</v>
      </c>
      <c r="I297" s="8" t="n">
        <v>0</v>
      </c>
      <c r="J297" s="8" t="n">
        <v>10</v>
      </c>
      <c r="K297" s="8" t="n">
        <v>0</v>
      </c>
      <c r="L297" s="8" t="n">
        <v>0</v>
      </c>
      <c r="M297" s="8" t="n">
        <v>0</v>
      </c>
      <c r="N297" s="8" t="n">
        <v>0</v>
      </c>
      <c r="O297" s="8" t="n">
        <v>0</v>
      </c>
      <c r="P297" s="8" t="n">
        <v>0</v>
      </c>
      <c r="Q297" s="8" t="n">
        <v>4</v>
      </c>
      <c r="R297" s="8" t="n">
        <v>1.5</v>
      </c>
      <c r="S297" s="8" t="n">
        <v>0</v>
      </c>
      <c r="T297" s="8" t="n">
        <v>0</v>
      </c>
      <c r="U297" s="8" t="n">
        <v>0</v>
      </c>
      <c r="V297" s="8" t="n">
        <v>2</v>
      </c>
      <c r="W297" s="8" t="n">
        <v>71</v>
      </c>
      <c r="X297" s="8" t="n">
        <v>17.5</v>
      </c>
      <c r="Y297" s="8" t="n">
        <v>180</v>
      </c>
      <c r="Z297" s="8" t="n">
        <v>5.7</v>
      </c>
      <c r="AA297" s="8" t="n">
        <v>29</v>
      </c>
      <c r="AB297" s="8" t="inlineStr">
        <is>
          <t>200C x 72h, half-cut AS-214 O-ring (JIS K6262:2013)</t>
        </is>
      </c>
      <c r="AC297" s="4" t="n">
        <v>200</v>
      </c>
      <c r="AD297" s="4">
        <f>I297+J297+K297+L297+M297+N297+O297+P297</f>
        <v/>
      </c>
      <c r="AE297" s="4" t="n">
        <v>1</v>
      </c>
      <c r="AF297" s="4" t="n">
        <v>1</v>
      </c>
      <c r="AG297" s="4" t="n">
        <v>1</v>
      </c>
      <c r="AH297" s="4" t="n">
        <v>1</v>
      </c>
      <c r="AI297" s="4" t="n">
        <v>1</v>
      </c>
    </row>
    <row r="298">
      <c r="A298" s="4" t="inlineStr">
        <is>
          <t>G297</t>
        </is>
      </c>
      <c r="B298" s="8" t="inlineStr">
        <is>
          <t>EP4249550A1</t>
        </is>
      </c>
      <c r="C298" s="8" t="inlineStr">
        <is>
          <t>Mitsubishi Cable Industries, Ltd.</t>
        </is>
      </c>
      <c r="D298" s="8" t="inlineStr">
        <is>
          <t>Example 8</t>
        </is>
      </c>
      <c r="E298" s="8" t="inlineStr">
        <is>
          <t>FKM</t>
        </is>
      </c>
      <c r="F298" s="8" t="inlineStr">
        <is>
          <t>DAI-EL G912 (VDF/HFP/TFE)</t>
        </is>
      </c>
      <c r="G298" s="8" t="inlineStr">
        <is>
          <t>peroxide</t>
        </is>
      </c>
      <c r="H298" s="8" t="n">
        <v>100</v>
      </c>
      <c r="I298" s="8" t="n">
        <v>0</v>
      </c>
      <c r="J298" s="8" t="n">
        <v>10</v>
      </c>
      <c r="K298" s="8" t="n">
        <v>0</v>
      </c>
      <c r="L298" s="8" t="n">
        <v>0</v>
      </c>
      <c r="M298" s="8" t="n">
        <v>0</v>
      </c>
      <c r="N298" s="8" t="n">
        <v>0</v>
      </c>
      <c r="O298" s="8" t="n">
        <v>0</v>
      </c>
      <c r="P298" s="8" t="n">
        <v>0</v>
      </c>
      <c r="Q298" s="8" t="n">
        <v>4</v>
      </c>
      <c r="R298" s="8" t="n">
        <v>1.5</v>
      </c>
      <c r="S298" s="8" t="n">
        <v>0</v>
      </c>
      <c r="T298" s="8" t="n">
        <v>0</v>
      </c>
      <c r="U298" s="8" t="n">
        <v>0</v>
      </c>
      <c r="V298" s="8" t="n">
        <v>6</v>
      </c>
      <c r="W298" s="8" t="n">
        <v>68</v>
      </c>
      <c r="X298" s="8" t="n">
        <v>17.4</v>
      </c>
      <c r="Y298" s="8" t="n">
        <v>190</v>
      </c>
      <c r="Z298" s="8" t="n">
        <v>5.4</v>
      </c>
      <c r="AA298" s="8" t="n">
        <v>33</v>
      </c>
      <c r="AB298" s="8" t="inlineStr">
        <is>
          <t>200C x 72h, half-cut AS-214 O-ring (JIS K6262:2013)</t>
        </is>
      </c>
      <c r="AC298" s="4" t="n">
        <v>200</v>
      </c>
      <c r="AD298" s="4">
        <f>I298+J298+K298+L298+M298+N298+O298+P298</f>
        <v/>
      </c>
      <c r="AE298" s="4" t="n">
        <v>1</v>
      </c>
      <c r="AF298" s="4" t="n">
        <v>1</v>
      </c>
      <c r="AG298" s="4" t="n">
        <v>1</v>
      </c>
      <c r="AH298" s="4" t="n">
        <v>1</v>
      </c>
      <c r="AI298" s="4" t="n">
        <v>1</v>
      </c>
    </row>
    <row r="299">
      <c r="A299" s="4" t="inlineStr">
        <is>
          <t>G298</t>
        </is>
      </c>
      <c r="B299" s="8" t="inlineStr">
        <is>
          <t>EP4249550A1</t>
        </is>
      </c>
      <c r="C299" s="8" t="inlineStr">
        <is>
          <t>Mitsubishi Cable Industries, Ltd.</t>
        </is>
      </c>
      <c r="D299" s="8" t="inlineStr">
        <is>
          <t>Example 10</t>
        </is>
      </c>
      <c r="E299" s="8" t="inlineStr">
        <is>
          <t>FKM</t>
        </is>
      </c>
      <c r="F299" s="8" t="inlineStr">
        <is>
          <t>DAI-EL G912 (VDF/HFP/TFE)</t>
        </is>
      </c>
      <c r="G299" s="8" t="inlineStr">
        <is>
          <t>peroxide</t>
        </is>
      </c>
      <c r="H299" s="8" t="n">
        <v>100</v>
      </c>
      <c r="I299" s="8" t="n">
        <v>0</v>
      </c>
      <c r="J299" s="8" t="n">
        <v>0</v>
      </c>
      <c r="K299" s="8" t="n">
        <v>0</v>
      </c>
      <c r="L299" s="8" t="n">
        <v>0</v>
      </c>
      <c r="M299" s="8" t="n">
        <v>0</v>
      </c>
      <c r="N299" s="8" t="n">
        <v>0</v>
      </c>
      <c r="O299" s="8" t="n">
        <v>0</v>
      </c>
      <c r="P299" s="8" t="n">
        <v>10</v>
      </c>
      <c r="Q299" s="8" t="n">
        <v>4</v>
      </c>
      <c r="R299" s="8" t="n">
        <v>1.5</v>
      </c>
      <c r="S299" s="8" t="n">
        <v>0</v>
      </c>
      <c r="T299" s="8" t="n">
        <v>0</v>
      </c>
      <c r="U299" s="8" t="n">
        <v>0</v>
      </c>
      <c r="V299" s="8" t="n">
        <v>1</v>
      </c>
      <c r="W299" s="8" t="n">
        <v>64</v>
      </c>
      <c r="X299" s="8" t="n">
        <v>17.1</v>
      </c>
      <c r="Y299" s="8" t="n">
        <v>180</v>
      </c>
      <c r="Z299" s="8" t="n">
        <v>4.8</v>
      </c>
      <c r="AA299" s="8" t="n">
        <v>21</v>
      </c>
      <c r="AB299" s="8" t="inlineStr">
        <is>
          <t>200C x 72h, half-cut AS-214 O-ring (JIS K6262:2013)</t>
        </is>
      </c>
      <c r="AC299" s="4" t="n">
        <v>200</v>
      </c>
      <c r="AD299" s="4">
        <f>I299+J299+K299+L299+M299+N299+O299+P299</f>
        <v/>
      </c>
      <c r="AE299" s="4" t="n">
        <v>1</v>
      </c>
      <c r="AF299" s="4" t="n">
        <v>1</v>
      </c>
      <c r="AG299" s="4" t="n">
        <v>1</v>
      </c>
      <c r="AH299" s="4" t="n">
        <v>1</v>
      </c>
      <c r="AI299" s="4" t="n">
        <v>1</v>
      </c>
    </row>
    <row r="300">
      <c r="A300" s="4" t="inlineStr">
        <is>
          <t>G299</t>
        </is>
      </c>
      <c r="B300" s="8" t="inlineStr">
        <is>
          <t>EP4249550A1</t>
        </is>
      </c>
      <c r="C300" s="8" t="inlineStr">
        <is>
          <t>Mitsubishi Cable Industries, Ltd.</t>
        </is>
      </c>
      <c r="D300" s="8" t="inlineStr">
        <is>
          <t>Example 11</t>
        </is>
      </c>
      <c r="E300" s="8" t="inlineStr">
        <is>
          <t>FKM</t>
        </is>
      </c>
      <c r="F300" s="8" t="inlineStr">
        <is>
          <t>DAI-EL G912 (VDF/HFP/TFE)</t>
        </is>
      </c>
      <c r="G300" s="8" t="inlineStr">
        <is>
          <t>peroxide</t>
        </is>
      </c>
      <c r="H300" s="8" t="n">
        <v>100</v>
      </c>
      <c r="I300" s="8" t="n">
        <v>0</v>
      </c>
      <c r="J300" s="8" t="n">
        <v>0</v>
      </c>
      <c r="K300" s="8" t="n">
        <v>0</v>
      </c>
      <c r="L300" s="8" t="n">
        <v>0</v>
      </c>
      <c r="M300" s="8" t="n">
        <v>0</v>
      </c>
      <c r="N300" s="8" t="n">
        <v>0</v>
      </c>
      <c r="O300" s="8" t="n">
        <v>0</v>
      </c>
      <c r="P300" s="8" t="n">
        <v>10</v>
      </c>
      <c r="Q300" s="8" t="n">
        <v>4</v>
      </c>
      <c r="R300" s="8" t="n">
        <v>1.5</v>
      </c>
      <c r="S300" s="8" t="n">
        <v>0</v>
      </c>
      <c r="T300" s="8" t="n">
        <v>0</v>
      </c>
      <c r="U300" s="8" t="n">
        <v>0</v>
      </c>
      <c r="V300" s="8" t="n">
        <v>1</v>
      </c>
      <c r="W300" s="8" t="n">
        <v>62</v>
      </c>
      <c r="X300" s="8" t="n">
        <v>13.2</v>
      </c>
      <c r="Y300" s="8" t="n">
        <v>180</v>
      </c>
      <c r="Z300" s="8" t="n">
        <v>3.9</v>
      </c>
      <c r="AA300" s="8" t="n">
        <v>28</v>
      </c>
      <c r="AB300" s="8" t="inlineStr">
        <is>
          <t>200C x 72h, half-cut AS-214 O-ring (JIS K6262:2013)</t>
        </is>
      </c>
      <c r="AC300" s="4" t="n">
        <v>200</v>
      </c>
      <c r="AD300" s="4">
        <f>I300+J300+K300+L300+M300+N300+O300+P300</f>
        <v/>
      </c>
      <c r="AE300" s="4" t="n">
        <v>1</v>
      </c>
      <c r="AF300" s="4" t="n">
        <v>1</v>
      </c>
      <c r="AG300" s="4" t="n">
        <v>1</v>
      </c>
      <c r="AH300" s="4" t="n">
        <v>1</v>
      </c>
      <c r="AI300" s="4" t="n">
        <v>1</v>
      </c>
    </row>
    <row r="301">
      <c r="A301" s="4" t="inlineStr">
        <is>
          <t>G300</t>
        </is>
      </c>
      <c r="B301" s="8" t="inlineStr">
        <is>
          <t>EP4249550A1</t>
        </is>
      </c>
      <c r="C301" s="8" t="inlineStr">
        <is>
          <t>Mitsubishi Cable Industries, Ltd.</t>
        </is>
      </c>
      <c r="D301" s="8" t="inlineStr">
        <is>
          <t>Example 12</t>
        </is>
      </c>
      <c r="E301" s="8" t="inlineStr">
        <is>
          <t>FKM</t>
        </is>
      </c>
      <c r="F301" s="8" t="inlineStr">
        <is>
          <t>DAI-EL G912 (VDF/HFP/TFE)</t>
        </is>
      </c>
      <c r="G301" s="8" t="inlineStr">
        <is>
          <t>peroxide</t>
        </is>
      </c>
      <c r="H301" s="8" t="n">
        <v>100</v>
      </c>
      <c r="I301" s="8" t="n">
        <v>0</v>
      </c>
      <c r="J301" s="8" t="n">
        <v>0</v>
      </c>
      <c r="K301" s="8" t="n">
        <v>0</v>
      </c>
      <c r="L301" s="8" t="n">
        <v>0</v>
      </c>
      <c r="M301" s="8" t="n">
        <v>0</v>
      </c>
      <c r="N301" s="8" t="n">
        <v>10</v>
      </c>
      <c r="O301" s="8" t="n">
        <v>0</v>
      </c>
      <c r="P301" s="8" t="n">
        <v>0</v>
      </c>
      <c r="Q301" s="8" t="n">
        <v>4</v>
      </c>
      <c r="R301" s="8" t="n">
        <v>1.5</v>
      </c>
      <c r="S301" s="8" t="n">
        <v>0</v>
      </c>
      <c r="T301" s="8" t="n">
        <v>0</v>
      </c>
      <c r="U301" s="8" t="n">
        <v>0</v>
      </c>
      <c r="V301" s="8" t="n">
        <v>1</v>
      </c>
      <c r="W301" s="8" t="n">
        <v>63</v>
      </c>
      <c r="X301" s="8" t="n">
        <v>13.9</v>
      </c>
      <c r="Y301" s="8" t="n">
        <v>310</v>
      </c>
      <c r="Z301" s="8" t="n">
        <v>2.6</v>
      </c>
      <c r="AA301" s="8" t="n">
        <v>29</v>
      </c>
      <c r="AB301" s="8" t="inlineStr">
        <is>
          <t>200C x 72h, half-cut AS-214 O-ring (JIS K6262:2013)</t>
        </is>
      </c>
      <c r="AC301" s="4" t="n">
        <v>200</v>
      </c>
      <c r="AD301" s="4">
        <f>I301+J301+K301+L301+M301+N301+O301+P301</f>
        <v/>
      </c>
      <c r="AE301" s="4" t="n">
        <v>1</v>
      </c>
      <c r="AF301" s="4" t="n">
        <v>1</v>
      </c>
      <c r="AG301" s="4" t="n">
        <v>1</v>
      </c>
      <c r="AH301" s="4" t="n">
        <v>1</v>
      </c>
      <c r="AI301" s="4" t="n">
        <v>1</v>
      </c>
    </row>
    <row r="302">
      <c r="A302" s="4" t="inlineStr">
        <is>
          <t>G301</t>
        </is>
      </c>
      <c r="B302" s="8" t="inlineStr">
        <is>
          <t>EP4249550A1</t>
        </is>
      </c>
      <c r="C302" s="8" t="inlineStr">
        <is>
          <t>Mitsubishi Cable Industries, Ltd.</t>
        </is>
      </c>
      <c r="D302" s="8" t="inlineStr">
        <is>
          <t>Example 13</t>
        </is>
      </c>
      <c r="E302" s="8" t="inlineStr">
        <is>
          <t>FKM</t>
        </is>
      </c>
      <c r="F302" s="8" t="inlineStr">
        <is>
          <t>DAI-EL G912 (VDF/HFP/TFE)</t>
        </is>
      </c>
      <c r="G302" s="8" t="inlineStr">
        <is>
          <t>peroxide</t>
        </is>
      </c>
      <c r="H302" s="8" t="n">
        <v>100</v>
      </c>
      <c r="I302" s="8" t="n">
        <v>0</v>
      </c>
      <c r="J302" s="8" t="n">
        <v>0</v>
      </c>
      <c r="K302" s="8" t="n">
        <v>0</v>
      </c>
      <c r="L302" s="8" t="n">
        <v>0</v>
      </c>
      <c r="M302" s="8" t="n">
        <v>0</v>
      </c>
      <c r="N302" s="8" t="n">
        <v>0</v>
      </c>
      <c r="O302" s="8" t="n">
        <v>0</v>
      </c>
      <c r="P302" s="8" t="n">
        <v>10</v>
      </c>
      <c r="Q302" s="8" t="n">
        <v>4</v>
      </c>
      <c r="R302" s="8" t="n">
        <v>1.5</v>
      </c>
      <c r="S302" s="8" t="n">
        <v>0</v>
      </c>
      <c r="T302" s="8" t="n">
        <v>0</v>
      </c>
      <c r="U302" s="8" t="n">
        <v>0</v>
      </c>
      <c r="V302" s="8" t="n">
        <v>1</v>
      </c>
      <c r="W302" s="8" t="n">
        <v>64</v>
      </c>
      <c r="X302" s="8" t="n">
        <v>9.6</v>
      </c>
      <c r="Y302" s="8" t="n">
        <v>240</v>
      </c>
      <c r="Z302" s="8" t="n">
        <v>4.2</v>
      </c>
      <c r="AA302" s="8" t="n">
        <v>38</v>
      </c>
      <c r="AB302" s="8" t="inlineStr">
        <is>
          <t>200C x 72h, half-cut AS-214 O-ring (JIS K6262:2013)</t>
        </is>
      </c>
      <c r="AC302" s="4" t="n">
        <v>200</v>
      </c>
      <c r="AD302" s="4">
        <f>I302+J302+K302+L302+M302+N302+O302+P302</f>
        <v/>
      </c>
      <c r="AE302" s="4" t="n">
        <v>1</v>
      </c>
      <c r="AF302" s="4" t="n">
        <v>1</v>
      </c>
      <c r="AG302" s="4" t="n">
        <v>1</v>
      </c>
      <c r="AH302" s="4" t="n">
        <v>1</v>
      </c>
      <c r="AI302" s="4" t="n">
        <v>1</v>
      </c>
    </row>
    <row r="303">
      <c r="A303" s="4" t="inlineStr">
        <is>
          <t>G302</t>
        </is>
      </c>
      <c r="B303" s="8" t="inlineStr">
        <is>
          <t>EP4249550A1</t>
        </is>
      </c>
      <c r="C303" s="8" t="inlineStr">
        <is>
          <t>Mitsubishi Cable Industries, Ltd.</t>
        </is>
      </c>
      <c r="D303" s="8" t="inlineStr">
        <is>
          <t>Comparative Example 1</t>
        </is>
      </c>
      <c r="E303" s="8" t="inlineStr">
        <is>
          <t>FKM</t>
        </is>
      </c>
      <c r="F303" s="8" t="inlineStr">
        <is>
          <t>DAI-EL G912 (VDF/HFP/TFE)</t>
        </is>
      </c>
      <c r="G303" s="8" t="inlineStr">
        <is>
          <t>peroxide</t>
        </is>
      </c>
      <c r="H303" s="8" t="n">
        <v>100</v>
      </c>
      <c r="I303" s="8" t="n">
        <v>0</v>
      </c>
      <c r="J303" s="8" t="n">
        <v>0</v>
      </c>
      <c r="K303" s="8" t="n">
        <v>0</v>
      </c>
      <c r="L303" s="8" t="n">
        <v>0</v>
      </c>
      <c r="M303" s="8" t="n">
        <v>0</v>
      </c>
      <c r="N303" s="8" t="n">
        <v>0</v>
      </c>
      <c r="O303" s="8" t="n">
        <v>0</v>
      </c>
      <c r="P303" s="8" t="n">
        <v>0</v>
      </c>
      <c r="Q303" s="8" t="n">
        <v>4</v>
      </c>
      <c r="R303" s="8" t="n">
        <v>1.5</v>
      </c>
      <c r="S303" s="8" t="n">
        <v>0</v>
      </c>
      <c r="T303" s="8" t="n">
        <v>0</v>
      </c>
      <c r="U303" s="8" t="n">
        <v>0</v>
      </c>
      <c r="V303" s="8" t="n">
        <v>0</v>
      </c>
      <c r="W303" s="8" t="n">
        <v>57</v>
      </c>
      <c r="X303" s="8" t="n">
        <v>14.7</v>
      </c>
      <c r="Y303" s="8" t="n">
        <v>340</v>
      </c>
      <c r="Z303" s="8" t="n">
        <v>1.4</v>
      </c>
      <c r="AA303" s="8" t="n">
        <v>30</v>
      </c>
      <c r="AB303" s="8" t="inlineStr">
        <is>
          <t>200C x 72h, half-cut AS-214 O-ring (JIS K6262:2013)</t>
        </is>
      </c>
      <c r="AC303" s="4" t="n">
        <v>200</v>
      </c>
      <c r="AD303" s="4">
        <f>I303+J303+K303+L303+M303+N303+O303+P303</f>
        <v/>
      </c>
      <c r="AE303" s="4" t="n">
        <v>1</v>
      </c>
      <c r="AF303" s="4" t="n">
        <v>1</v>
      </c>
      <c r="AG303" s="4" t="n">
        <v>1</v>
      </c>
      <c r="AH303" s="4" t="n">
        <v>1</v>
      </c>
      <c r="AI303" s="4" t="n">
        <v>1</v>
      </c>
    </row>
    <row r="304">
      <c r="A304" s="4" t="inlineStr">
        <is>
          <t>G303</t>
        </is>
      </c>
      <c r="B304" s="8" t="inlineStr">
        <is>
          <t>EP4249550A1</t>
        </is>
      </c>
      <c r="C304" s="8" t="inlineStr">
        <is>
          <t>Mitsubishi Cable Industries, Ltd.</t>
        </is>
      </c>
      <c r="D304" s="8" t="inlineStr">
        <is>
          <t>Comparative Example 2</t>
        </is>
      </c>
      <c r="E304" s="8" t="inlineStr">
        <is>
          <t>FKM</t>
        </is>
      </c>
      <c r="F304" s="8" t="inlineStr">
        <is>
          <t>DAI-EL G912 (VDF/HFP/TFE)</t>
        </is>
      </c>
      <c r="G304" s="8" t="inlineStr">
        <is>
          <t>peroxide</t>
        </is>
      </c>
      <c r="H304" s="8" t="n">
        <v>100</v>
      </c>
      <c r="I304" s="8" t="n">
        <v>0</v>
      </c>
      <c r="J304" s="8" t="n">
        <v>0</v>
      </c>
      <c r="K304" s="8" t="n">
        <v>0</v>
      </c>
      <c r="L304" s="8" t="n">
        <v>0</v>
      </c>
      <c r="M304" s="8" t="n">
        <v>0</v>
      </c>
      <c r="N304" s="8" t="n">
        <v>0</v>
      </c>
      <c r="O304" s="8" t="n">
        <v>0</v>
      </c>
      <c r="P304" s="8" t="n">
        <v>0</v>
      </c>
      <c r="Q304" s="8" t="n">
        <v>4</v>
      </c>
      <c r="R304" s="8" t="n">
        <v>1.5</v>
      </c>
      <c r="S304" s="8" t="n">
        <v>0</v>
      </c>
      <c r="T304" s="8" t="n">
        <v>0</v>
      </c>
      <c r="U304" s="8" t="n">
        <v>0</v>
      </c>
      <c r="V304" s="8" t="n">
        <v>1</v>
      </c>
      <c r="W304" s="8" t="n">
        <v>57</v>
      </c>
      <c r="X304" s="8" t="n">
        <v>13.3</v>
      </c>
      <c r="Y304" s="8" t="n">
        <v>330</v>
      </c>
      <c r="Z304" s="8" t="n">
        <v>1.3</v>
      </c>
      <c r="AA304" s="8" t="n">
        <v>33</v>
      </c>
      <c r="AB304" s="8" t="inlineStr">
        <is>
          <t>200C x 72h, half-cut AS-214 O-ring (JIS K6262:2013)</t>
        </is>
      </c>
      <c r="AC304" s="4" t="n">
        <v>200</v>
      </c>
      <c r="AD304" s="4">
        <f>I304+J304+K304+L304+M304+N304+O304+P304</f>
        <v/>
      </c>
      <c r="AE304" s="4" t="n">
        <v>1</v>
      </c>
      <c r="AF304" s="4" t="n">
        <v>1</v>
      </c>
      <c r="AG304" s="4" t="n">
        <v>1</v>
      </c>
      <c r="AH304" s="4" t="n">
        <v>1</v>
      </c>
      <c r="AI304" s="4" t="n">
        <v>1</v>
      </c>
    </row>
    <row r="305">
      <c r="A305" s="4" t="inlineStr">
        <is>
          <t>G304</t>
        </is>
      </c>
      <c r="B305" s="8" t="inlineStr">
        <is>
          <t>EP4249550A1</t>
        </is>
      </c>
      <c r="C305" s="8" t="inlineStr">
        <is>
          <t>Mitsubishi Cable Industries, Ltd.</t>
        </is>
      </c>
      <c r="D305" s="8" t="inlineStr">
        <is>
          <t>Comparative Example 3</t>
        </is>
      </c>
      <c r="E305" s="8" t="inlineStr">
        <is>
          <t>FKM</t>
        </is>
      </c>
      <c r="F305" s="8" t="inlineStr">
        <is>
          <t>DAI-EL G912 (VDF/HFP/TFE)</t>
        </is>
      </c>
      <c r="G305" s="8" t="inlineStr">
        <is>
          <t>peroxide</t>
        </is>
      </c>
      <c r="H305" s="8" t="n">
        <v>100</v>
      </c>
      <c r="I305" s="8" t="n">
        <v>0</v>
      </c>
      <c r="J305" s="8" t="n">
        <v>10</v>
      </c>
      <c r="K305" s="8" t="n">
        <v>0</v>
      </c>
      <c r="L305" s="8" t="n">
        <v>0</v>
      </c>
      <c r="M305" s="8" t="n">
        <v>0</v>
      </c>
      <c r="N305" s="8" t="n">
        <v>0</v>
      </c>
      <c r="O305" s="8" t="n">
        <v>0</v>
      </c>
      <c r="P305" s="8" t="n">
        <v>0</v>
      </c>
      <c r="Q305" s="8" t="n">
        <v>4</v>
      </c>
      <c r="R305" s="8" t="n">
        <v>1.5</v>
      </c>
      <c r="S305" s="8" t="n">
        <v>0</v>
      </c>
      <c r="T305" s="8" t="n">
        <v>0</v>
      </c>
      <c r="U305" s="8" t="n">
        <v>0</v>
      </c>
      <c r="V305" s="8" t="n">
        <v>1</v>
      </c>
      <c r="W305" s="8" t="n">
        <v>71</v>
      </c>
      <c r="X305" s="8" t="n">
        <v>18.1</v>
      </c>
      <c r="Y305" s="8" t="n">
        <v>170</v>
      </c>
      <c r="Z305" s="8" t="n">
        <v>5.8</v>
      </c>
      <c r="AA305" s="8" t="n">
        <v>31</v>
      </c>
      <c r="AB305" s="8" t="inlineStr">
        <is>
          <t>200C x 72h, half-cut AS-214 O-ring (JIS K6262:2013)</t>
        </is>
      </c>
      <c r="AC305" s="4" t="n">
        <v>200</v>
      </c>
      <c r="AD305" s="4">
        <f>I305+J305+K305+L305+M305+N305+O305+P305</f>
        <v/>
      </c>
      <c r="AE305" s="4" t="n">
        <v>1</v>
      </c>
      <c r="AF305" s="4" t="n">
        <v>1</v>
      </c>
      <c r="AG305" s="4" t="n">
        <v>1</v>
      </c>
      <c r="AH305" s="4" t="n">
        <v>1</v>
      </c>
      <c r="AI305" s="4" t="n">
        <v>1</v>
      </c>
    </row>
    <row r="306">
      <c r="A306" s="4" t="inlineStr">
        <is>
          <t>G305</t>
        </is>
      </c>
      <c r="B306" s="8" t="inlineStr">
        <is>
          <t>EP4249550A1</t>
        </is>
      </c>
      <c r="C306" s="8" t="inlineStr">
        <is>
          <t>Mitsubishi Cable Industries, Ltd.</t>
        </is>
      </c>
      <c r="D306" s="8" t="inlineStr">
        <is>
          <t>Comparative Example 4</t>
        </is>
      </c>
      <c r="E306" s="8" t="inlineStr">
        <is>
          <t>FKM</t>
        </is>
      </c>
      <c r="F306" s="8" t="inlineStr">
        <is>
          <t>DAI-EL G912 (VDF/HFP/TFE)</t>
        </is>
      </c>
      <c r="G306" s="8" t="inlineStr">
        <is>
          <t>peroxide</t>
        </is>
      </c>
      <c r="H306" s="8" t="n">
        <v>100</v>
      </c>
      <c r="I306" s="8" t="n">
        <v>0</v>
      </c>
      <c r="J306" s="8" t="n">
        <v>0</v>
      </c>
      <c r="K306" s="8" t="n">
        <v>0</v>
      </c>
      <c r="L306" s="8" t="n">
        <v>0</v>
      </c>
      <c r="M306" s="8" t="n">
        <v>0</v>
      </c>
      <c r="N306" s="8" t="n">
        <v>0</v>
      </c>
      <c r="O306" s="8" t="n">
        <v>0</v>
      </c>
      <c r="P306" s="8" t="n">
        <v>10</v>
      </c>
      <c r="Q306" s="8" t="n">
        <v>4</v>
      </c>
      <c r="R306" s="8" t="n">
        <v>1.5</v>
      </c>
      <c r="S306" s="8" t="n">
        <v>0</v>
      </c>
      <c r="T306" s="8" t="n">
        <v>0</v>
      </c>
      <c r="U306" s="8" t="n">
        <v>0</v>
      </c>
      <c r="V306" s="8" t="n">
        <v>1</v>
      </c>
      <c r="W306" s="8" t="n">
        <v>62</v>
      </c>
      <c r="X306" s="8" t="n">
        <v>11.3</v>
      </c>
      <c r="Y306" s="8" t="n">
        <v>170</v>
      </c>
      <c r="Z306" s="8" t="n">
        <v>3.1</v>
      </c>
      <c r="AA306" s="8" t="n">
        <v>38</v>
      </c>
      <c r="AB306" s="8" t="inlineStr">
        <is>
          <t>200C x 72h, half-cut AS-214 O-ring (JIS K6262:2013)</t>
        </is>
      </c>
      <c r="AC306" s="4" t="n">
        <v>200</v>
      </c>
      <c r="AD306" s="4">
        <f>I306+J306+K306+L306+M306+N306+O306+P306</f>
        <v/>
      </c>
      <c r="AE306" s="4" t="n">
        <v>1</v>
      </c>
      <c r="AF306" s="4" t="n">
        <v>1</v>
      </c>
      <c r="AG306" s="4" t="n">
        <v>1</v>
      </c>
      <c r="AH306" s="4" t="n">
        <v>1</v>
      </c>
      <c r="AI306" s="4" t="n">
        <v>1</v>
      </c>
    </row>
    <row r="307">
      <c r="A307" s="4" t="inlineStr">
        <is>
          <t>G306</t>
        </is>
      </c>
      <c r="B307" s="8" t="inlineStr">
        <is>
          <t>EP4249550A1</t>
        </is>
      </c>
      <c r="C307" s="8" t="inlineStr">
        <is>
          <t>Mitsubishi Cable Industries, Ltd.</t>
        </is>
      </c>
      <c r="D307" s="8" t="inlineStr">
        <is>
          <t>Comparative Example 5</t>
        </is>
      </c>
      <c r="E307" s="8" t="inlineStr">
        <is>
          <t>FKM</t>
        </is>
      </c>
      <c r="F307" s="8" t="inlineStr">
        <is>
          <t>DAI-EL G912 (VDF/HFP/TFE)</t>
        </is>
      </c>
      <c r="G307" s="8" t="inlineStr">
        <is>
          <t>peroxide</t>
        </is>
      </c>
      <c r="H307" s="8" t="n">
        <v>100</v>
      </c>
      <c r="I307" s="8" t="n">
        <v>0</v>
      </c>
      <c r="J307" s="8" t="n">
        <v>0</v>
      </c>
      <c r="K307" s="8" t="n">
        <v>0</v>
      </c>
      <c r="L307" s="8" t="n">
        <v>0</v>
      </c>
      <c r="M307" s="8" t="n">
        <v>0</v>
      </c>
      <c r="N307" s="8" t="n">
        <v>10</v>
      </c>
      <c r="O307" s="8" t="n">
        <v>0</v>
      </c>
      <c r="P307" s="8" t="n">
        <v>0</v>
      </c>
      <c r="Q307" s="8" t="n">
        <v>4</v>
      </c>
      <c r="R307" s="8" t="n">
        <v>1.5</v>
      </c>
      <c r="S307" s="8" t="n">
        <v>0</v>
      </c>
      <c r="T307" s="8" t="n">
        <v>0</v>
      </c>
      <c r="U307" s="8" t="n">
        <v>0</v>
      </c>
      <c r="V307" s="8" t="n">
        <v>1</v>
      </c>
      <c r="W307" s="8" t="n">
        <v>59</v>
      </c>
      <c r="X307" s="8" t="n">
        <v>13.9</v>
      </c>
      <c r="Y307" s="8" t="n">
        <v>320</v>
      </c>
      <c r="Z307" s="8" t="n">
        <v>1.8</v>
      </c>
      <c r="AA307" s="8" t="n">
        <v>29</v>
      </c>
      <c r="AB307" s="8" t="inlineStr">
        <is>
          <t>200C x 72h, half-cut AS-214 O-ring (JIS K6262:2013)</t>
        </is>
      </c>
      <c r="AC307" s="4" t="n">
        <v>200</v>
      </c>
      <c r="AD307" s="4">
        <f>I307+J307+K307+L307+M307+N307+O307+P307</f>
        <v/>
      </c>
      <c r="AE307" s="4" t="n">
        <v>1</v>
      </c>
      <c r="AF307" s="4" t="n">
        <v>1</v>
      </c>
      <c r="AG307" s="4" t="n">
        <v>1</v>
      </c>
      <c r="AH307" s="4" t="n">
        <v>1</v>
      </c>
      <c r="AI307" s="4" t="n">
        <v>1</v>
      </c>
    </row>
    <row r="308">
      <c r="A308" s="4" t="inlineStr">
        <is>
          <t>G307</t>
        </is>
      </c>
      <c r="B308" s="8" t="inlineStr">
        <is>
          <t>EP4249550A1</t>
        </is>
      </c>
      <c r="C308" s="8" t="inlineStr">
        <is>
          <t>Mitsubishi Cable Industries, Ltd.</t>
        </is>
      </c>
      <c r="D308" s="8" t="inlineStr">
        <is>
          <t>Comparative Example 6</t>
        </is>
      </c>
      <c r="E308" s="8" t="inlineStr">
        <is>
          <t>FKM</t>
        </is>
      </c>
      <c r="F308" s="8" t="inlineStr">
        <is>
          <t>DAI-EL G912 (VDF/HFP/TFE)</t>
        </is>
      </c>
      <c r="G308" s="8" t="inlineStr">
        <is>
          <t>peroxide</t>
        </is>
      </c>
      <c r="H308" s="8" t="n">
        <v>100</v>
      </c>
      <c r="I308" s="8" t="n">
        <v>10</v>
      </c>
      <c r="J308" s="8" t="n">
        <v>0</v>
      </c>
      <c r="K308" s="8" t="n">
        <v>0</v>
      </c>
      <c r="L308" s="8" t="n">
        <v>0</v>
      </c>
      <c r="M308" s="8" t="n">
        <v>0</v>
      </c>
      <c r="N308" s="8" t="n">
        <v>0</v>
      </c>
      <c r="O308" s="8" t="n">
        <v>0</v>
      </c>
      <c r="P308" s="8" t="n">
        <v>0</v>
      </c>
      <c r="Q308" s="8" t="n">
        <v>4</v>
      </c>
      <c r="R308" s="8" t="n">
        <v>1.5</v>
      </c>
      <c r="S308" s="8" t="n">
        <v>0</v>
      </c>
      <c r="T308" s="8" t="n">
        <v>0</v>
      </c>
      <c r="U308" s="8" t="n">
        <v>0</v>
      </c>
      <c r="V308" s="8" t="n">
        <v>1</v>
      </c>
      <c r="W308" s="8" t="n">
        <v>63</v>
      </c>
      <c r="X308" s="8" t="n">
        <v>18.9</v>
      </c>
      <c r="Y308" s="8" t="n">
        <v>190</v>
      </c>
      <c r="Z308" s="8" t="n">
        <v>4.3</v>
      </c>
      <c r="AA308" s="8" t="n">
        <v>29</v>
      </c>
      <c r="AB308" s="8" t="inlineStr">
        <is>
          <t>200C x 72h, half-cut AS-214 O-ring (JIS K6262:2013)</t>
        </is>
      </c>
      <c r="AC308" s="4" t="n">
        <v>200</v>
      </c>
      <c r="AD308" s="4">
        <f>I308+J308+K308+L308+M308+N308+O308+P308</f>
        <v/>
      </c>
      <c r="AE308" s="4" t="n">
        <v>1</v>
      </c>
      <c r="AF308" s="4" t="n">
        <v>1</v>
      </c>
      <c r="AG308" s="4" t="n">
        <v>1</v>
      </c>
      <c r="AH308" s="4" t="n">
        <v>1</v>
      </c>
      <c r="AI308" s="4" t="n">
        <v>1</v>
      </c>
    </row>
    <row r="309">
      <c r="A309" s="4" t="inlineStr">
        <is>
          <t>G308</t>
        </is>
      </c>
      <c r="B309" s="8" t="inlineStr">
        <is>
          <t>EP4249550A1</t>
        </is>
      </c>
      <c r="C309" s="8" t="inlineStr">
        <is>
          <t>Mitsubishi Cable Industries, Ltd.</t>
        </is>
      </c>
      <c r="D309" s="8" t="inlineStr">
        <is>
          <t>Comparative Example 7</t>
        </is>
      </c>
      <c r="E309" s="8" t="inlineStr">
        <is>
          <t>FKM</t>
        </is>
      </c>
      <c r="F309" s="8" t="inlineStr">
        <is>
          <t>DAI-EL G912 (VDF/HFP/TFE)</t>
        </is>
      </c>
      <c r="G309" s="8" t="inlineStr">
        <is>
          <t>peroxide</t>
        </is>
      </c>
      <c r="H309" s="8" t="n">
        <v>100</v>
      </c>
      <c r="I309" s="8" t="n">
        <v>0</v>
      </c>
      <c r="J309" s="8" t="n">
        <v>0.2</v>
      </c>
      <c r="K309" s="8" t="n">
        <v>0</v>
      </c>
      <c r="L309" s="8" t="n">
        <v>0</v>
      </c>
      <c r="M309" s="8" t="n">
        <v>0</v>
      </c>
      <c r="N309" s="8" t="n">
        <v>0</v>
      </c>
      <c r="O309" s="8" t="n">
        <v>0</v>
      </c>
      <c r="P309" s="8" t="n">
        <v>0</v>
      </c>
      <c r="Q309" s="8" t="n">
        <v>4</v>
      </c>
      <c r="R309" s="8" t="n">
        <v>1.5</v>
      </c>
      <c r="S309" s="8" t="n">
        <v>0</v>
      </c>
      <c r="T309" s="8" t="n">
        <v>0</v>
      </c>
      <c r="U309" s="8" t="n">
        <v>0</v>
      </c>
      <c r="V309" s="8" t="n">
        <v>2</v>
      </c>
      <c r="W309" s="8" t="n">
        <v>57</v>
      </c>
      <c r="X309" s="8" t="n">
        <v>13.8</v>
      </c>
      <c r="Y309" s="8" t="n">
        <v>350</v>
      </c>
      <c r="Z309" s="8" t="n">
        <v>1.4</v>
      </c>
      <c r="AA309" s="8" t="n">
        <v>33</v>
      </c>
      <c r="AB309" s="8" t="inlineStr">
        <is>
          <t>200C x 72h, half-cut AS-214 O-ring (JIS K6262:2013)</t>
        </is>
      </c>
      <c r="AC309" s="4" t="n">
        <v>200</v>
      </c>
      <c r="AD309" s="4">
        <f>I309+J309+K309+L309+M309+N309+O309+P309</f>
        <v/>
      </c>
      <c r="AE309" s="4" t="n">
        <v>1</v>
      </c>
      <c r="AF309" s="4" t="n">
        <v>1</v>
      </c>
      <c r="AG309" s="4" t="n">
        <v>1</v>
      </c>
      <c r="AH309" s="4" t="n">
        <v>1</v>
      </c>
      <c r="AI309" s="4" t="n">
        <v>1</v>
      </c>
    </row>
    <row r="310">
      <c r="A310" s="4" t="inlineStr">
        <is>
          <t>G309</t>
        </is>
      </c>
      <c r="B310" s="8" t="inlineStr">
        <is>
          <t>EP4249550A1</t>
        </is>
      </c>
      <c r="C310" s="8" t="inlineStr">
        <is>
          <t>Mitsubishi Cable Industries, Ltd.</t>
        </is>
      </c>
      <c r="D310" s="8" t="inlineStr">
        <is>
          <t>Example 9</t>
        </is>
      </c>
      <c r="E310" s="8" t="inlineStr">
        <is>
          <t>FKM</t>
        </is>
      </c>
      <c r="F310" s="8" t="inlineStr">
        <is>
          <t>DAI-EL G912 (VDF/HFP/TFE)</t>
        </is>
      </c>
      <c r="G310" s="8" t="inlineStr">
        <is>
          <t>peroxide</t>
        </is>
      </c>
      <c r="H310" s="8" t="n">
        <v>100</v>
      </c>
      <c r="I310" s="8" t="n">
        <v>0</v>
      </c>
      <c r="J310" s="8" t="n">
        <v>0.11</v>
      </c>
      <c r="K310" s="8" t="n">
        <v>0</v>
      </c>
      <c r="L310" s="8" t="n">
        <v>0</v>
      </c>
      <c r="M310" s="8" t="n">
        <v>0</v>
      </c>
      <c r="N310" s="8" t="n">
        <v>0</v>
      </c>
      <c r="O310" s="8" t="n">
        <v>0</v>
      </c>
      <c r="P310" s="8" t="n">
        <v>0</v>
      </c>
      <c r="Q310" s="8" t="n">
        <v>4</v>
      </c>
      <c r="R310" s="8" t="n">
        <v>1.5</v>
      </c>
      <c r="S310" s="8" t="n">
        <v>0</v>
      </c>
      <c r="T310" s="8" t="n">
        <v>0</v>
      </c>
      <c r="U310" s="8" t="n">
        <v>0</v>
      </c>
      <c r="V310" s="8" t="n">
        <v>0.89</v>
      </c>
      <c r="W310" s="8" t="n">
        <v>57</v>
      </c>
      <c r="X310" s="8" t="n">
        <v>14</v>
      </c>
      <c r="Y310" s="8" t="n">
        <v>340</v>
      </c>
      <c r="Z310" s="8" t="n">
        <v>1.4</v>
      </c>
      <c r="AA310" s="8" t="n">
        <v>31</v>
      </c>
      <c r="AB310" s="8" t="inlineStr">
        <is>
          <t>200C x 72h, half-cut AS-214 O-ring (JIS K6262:2013)</t>
        </is>
      </c>
      <c r="AC310" s="4" t="n">
        <v>200</v>
      </c>
      <c r="AD310" s="4">
        <f>I310+J310+K310+L310+M310+N310+O310+P310</f>
        <v/>
      </c>
      <c r="AE310" s="4" t="n">
        <v>1</v>
      </c>
      <c r="AF310" s="4" t="n">
        <v>1</v>
      </c>
      <c r="AG310" s="4" t="n">
        <v>1</v>
      </c>
      <c r="AH310" s="4" t="n">
        <v>1</v>
      </c>
      <c r="AI310" s="4" t="n">
        <v>1</v>
      </c>
    </row>
    <row r="311">
      <c r="A311" s="4" t="inlineStr">
        <is>
          <t>G310</t>
        </is>
      </c>
      <c r="B311" s="8" t="inlineStr">
        <is>
          <t>US7666948B2</t>
        </is>
      </c>
      <c r="C311" s="8" t="inlineStr">
        <is>
          <t>Nichias Corporation</t>
        </is>
      </c>
      <c r="D311" s="8" t="inlineStr">
        <is>
          <t>Comparative Example 1</t>
        </is>
      </c>
      <c r="E311" s="8" t="inlineStr">
        <is>
          <t>FFKM</t>
        </is>
      </c>
      <c r="F311" s="8" t="inlineStr">
        <is>
          <t>DAI-EL Perfluoro GA-05 (Daikin)</t>
        </is>
      </c>
      <c r="G311" s="8" t="inlineStr">
        <is>
          <t>peroxide</t>
        </is>
      </c>
      <c r="H311" s="8" t="n">
        <v>100</v>
      </c>
      <c r="I311" s="8" t="n">
        <v>0</v>
      </c>
      <c r="J311" s="8" t="n">
        <v>0</v>
      </c>
      <c r="K311" s="8" t="n">
        <v>0</v>
      </c>
      <c r="L311" s="8" t="n">
        <v>0</v>
      </c>
      <c r="M311" s="8" t="n">
        <v>0</v>
      </c>
      <c r="N311" s="8" t="n">
        <v>0</v>
      </c>
      <c r="O311" s="8" t="n">
        <v>0</v>
      </c>
      <c r="P311" s="8" t="n">
        <v>0</v>
      </c>
      <c r="Q311" s="8" t="n">
        <v>1</v>
      </c>
      <c r="R311" s="8" t="n">
        <v>1</v>
      </c>
      <c r="S311" s="8" t="n">
        <v>0</v>
      </c>
      <c r="T311" s="8" t="n">
        <v>0</v>
      </c>
      <c r="U311" s="8" t="n">
        <v>0</v>
      </c>
      <c r="V311" s="8" t="n">
        <v>0</v>
      </c>
      <c r="W311" s="8" t="n"/>
      <c r="X311" s="8" t="n">
        <v>4.36</v>
      </c>
      <c r="Y311" s="8" t="n">
        <v>270</v>
      </c>
      <c r="Z311" s="8" t="n">
        <v>1.01</v>
      </c>
      <c r="AA311" s="8" t="n"/>
      <c r="AB311" s="8" t="n"/>
      <c r="AC311" s="4" t="n"/>
      <c r="AD311" s="4">
        <f>I311+J311+K311+L311+M311+N311+O311+P311</f>
        <v/>
      </c>
      <c r="AE311" s="4" t="n">
        <v>0</v>
      </c>
      <c r="AF311" s="4" t="n">
        <v>1</v>
      </c>
      <c r="AG311" s="4" t="n">
        <v>1</v>
      </c>
      <c r="AH311" s="4" t="n">
        <v>1</v>
      </c>
      <c r="AI311" s="4" t="n">
        <v>0</v>
      </c>
    </row>
    <row r="312">
      <c r="A312" s="4" t="inlineStr">
        <is>
          <t>G311</t>
        </is>
      </c>
      <c r="B312" s="8" t="inlineStr">
        <is>
          <t>US7666948B2</t>
        </is>
      </c>
      <c r="C312" s="8" t="inlineStr">
        <is>
          <t>Nichias Corporation</t>
        </is>
      </c>
      <c r="D312" s="8" t="inlineStr">
        <is>
          <t>Comparative Example 4</t>
        </is>
      </c>
      <c r="E312" s="8" t="inlineStr">
        <is>
          <t>FKM</t>
        </is>
      </c>
      <c r="F312" s="8" t="inlineStr">
        <is>
          <t>VITON TR-8605 (DuPont) as printed</t>
        </is>
      </c>
      <c r="G312" s="8" t="inlineStr">
        <is>
          <t>peroxide</t>
        </is>
      </c>
      <c r="H312" s="8" t="n">
        <v>100</v>
      </c>
      <c r="I312" s="8" t="n">
        <v>0</v>
      </c>
      <c r="J312" s="8" t="n">
        <v>0</v>
      </c>
      <c r="K312" s="8" t="n">
        <v>0</v>
      </c>
      <c r="L312" s="8" t="n">
        <v>0</v>
      </c>
      <c r="M312" s="8" t="n">
        <v>0</v>
      </c>
      <c r="N312" s="8" t="n">
        <v>0</v>
      </c>
      <c r="O312" s="8" t="n">
        <v>0</v>
      </c>
      <c r="P312" s="8" t="n">
        <v>0</v>
      </c>
      <c r="Q312" s="8" t="n">
        <v>1</v>
      </c>
      <c r="R312" s="8" t="n">
        <v>1</v>
      </c>
      <c r="S312" s="8" t="n">
        <v>0</v>
      </c>
      <c r="T312" s="8" t="n">
        <v>0</v>
      </c>
      <c r="U312" s="8" t="n">
        <v>0</v>
      </c>
      <c r="V312" s="8" t="n">
        <v>0</v>
      </c>
      <c r="W312" s="8" t="n"/>
      <c r="X312" s="8" t="n">
        <v>4.86</v>
      </c>
      <c r="Y312" s="8" t="n">
        <v>330</v>
      </c>
      <c r="Z312" s="8" t="n">
        <v>1.08</v>
      </c>
      <c r="AA312" s="8" t="n"/>
      <c r="AB312" s="8" t="n"/>
      <c r="AC312" s="4" t="n"/>
      <c r="AD312" s="4">
        <f>I312+J312+K312+L312+M312+N312+O312+P312</f>
        <v/>
      </c>
      <c r="AE312" s="4" t="n">
        <v>0</v>
      </c>
      <c r="AF312" s="4" t="n">
        <v>1</v>
      </c>
      <c r="AG312" s="4" t="n">
        <v>1</v>
      </c>
      <c r="AH312" s="4" t="n">
        <v>1</v>
      </c>
      <c r="AI312" s="4" t="n">
        <v>0</v>
      </c>
    </row>
    <row r="313">
      <c r="A313" s="4" t="inlineStr">
        <is>
          <t>G312</t>
        </is>
      </c>
      <c r="B313" s="8" t="inlineStr">
        <is>
          <t>KR100894110B1</t>
        </is>
      </c>
      <c r="C313" s="8" t="inlineStr">
        <is>
          <t>M&amp;E Co., Ltd. (주식회사 엠앤이)</t>
        </is>
      </c>
      <c r="D313" s="8" t="inlineStr">
        <is>
          <t>Comparative Example 1</t>
        </is>
      </c>
      <c r="E313" s="8" t="inlineStr">
        <is>
          <t>FFKM</t>
        </is>
      </c>
      <c r="F313" s="8" t="inlineStr">
        <is>
          <t>perfluororubber raw material (unspecified)</t>
        </is>
      </c>
      <c r="G313" s="8" t="inlineStr">
        <is>
          <t>peroxide</t>
        </is>
      </c>
      <c r="H313" s="8" t="n">
        <v>100</v>
      </c>
      <c r="I313" s="8" t="n">
        <v>0</v>
      </c>
      <c r="J313" s="8" t="n">
        <v>0</v>
      </c>
      <c r="K313" s="8" t="n">
        <v>0</v>
      </c>
      <c r="L313" s="8" t="n">
        <v>10</v>
      </c>
      <c r="M313" s="8" t="n">
        <v>10</v>
      </c>
      <c r="N313" s="8" t="n">
        <v>0</v>
      </c>
      <c r="O313" s="8" t="n">
        <v>0</v>
      </c>
      <c r="P313" s="8" t="n">
        <v>0</v>
      </c>
      <c r="Q313" s="8" t="n">
        <v>3</v>
      </c>
      <c r="R313" s="8" t="n">
        <v>1</v>
      </c>
      <c r="S313" s="8" t="n">
        <v>0</v>
      </c>
      <c r="T313" s="8" t="n">
        <v>0</v>
      </c>
      <c r="U313" s="8" t="n">
        <v>5</v>
      </c>
      <c r="V313" s="8" t="n">
        <v>0</v>
      </c>
      <c r="W313" s="8" t="n"/>
      <c r="X313" s="8" t="n"/>
      <c r="Y313" s="8" t="n">
        <v>186</v>
      </c>
      <c r="Z313" s="8" t="n"/>
      <c r="AA313" s="8" t="n"/>
      <c r="AB313" s="8" t="n"/>
      <c r="AC313" s="4" t="n"/>
      <c r="AD313" s="4">
        <f>I313+J313+K313+L313+M313+N313+O313+P313</f>
        <v/>
      </c>
      <c r="AE313" s="4" t="n">
        <v>0</v>
      </c>
      <c r="AF313" s="4" t="n">
        <v>0</v>
      </c>
      <c r="AG313" s="4" t="n">
        <v>1</v>
      </c>
      <c r="AH313" s="4" t="n">
        <v>0</v>
      </c>
      <c r="AI313" s="4" t="n">
        <v>0</v>
      </c>
    </row>
    <row r="314">
      <c r="A314" s="4" t="inlineStr">
        <is>
          <t>G313</t>
        </is>
      </c>
      <c r="B314" s="8" t="inlineStr">
        <is>
          <t>KR100894110B1</t>
        </is>
      </c>
      <c r="C314" s="8" t="inlineStr">
        <is>
          <t>M&amp;E Co., Ltd. (주식회사 엠앤이)</t>
        </is>
      </c>
      <c r="D314" s="8" t="inlineStr">
        <is>
          <t>Comparative Example 2</t>
        </is>
      </c>
      <c r="E314" s="8" t="inlineStr">
        <is>
          <t>FKM</t>
        </is>
      </c>
      <c r="F314" s="8" t="inlineStr">
        <is>
          <t>ternary (terpolymer) fluororubber raw material (unspecified)</t>
        </is>
      </c>
      <c r="G314" s="8" t="inlineStr">
        <is>
          <t>peroxide</t>
        </is>
      </c>
      <c r="H314" s="8" t="n">
        <v>100</v>
      </c>
      <c r="I314" s="8" t="n">
        <v>0</v>
      </c>
      <c r="J314" s="8" t="n">
        <v>0</v>
      </c>
      <c r="K314" s="8" t="n">
        <v>0</v>
      </c>
      <c r="L314" s="8" t="n">
        <v>20</v>
      </c>
      <c r="M314" s="8" t="n">
        <v>10</v>
      </c>
      <c r="N314" s="8" t="n">
        <v>0</v>
      </c>
      <c r="O314" s="8" t="n">
        <v>0</v>
      </c>
      <c r="P314" s="8" t="n">
        <v>0</v>
      </c>
      <c r="Q314" s="8" t="n">
        <v>3</v>
      </c>
      <c r="R314" s="8" t="n">
        <v>1</v>
      </c>
      <c r="S314" s="8" t="n">
        <v>0</v>
      </c>
      <c r="T314" s="8" t="n">
        <v>0</v>
      </c>
      <c r="U314" s="8" t="n">
        <v>5</v>
      </c>
      <c r="V314" s="8" t="n">
        <v>0</v>
      </c>
      <c r="W314" s="8" t="n"/>
      <c r="X314" s="8" t="n"/>
      <c r="Y314" s="8" t="n">
        <v>367</v>
      </c>
      <c r="Z314" s="8" t="n"/>
      <c r="AA314" s="8" t="n"/>
      <c r="AB314" s="8" t="n"/>
      <c r="AC314" s="4" t="n"/>
      <c r="AD314" s="4">
        <f>I314+J314+K314+L314+M314+N314+O314+P314</f>
        <v/>
      </c>
      <c r="AE314" s="4" t="n">
        <v>0</v>
      </c>
      <c r="AF314" s="4" t="n">
        <v>0</v>
      </c>
      <c r="AG314" s="4" t="n">
        <v>1</v>
      </c>
      <c r="AH314" s="4" t="n">
        <v>0</v>
      </c>
      <c r="AI314" s="4" t="n">
        <v>0</v>
      </c>
    </row>
    <row r="315">
      <c r="A315" s="4" t="inlineStr">
        <is>
          <t>G314</t>
        </is>
      </c>
      <c r="B315" s="8" t="inlineStr">
        <is>
          <t>KR102400335B1</t>
        </is>
      </c>
      <c r="C315" s="8" t="inlineStr">
        <is>
          <t>M&amp;E Co., Ltd. (주식회사 엠앤이)</t>
        </is>
      </c>
      <c r="D315" s="8" t="inlineStr">
        <is>
          <t>Comparative Example</t>
        </is>
      </c>
      <c r="E315" s="8" t="inlineStr">
        <is>
          <t>FFKM</t>
        </is>
      </c>
      <c r="F315" s="8" t="inlineStr">
        <is>
          <t>TFE/perfluoroalkyl vinyl ether FFKM (commercial, unspecified)</t>
        </is>
      </c>
      <c r="G315" s="8" t="inlineStr">
        <is>
          <t>other</t>
        </is>
      </c>
      <c r="H315" s="8" t="n">
        <v>100</v>
      </c>
      <c r="I315" s="8" t="n">
        <v>0</v>
      </c>
      <c r="J315" s="8" t="n">
        <v>20</v>
      </c>
      <c r="K315" s="8" t="n">
        <v>0</v>
      </c>
      <c r="L315" s="8" t="n">
        <v>0</v>
      </c>
      <c r="M315" s="8" t="n">
        <v>0</v>
      </c>
      <c r="N315" s="8" t="n">
        <v>0</v>
      </c>
      <c r="O315" s="8" t="n">
        <v>0</v>
      </c>
      <c r="P315" s="8" t="n">
        <v>0</v>
      </c>
      <c r="Q315" s="8" t="n">
        <v>0</v>
      </c>
      <c r="R315" s="8" t="n">
        <v>0</v>
      </c>
      <c r="S315" s="8" t="n">
        <v>0</v>
      </c>
      <c r="T315" s="8" t="n">
        <v>5</v>
      </c>
      <c r="U315" s="8" t="n">
        <v>0</v>
      </c>
      <c r="V315" s="8" t="n">
        <v>0</v>
      </c>
      <c r="W315" s="8" t="n">
        <v>75</v>
      </c>
      <c r="X315" s="8" t="n"/>
      <c r="Y315" s="8" t="n">
        <v>250</v>
      </c>
      <c r="Z315" s="8" t="n"/>
      <c r="AA315" s="8" t="n">
        <v>29</v>
      </c>
      <c r="AB315" s="8" t="inlineStr">
        <is>
          <t>204C x 70h, 25% compression, AS214 O-ring</t>
        </is>
      </c>
      <c r="AC315" s="4" t="n">
        <v>204</v>
      </c>
      <c r="AD315" s="4">
        <f>I315+J315+K315+L315+M315+N315+O315+P315</f>
        <v/>
      </c>
      <c r="AE315" s="4" t="n">
        <v>1</v>
      </c>
      <c r="AF315" s="4" t="n">
        <v>0</v>
      </c>
      <c r="AG315" s="4" t="n">
        <v>1</v>
      </c>
      <c r="AH315" s="4" t="n">
        <v>0</v>
      </c>
      <c r="AI315" s="4" t="n">
        <v>1</v>
      </c>
    </row>
    <row r="316">
      <c r="A316" s="4" t="inlineStr">
        <is>
          <t>G315</t>
        </is>
      </c>
      <c r="B316" s="8" t="inlineStr">
        <is>
          <t>KR102400335B1</t>
        </is>
      </c>
      <c r="C316" s="8" t="inlineStr">
        <is>
          <t>M&amp;E Co., Ltd. (주식회사 엠앤이)</t>
        </is>
      </c>
      <c r="D316" s="8" t="inlineStr">
        <is>
          <t>Example 1</t>
        </is>
      </c>
      <c r="E316" s="8" t="inlineStr">
        <is>
          <t>FFKM</t>
        </is>
      </c>
      <c r="F316" s="8" t="inlineStr">
        <is>
          <t>TFE/perfluoroalkyl vinyl ether FFKM (commercial, unspecified)</t>
        </is>
      </c>
      <c r="G316" s="8" t="inlineStr">
        <is>
          <t>other</t>
        </is>
      </c>
      <c r="H316" s="8" t="n">
        <v>100</v>
      </c>
      <c r="I316" s="8" t="n">
        <v>0</v>
      </c>
      <c r="J316" s="8" t="n">
        <v>0</v>
      </c>
      <c r="K316" s="8" t="n">
        <v>0</v>
      </c>
      <c r="L316" s="8" t="n">
        <v>0</v>
      </c>
      <c r="M316" s="8" t="n">
        <v>0</v>
      </c>
      <c r="N316" s="8" t="n">
        <v>0</v>
      </c>
      <c r="O316" s="8" t="n">
        <v>5.06</v>
      </c>
      <c r="P316" s="8" t="n">
        <v>0</v>
      </c>
      <c r="Q316" s="8" t="n">
        <v>0</v>
      </c>
      <c r="R316" s="8" t="n">
        <v>0</v>
      </c>
      <c r="S316" s="8" t="n">
        <v>0</v>
      </c>
      <c r="T316" s="8" t="n">
        <v>5</v>
      </c>
      <c r="U316" s="8" t="n">
        <v>0</v>
      </c>
      <c r="V316" s="8" t="n">
        <v>0</v>
      </c>
      <c r="W316" s="8" t="n">
        <v>60</v>
      </c>
      <c r="X316" s="8" t="n"/>
      <c r="Y316" s="8" t="n">
        <v>227</v>
      </c>
      <c r="Z316" s="8" t="n"/>
      <c r="AA316" s="8" t="n">
        <v>13</v>
      </c>
      <c r="AB316" s="8" t="inlineStr">
        <is>
          <t>204C x 70h, 25% compression, AS214 O-ring</t>
        </is>
      </c>
      <c r="AC316" s="4" t="n">
        <v>204</v>
      </c>
      <c r="AD316" s="4">
        <f>I316+J316+K316+L316+M316+N316+O316+P316</f>
        <v/>
      </c>
      <c r="AE316" s="4" t="n">
        <v>1</v>
      </c>
      <c r="AF316" s="4" t="n">
        <v>0</v>
      </c>
      <c r="AG316" s="4" t="n">
        <v>1</v>
      </c>
      <c r="AH316" s="4" t="n">
        <v>0</v>
      </c>
      <c r="AI316" s="4" t="n">
        <v>1</v>
      </c>
    </row>
    <row r="317">
      <c r="A317" s="4" t="inlineStr">
        <is>
          <t>G316</t>
        </is>
      </c>
      <c r="B317" s="8" t="inlineStr">
        <is>
          <t>KR102400335B1</t>
        </is>
      </c>
      <c r="C317" s="8" t="inlineStr">
        <is>
          <t>M&amp;E Co., Ltd. (주식회사 엠앤이)</t>
        </is>
      </c>
      <c r="D317" s="8" t="inlineStr">
        <is>
          <t>Example 2</t>
        </is>
      </c>
      <c r="E317" s="8" t="inlineStr">
        <is>
          <t>FFKM</t>
        </is>
      </c>
      <c r="F317" s="8" t="inlineStr">
        <is>
          <t>TFE/perfluoroalkyl vinyl ether FFKM (commercial, unspecified)</t>
        </is>
      </c>
      <c r="G317" s="8" t="inlineStr">
        <is>
          <t>other</t>
        </is>
      </c>
      <c r="H317" s="8" t="n">
        <v>100</v>
      </c>
      <c r="I317" s="8" t="n">
        <v>0</v>
      </c>
      <c r="J317" s="8" t="n">
        <v>0</v>
      </c>
      <c r="K317" s="8" t="n">
        <v>0</v>
      </c>
      <c r="L317" s="8" t="n">
        <v>0</v>
      </c>
      <c r="M317" s="8" t="n">
        <v>0</v>
      </c>
      <c r="N317" s="8" t="n">
        <v>0</v>
      </c>
      <c r="O317" s="8" t="n">
        <v>15.01</v>
      </c>
      <c r="P317" s="8" t="n">
        <v>0</v>
      </c>
      <c r="Q317" s="8" t="n">
        <v>0</v>
      </c>
      <c r="R317" s="8" t="n">
        <v>0</v>
      </c>
      <c r="S317" s="8" t="n">
        <v>0</v>
      </c>
      <c r="T317" s="8" t="n">
        <v>5</v>
      </c>
      <c r="U317" s="8" t="n">
        <v>0</v>
      </c>
      <c r="V317" s="8" t="n">
        <v>0</v>
      </c>
      <c r="W317" s="8" t="n">
        <v>62</v>
      </c>
      <c r="X317" s="8" t="n"/>
      <c r="Y317" s="8" t="n">
        <v>220</v>
      </c>
      <c r="Z317" s="8" t="n"/>
      <c r="AA317" s="8" t="n">
        <v>13</v>
      </c>
      <c r="AB317" s="8" t="inlineStr">
        <is>
          <t>204C x 70h, 25% compression, AS214 O-ring</t>
        </is>
      </c>
      <c r="AC317" s="4" t="n">
        <v>204</v>
      </c>
      <c r="AD317" s="4">
        <f>I317+J317+K317+L317+M317+N317+O317+P317</f>
        <v/>
      </c>
      <c r="AE317" s="4" t="n">
        <v>1</v>
      </c>
      <c r="AF317" s="4" t="n">
        <v>0</v>
      </c>
      <c r="AG317" s="4" t="n">
        <v>1</v>
      </c>
      <c r="AH317" s="4" t="n">
        <v>0</v>
      </c>
      <c r="AI317" s="4" t="n">
        <v>1</v>
      </c>
    </row>
    <row r="318">
      <c r="A318" s="4" t="inlineStr">
        <is>
          <t>G317</t>
        </is>
      </c>
      <c r="B318" s="8" t="inlineStr">
        <is>
          <t>KR102400335B1</t>
        </is>
      </c>
      <c r="C318" s="8" t="inlineStr">
        <is>
          <t>M&amp;E Co., Ltd. (주식회사 엠앤이)</t>
        </is>
      </c>
      <c r="D318" s="8" t="inlineStr">
        <is>
          <t>Example 3</t>
        </is>
      </c>
      <c r="E318" s="8" t="inlineStr">
        <is>
          <t>FFKM</t>
        </is>
      </c>
      <c r="F318" s="8" t="inlineStr">
        <is>
          <t>TFE/perfluoroalkyl vinyl ether FFKM (commercial, unspecified)</t>
        </is>
      </c>
      <c r="G318" s="8" t="inlineStr">
        <is>
          <t>other</t>
        </is>
      </c>
      <c r="H318" s="8" t="n">
        <v>100</v>
      </c>
      <c r="I318" s="8" t="n">
        <v>0</v>
      </c>
      <c r="J318" s="8" t="n">
        <v>0</v>
      </c>
      <c r="K318" s="8" t="n">
        <v>0</v>
      </c>
      <c r="L318" s="8" t="n">
        <v>0</v>
      </c>
      <c r="M318" s="8" t="n">
        <v>0</v>
      </c>
      <c r="N318" s="8" t="n">
        <v>0</v>
      </c>
      <c r="O318" s="8" t="n">
        <v>29.96</v>
      </c>
      <c r="P318" s="8" t="n">
        <v>0</v>
      </c>
      <c r="Q318" s="8" t="n">
        <v>0</v>
      </c>
      <c r="R318" s="8" t="n">
        <v>0</v>
      </c>
      <c r="S318" s="8" t="n">
        <v>0</v>
      </c>
      <c r="T318" s="8" t="n">
        <v>5</v>
      </c>
      <c r="U318" s="8" t="n">
        <v>0</v>
      </c>
      <c r="V318" s="8" t="n">
        <v>0</v>
      </c>
      <c r="W318" s="8" t="n">
        <v>68</v>
      </c>
      <c r="X318" s="8" t="n"/>
      <c r="Y318" s="8" t="n">
        <v>210</v>
      </c>
      <c r="Z318" s="8" t="n"/>
      <c r="AA318" s="8" t="n">
        <v>18</v>
      </c>
      <c r="AB318" s="8" t="inlineStr">
        <is>
          <t>204C x 70h, 25% compression, AS214 O-ring</t>
        </is>
      </c>
      <c r="AC318" s="4" t="n">
        <v>204</v>
      </c>
      <c r="AD318" s="4">
        <f>I318+J318+K318+L318+M318+N318+O318+P318</f>
        <v/>
      </c>
      <c r="AE318" s="4" t="n">
        <v>1</v>
      </c>
      <c r="AF318" s="4" t="n">
        <v>0</v>
      </c>
      <c r="AG318" s="4" t="n">
        <v>1</v>
      </c>
      <c r="AH318" s="4" t="n">
        <v>0</v>
      </c>
      <c r="AI318" s="4" t="n">
        <v>1</v>
      </c>
    </row>
    <row r="319">
      <c r="A319" s="4" t="inlineStr">
        <is>
          <t>G318</t>
        </is>
      </c>
      <c r="B319" s="8" t="inlineStr">
        <is>
          <t>KR102400335B1</t>
        </is>
      </c>
      <c r="C319" s="8" t="inlineStr">
        <is>
          <t>M&amp;E Co., Ltd. (주식회사 엠앤이)</t>
        </is>
      </c>
      <c r="D319" s="8" t="inlineStr">
        <is>
          <t>Example 4</t>
        </is>
      </c>
      <c r="E319" s="8" t="inlineStr">
        <is>
          <t>FFKM</t>
        </is>
      </c>
      <c r="F319" s="8" t="inlineStr">
        <is>
          <t>TFE/perfluoroalkyl vinyl ether FFKM (commercial, unspecified)</t>
        </is>
      </c>
      <c r="G319" s="8" t="inlineStr">
        <is>
          <t>other</t>
        </is>
      </c>
      <c r="H319" s="8" t="n">
        <v>100</v>
      </c>
      <c r="I319" s="8" t="n">
        <v>0</v>
      </c>
      <c r="J319" s="8" t="n">
        <v>0</v>
      </c>
      <c r="K319" s="8" t="n">
        <v>0</v>
      </c>
      <c r="L319" s="8" t="n">
        <v>0</v>
      </c>
      <c r="M319" s="8" t="n">
        <v>0</v>
      </c>
      <c r="N319" s="8" t="n">
        <v>0</v>
      </c>
      <c r="O319" s="8" t="n">
        <v>50.08</v>
      </c>
      <c r="P319" s="8" t="n">
        <v>0</v>
      </c>
      <c r="Q319" s="8" t="n">
        <v>0</v>
      </c>
      <c r="R319" s="8" t="n">
        <v>0</v>
      </c>
      <c r="S319" s="8" t="n">
        <v>0</v>
      </c>
      <c r="T319" s="8" t="n">
        <v>5</v>
      </c>
      <c r="U319" s="8" t="n">
        <v>0</v>
      </c>
      <c r="V319" s="8" t="n">
        <v>0</v>
      </c>
      <c r="W319" s="8" t="n">
        <v>75</v>
      </c>
      <c r="X319" s="8" t="n"/>
      <c r="Y319" s="8" t="n">
        <v>209</v>
      </c>
      <c r="Z319" s="8" t="n"/>
      <c r="AA319" s="8" t="n">
        <v>24</v>
      </c>
      <c r="AB319" s="8" t="inlineStr">
        <is>
          <t>204C x 70h, 25% compression, AS214 O-ring</t>
        </is>
      </c>
      <c r="AC319" s="4" t="n">
        <v>204</v>
      </c>
      <c r="AD319" s="4">
        <f>I319+J319+K319+L319+M319+N319+O319+P319</f>
        <v/>
      </c>
      <c r="AE319" s="4" t="n">
        <v>1</v>
      </c>
      <c r="AF319" s="4" t="n">
        <v>0</v>
      </c>
      <c r="AG319" s="4" t="n">
        <v>1</v>
      </c>
      <c r="AH319" s="4" t="n">
        <v>0</v>
      </c>
      <c r="AI319" s="4" t="n">
        <v>1</v>
      </c>
    </row>
    <row r="320">
      <c r="A320" s="4" t="inlineStr">
        <is>
          <t>G319</t>
        </is>
      </c>
      <c r="B320" s="8" t="inlineStr">
        <is>
          <t>KR102400335B1</t>
        </is>
      </c>
      <c r="C320" s="8" t="inlineStr">
        <is>
          <t>M&amp;E Co., Ltd. (주식회사 엠앤이)</t>
        </is>
      </c>
      <c r="D320" s="8" t="inlineStr">
        <is>
          <t>Example 5</t>
        </is>
      </c>
      <c r="E320" s="8" t="inlineStr">
        <is>
          <t>FFKM</t>
        </is>
      </c>
      <c r="F320" s="8" t="inlineStr">
        <is>
          <t>TFE/perfluoroalkyl vinyl ether FFKM (commercial, unspecified)</t>
        </is>
      </c>
      <c r="G320" s="8" t="inlineStr">
        <is>
          <t>other</t>
        </is>
      </c>
      <c r="H320" s="8" t="n">
        <v>100</v>
      </c>
      <c r="I320" s="8" t="n">
        <v>0</v>
      </c>
      <c r="J320" s="8" t="n">
        <v>0</v>
      </c>
      <c r="K320" s="8" t="n">
        <v>0</v>
      </c>
      <c r="L320" s="8" t="n">
        <v>0</v>
      </c>
      <c r="M320" s="8" t="n">
        <v>0</v>
      </c>
      <c r="N320" s="8" t="n">
        <v>0</v>
      </c>
      <c r="O320" s="8" t="n">
        <v>69.93000000000001</v>
      </c>
      <c r="P320" s="8" t="n">
        <v>0</v>
      </c>
      <c r="Q320" s="8" t="n">
        <v>0</v>
      </c>
      <c r="R320" s="8" t="n">
        <v>0</v>
      </c>
      <c r="S320" s="8" t="n">
        <v>0</v>
      </c>
      <c r="T320" s="8" t="n">
        <v>5</v>
      </c>
      <c r="U320" s="8" t="n">
        <v>0</v>
      </c>
      <c r="V320" s="8" t="n">
        <v>0</v>
      </c>
      <c r="W320" s="8" t="n">
        <v>73</v>
      </c>
      <c r="X320" s="8" t="n"/>
      <c r="Y320" s="8" t="n">
        <v>201</v>
      </c>
      <c r="Z320" s="8" t="n"/>
      <c r="AA320" s="8" t="n">
        <v>41</v>
      </c>
      <c r="AB320" s="8" t="inlineStr">
        <is>
          <t>204C x 70h, 25% compression, AS214 O-ring</t>
        </is>
      </c>
      <c r="AC320" s="4" t="n">
        <v>204</v>
      </c>
      <c r="AD320" s="4">
        <f>I320+J320+K320+L320+M320+N320+O320+P320</f>
        <v/>
      </c>
      <c r="AE320" s="4" t="n">
        <v>1</v>
      </c>
      <c r="AF320" s="4" t="n">
        <v>0</v>
      </c>
      <c r="AG320" s="4" t="n">
        <v>1</v>
      </c>
      <c r="AH320" s="4" t="n">
        <v>0</v>
      </c>
      <c r="AI320" s="4" t="n">
        <v>1</v>
      </c>
    </row>
    <row r="321">
      <c r="A321" s="4" t="inlineStr">
        <is>
          <t>G320</t>
        </is>
      </c>
      <c r="B321" s="8" t="inlineStr">
        <is>
          <t>KR101467101B1</t>
        </is>
      </c>
      <c r="C321" s="8" t="inlineStr">
        <is>
          <t>M&amp;E Co., Ltd. (주식회사 엠앤이)</t>
        </is>
      </c>
      <c r="D321" s="8" t="inlineStr">
        <is>
          <t>Table 1 compound FFKM A</t>
        </is>
      </c>
      <c r="E321" s="8" t="inlineStr">
        <is>
          <t>FFKM</t>
        </is>
      </c>
      <c r="F321" s="8" t="inlineStr">
        <is>
          <t>FFKM masterbatch "FFKM A" (raw gum unspecified)</t>
        </is>
      </c>
      <c r="G321" s="8" t="inlineStr">
        <is>
          <t>other</t>
        </is>
      </c>
      <c r="H321" s="8" t="n">
        <v>100</v>
      </c>
      <c r="I321" s="8" t="n">
        <v>15</v>
      </c>
      <c r="J321" s="8" t="n">
        <v>1.5</v>
      </c>
      <c r="K321" s="8" t="n">
        <v>0</v>
      </c>
      <c r="L321" s="8" t="n">
        <v>0</v>
      </c>
      <c r="M321" s="8" t="n">
        <v>0</v>
      </c>
      <c r="N321" s="8" t="n">
        <v>0</v>
      </c>
      <c r="O321" s="8" t="n">
        <v>0</v>
      </c>
      <c r="P321" s="8" t="n">
        <v>0</v>
      </c>
      <c r="Q321" s="8" t="n">
        <v>0</v>
      </c>
      <c r="R321" s="8" t="n">
        <v>0</v>
      </c>
      <c r="S321" s="8" t="n">
        <v>0</v>
      </c>
      <c r="T321" s="8" t="n">
        <v>1.5</v>
      </c>
      <c r="U321" s="8" t="n">
        <v>0</v>
      </c>
      <c r="V321" s="8" t="n">
        <v>0</v>
      </c>
      <c r="W321" s="8" t="n">
        <v>73</v>
      </c>
      <c r="X321" s="8" t="n">
        <v>11.65</v>
      </c>
      <c r="Y321" s="8" t="n">
        <v>270</v>
      </c>
      <c r="Z321" s="8" t="n">
        <v>4.93</v>
      </c>
      <c r="AA321" s="8" t="n">
        <v>43</v>
      </c>
      <c r="AB321" s="8" t="inlineStr">
        <is>
          <t>230C x 70h, 25% deformation (ASTM D395 B)</t>
        </is>
      </c>
      <c r="AC321" s="4" t="n">
        <v>230</v>
      </c>
      <c r="AD321" s="4">
        <f>I321+J321+K321+L321+M321+N321+O321+P321</f>
        <v/>
      </c>
      <c r="AE321" s="4" t="n">
        <v>1</v>
      </c>
      <c r="AF321" s="4" t="n">
        <v>1</v>
      </c>
      <c r="AG321" s="4" t="n">
        <v>1</v>
      </c>
      <c r="AH321" s="4" t="n">
        <v>1</v>
      </c>
      <c r="AI321" s="4" t="n">
        <v>1</v>
      </c>
    </row>
    <row r="322">
      <c r="A322" s="4" t="inlineStr">
        <is>
          <t>G321</t>
        </is>
      </c>
      <c r="B322" s="8" t="inlineStr">
        <is>
          <t>KR101467101B1</t>
        </is>
      </c>
      <c r="C322" s="8" t="inlineStr">
        <is>
          <t>M&amp;E Co., Ltd. (주식회사 엠앤이)</t>
        </is>
      </c>
      <c r="D322" s="8" t="inlineStr">
        <is>
          <t>Table 1 compound FFKM B</t>
        </is>
      </c>
      <c r="E322" s="8" t="inlineStr">
        <is>
          <t>FFKM</t>
        </is>
      </c>
      <c r="F322" s="8" t="inlineStr">
        <is>
          <t>FFKM masterbatch "FFKM B" (raw gum unspecified)</t>
        </is>
      </c>
      <c r="G322" s="8" t="inlineStr">
        <is>
          <t>other</t>
        </is>
      </c>
      <c r="H322" s="8" t="n">
        <v>100</v>
      </c>
      <c r="I322" s="8" t="n">
        <v>15</v>
      </c>
      <c r="J322" s="8" t="n">
        <v>1.5</v>
      </c>
      <c r="K322" s="8" t="n">
        <v>0</v>
      </c>
      <c r="L322" s="8" t="n">
        <v>0</v>
      </c>
      <c r="M322" s="8" t="n">
        <v>0</v>
      </c>
      <c r="N322" s="8" t="n">
        <v>0</v>
      </c>
      <c r="O322" s="8" t="n">
        <v>0</v>
      </c>
      <c r="P322" s="8" t="n">
        <v>0</v>
      </c>
      <c r="Q322" s="8" t="n">
        <v>0</v>
      </c>
      <c r="R322" s="8" t="n">
        <v>0</v>
      </c>
      <c r="S322" s="8" t="n">
        <v>0</v>
      </c>
      <c r="T322" s="8" t="n">
        <v>1.5</v>
      </c>
      <c r="U322" s="8" t="n">
        <v>0</v>
      </c>
      <c r="V322" s="8" t="n">
        <v>0</v>
      </c>
      <c r="W322" s="8" t="n">
        <v>77</v>
      </c>
      <c r="X322" s="8" t="n">
        <v>13.17</v>
      </c>
      <c r="Y322" s="8" t="n">
        <v>155</v>
      </c>
      <c r="Z322" s="8" t="n">
        <v>8.34</v>
      </c>
      <c r="AA322" s="8" t="n">
        <v>18</v>
      </c>
      <c r="AB322" s="8" t="inlineStr">
        <is>
          <t>230C x 70h, 25% deformation (ASTM D395 B)</t>
        </is>
      </c>
      <c r="AC322" s="4" t="n">
        <v>230</v>
      </c>
      <c r="AD322" s="4">
        <f>I322+J322+K322+L322+M322+N322+O322+P322</f>
        <v/>
      </c>
      <c r="AE322" s="4" t="n">
        <v>1</v>
      </c>
      <c r="AF322" s="4" t="n">
        <v>1</v>
      </c>
      <c r="AG322" s="4" t="n">
        <v>1</v>
      </c>
      <c r="AH322" s="4" t="n">
        <v>1</v>
      </c>
      <c r="AI322" s="4" t="n">
        <v>1</v>
      </c>
    </row>
    <row r="323">
      <c r="A323" s="4" t="inlineStr">
        <is>
          <t>G322</t>
        </is>
      </c>
      <c r="B323" s="8" t="inlineStr">
        <is>
          <t>KR101467101B1</t>
        </is>
      </c>
      <c r="C323" s="8" t="inlineStr">
        <is>
          <t>M&amp;E Co., Ltd. (주식회사 엠앤이)</t>
        </is>
      </c>
      <c r="D323" s="8" t="inlineStr">
        <is>
          <t>Table 1 compound FFKM C</t>
        </is>
      </c>
      <c r="E323" s="8" t="inlineStr">
        <is>
          <t>FFKM</t>
        </is>
      </c>
      <c r="F323" s="8" t="inlineStr">
        <is>
          <t>FFKM masterbatch "FFKM C" (raw gum unspecified)</t>
        </is>
      </c>
      <c r="G323" s="8" t="inlineStr">
        <is>
          <t>other</t>
        </is>
      </c>
      <c r="H323" s="8" t="n">
        <v>100</v>
      </c>
      <c r="I323" s="8" t="n">
        <v>0</v>
      </c>
      <c r="J323" s="8" t="n">
        <v>1.5</v>
      </c>
      <c r="K323" s="8" t="n">
        <v>0</v>
      </c>
      <c r="L323" s="8" t="n">
        <v>0</v>
      </c>
      <c r="M323" s="8" t="n">
        <v>5</v>
      </c>
      <c r="N323" s="8" t="n">
        <v>0</v>
      </c>
      <c r="O323" s="8" t="n">
        <v>0</v>
      </c>
      <c r="P323" s="8" t="n">
        <v>0</v>
      </c>
      <c r="Q323" s="8" t="n">
        <v>0</v>
      </c>
      <c r="R323" s="8" t="n">
        <v>0</v>
      </c>
      <c r="S323" s="8" t="n">
        <v>0</v>
      </c>
      <c r="T323" s="8" t="n">
        <v>1.5</v>
      </c>
      <c r="U323" s="8" t="n">
        <v>0</v>
      </c>
      <c r="V323" s="8" t="n">
        <v>0</v>
      </c>
      <c r="W323" s="8" t="n">
        <v>77</v>
      </c>
      <c r="X323" s="8" t="n">
        <v>12.1</v>
      </c>
      <c r="Y323" s="8" t="n">
        <v>225</v>
      </c>
      <c r="Z323" s="8" t="n">
        <v>4.72</v>
      </c>
      <c r="AA323" s="8" t="n">
        <v>18</v>
      </c>
      <c r="AB323" s="8" t="inlineStr">
        <is>
          <t>230C x 70h, 25% deformation (ASTM D395 B)</t>
        </is>
      </c>
      <c r="AC323" s="4" t="n">
        <v>230</v>
      </c>
      <c r="AD323" s="4">
        <f>I323+J323+K323+L323+M323+N323+O323+P323</f>
        <v/>
      </c>
      <c r="AE323" s="4" t="n">
        <v>1</v>
      </c>
      <c r="AF323" s="4" t="n">
        <v>1</v>
      </c>
      <c r="AG323" s="4" t="n">
        <v>1</v>
      </c>
      <c r="AH323" s="4" t="n">
        <v>1</v>
      </c>
      <c r="AI323" s="4" t="n">
        <v>1</v>
      </c>
    </row>
    <row r="324">
      <c r="A324" s="4" t="inlineStr">
        <is>
          <t>G323</t>
        </is>
      </c>
      <c r="B324" s="8" t="inlineStr">
        <is>
          <t>KR101467101B1</t>
        </is>
      </c>
      <c r="C324" s="8" t="inlineStr">
        <is>
          <t>M&amp;E Co., Ltd. (주식회사 엠앤이)</t>
        </is>
      </c>
      <c r="D324" s="8" t="inlineStr">
        <is>
          <t>Table 2 sample 1</t>
        </is>
      </c>
      <c r="E324" s="8" t="inlineStr">
        <is>
          <t>FFKM</t>
        </is>
      </c>
      <c r="F324" s="8" t="inlineStr">
        <is>
          <t>FFKM masterbatch "FFKM B" 100 g</t>
        </is>
      </c>
      <c r="G324" s="8" t="inlineStr">
        <is>
          <t>other</t>
        </is>
      </c>
      <c r="H324" s="8" t="n">
        <v>100</v>
      </c>
      <c r="I324" s="8" t="n">
        <v>15</v>
      </c>
      <c r="J324" s="8" t="n">
        <v>1.5</v>
      </c>
      <c r="K324" s="8" t="n">
        <v>0</v>
      </c>
      <c r="L324" s="8" t="n">
        <v>0</v>
      </c>
      <c r="M324" s="8" t="n">
        <v>0</v>
      </c>
      <c r="N324" s="8" t="n">
        <v>0</v>
      </c>
      <c r="O324" s="8" t="n">
        <v>0</v>
      </c>
      <c r="P324" s="8" t="n">
        <v>0</v>
      </c>
      <c r="Q324" s="8" t="n">
        <v>0</v>
      </c>
      <c r="R324" s="8" t="n">
        <v>0</v>
      </c>
      <c r="S324" s="8" t="n">
        <v>0</v>
      </c>
      <c r="T324" s="8" t="n">
        <v>1.5</v>
      </c>
      <c r="U324" s="8" t="n">
        <v>0</v>
      </c>
      <c r="V324" s="8" t="n">
        <v>0</v>
      </c>
      <c r="W324" s="8" t="n">
        <v>55</v>
      </c>
      <c r="X324" s="8" t="n">
        <v>7.92</v>
      </c>
      <c r="Y324" s="8" t="n">
        <v>223.2</v>
      </c>
      <c r="Z324" s="8" t="n">
        <v>1.83</v>
      </c>
      <c r="AA324" s="8" t="n"/>
      <c r="AB324" s="8" t="n"/>
      <c r="AC324" s="4" t="n"/>
      <c r="AD324" s="4">
        <f>I324+J324+K324+L324+M324+N324+O324+P324</f>
        <v/>
      </c>
      <c r="AE324" s="4" t="n">
        <v>1</v>
      </c>
      <c r="AF324" s="4" t="n">
        <v>1</v>
      </c>
      <c r="AG324" s="4" t="n">
        <v>1</v>
      </c>
      <c r="AH324" s="4" t="n">
        <v>1</v>
      </c>
      <c r="AI324" s="4" t="n">
        <v>0</v>
      </c>
    </row>
    <row r="325">
      <c r="A325" s="4" t="inlineStr">
        <is>
          <t>G324</t>
        </is>
      </c>
      <c r="B325" s="8" t="inlineStr">
        <is>
          <t>KR101467101B1</t>
        </is>
      </c>
      <c r="C325" s="8" t="inlineStr">
        <is>
          <t>M&amp;E Co., Ltd. (주식회사 엠앤이)</t>
        </is>
      </c>
      <c r="D325" s="8" t="inlineStr">
        <is>
          <t>Table 2 sample 2</t>
        </is>
      </c>
      <c r="E325" s="8" t="inlineStr">
        <is>
          <t>FFKM</t>
        </is>
      </c>
      <c r="F325" s="8" t="inlineStr">
        <is>
          <t>FFKM masterbatch "FFKM B" 100 g</t>
        </is>
      </c>
      <c r="G325" s="8" t="inlineStr">
        <is>
          <t>other</t>
        </is>
      </c>
      <c r="H325" s="8" t="n">
        <v>100</v>
      </c>
      <c r="I325" s="8" t="n">
        <v>15</v>
      </c>
      <c r="J325" s="8" t="n">
        <v>1.5</v>
      </c>
      <c r="K325" s="8" t="n">
        <v>0</v>
      </c>
      <c r="L325" s="8" t="n">
        <v>0</v>
      </c>
      <c r="M325" s="8" t="n">
        <v>0</v>
      </c>
      <c r="N325" s="8" t="n">
        <v>0</v>
      </c>
      <c r="O325" s="8" t="n">
        <v>0</v>
      </c>
      <c r="P325" s="8" t="n">
        <v>0</v>
      </c>
      <c r="Q325" s="8" t="n">
        <v>0</v>
      </c>
      <c r="R325" s="8" t="n">
        <v>0</v>
      </c>
      <c r="S325" s="8" t="n">
        <v>0</v>
      </c>
      <c r="T325" s="8" t="n">
        <v>1.68</v>
      </c>
      <c r="U325" s="8" t="n">
        <v>0</v>
      </c>
      <c r="V325" s="8" t="n">
        <v>0</v>
      </c>
      <c r="W325" s="8" t="n">
        <v>58</v>
      </c>
      <c r="X325" s="8" t="n">
        <v>9.32</v>
      </c>
      <c r="Y325" s="8" t="n">
        <v>239.9</v>
      </c>
      <c r="Z325" s="8" t="n">
        <v>1.76</v>
      </c>
      <c r="AA325" s="8" t="n"/>
      <c r="AB325" s="8" t="n"/>
      <c r="AC325" s="4" t="n"/>
      <c r="AD325" s="4">
        <f>I325+J325+K325+L325+M325+N325+O325+P325</f>
        <v/>
      </c>
      <c r="AE325" s="4" t="n">
        <v>1</v>
      </c>
      <c r="AF325" s="4" t="n">
        <v>1</v>
      </c>
      <c r="AG325" s="4" t="n">
        <v>1</v>
      </c>
      <c r="AH325" s="4" t="n">
        <v>1</v>
      </c>
      <c r="AI325" s="4" t="n">
        <v>0</v>
      </c>
    </row>
    <row r="326">
      <c r="A326" s="4" t="inlineStr">
        <is>
          <t>G325</t>
        </is>
      </c>
      <c r="B326" s="8" t="inlineStr">
        <is>
          <t>KR101467101B1</t>
        </is>
      </c>
      <c r="C326" s="8" t="inlineStr">
        <is>
          <t>M&amp;E Co., Ltd. (주식회사 엠앤이)</t>
        </is>
      </c>
      <c r="D326" s="8" t="inlineStr">
        <is>
          <t>Table 2 sample 3</t>
        </is>
      </c>
      <c r="E326" s="8" t="inlineStr">
        <is>
          <t>FFKM</t>
        </is>
      </c>
      <c r="F326" s="8" t="inlineStr">
        <is>
          <t>FFKM masterbatch "FFKM B" 100 g</t>
        </is>
      </c>
      <c r="G326" s="8" t="inlineStr">
        <is>
          <t>other</t>
        </is>
      </c>
      <c r="H326" s="8" t="n">
        <v>100</v>
      </c>
      <c r="I326" s="8" t="n">
        <v>15</v>
      </c>
      <c r="J326" s="8" t="n">
        <v>1.5</v>
      </c>
      <c r="K326" s="8" t="n">
        <v>0</v>
      </c>
      <c r="L326" s="8" t="n">
        <v>0</v>
      </c>
      <c r="M326" s="8" t="n">
        <v>0</v>
      </c>
      <c r="N326" s="8" t="n">
        <v>0</v>
      </c>
      <c r="O326" s="8" t="n">
        <v>0</v>
      </c>
      <c r="P326" s="8" t="n">
        <v>0</v>
      </c>
      <c r="Q326" s="8" t="n">
        <v>0</v>
      </c>
      <c r="R326" s="8" t="n">
        <v>0</v>
      </c>
      <c r="S326" s="8" t="n">
        <v>0</v>
      </c>
      <c r="T326" s="8" t="n">
        <v>2.68</v>
      </c>
      <c r="U326" s="8" t="n">
        <v>0</v>
      </c>
      <c r="V326" s="8" t="n">
        <v>0</v>
      </c>
      <c r="W326" s="8" t="n">
        <v>65</v>
      </c>
      <c r="X326" s="8" t="n">
        <v>8.800000000000001</v>
      </c>
      <c r="Y326" s="8" t="n">
        <v>235.4</v>
      </c>
      <c r="Z326" s="8" t="n">
        <v>1.89</v>
      </c>
      <c r="AA326" s="8" t="n"/>
      <c r="AB326" s="8" t="n"/>
      <c r="AC326" s="4" t="n"/>
      <c r="AD326" s="4">
        <f>I326+J326+K326+L326+M326+N326+O326+P326</f>
        <v/>
      </c>
      <c r="AE326" s="4" t="n">
        <v>1</v>
      </c>
      <c r="AF326" s="4" t="n">
        <v>1</v>
      </c>
      <c r="AG326" s="4" t="n">
        <v>1</v>
      </c>
      <c r="AH326" s="4" t="n">
        <v>1</v>
      </c>
      <c r="AI326" s="4" t="n">
        <v>0</v>
      </c>
    </row>
    <row r="327">
      <c r="A327" s="4" t="inlineStr">
        <is>
          <t>G326</t>
        </is>
      </c>
      <c r="B327" s="8" t="inlineStr">
        <is>
          <t>KR101467101B1</t>
        </is>
      </c>
      <c r="C327" s="8" t="inlineStr">
        <is>
          <t>M&amp;E Co., Ltd. (주식회사 엠앤이)</t>
        </is>
      </c>
      <c r="D327" s="8" t="inlineStr">
        <is>
          <t>Example 1 (Table 2 sample 4)</t>
        </is>
      </c>
      <c r="E327" s="8" t="inlineStr">
        <is>
          <t>FFKM</t>
        </is>
      </c>
      <c r="F327" s="8" t="inlineStr">
        <is>
          <t>FFKM masterbatch "FFKM B" 100 g</t>
        </is>
      </c>
      <c r="G327" s="8" t="inlineStr">
        <is>
          <t>other</t>
        </is>
      </c>
      <c r="H327" s="8" t="n">
        <v>100</v>
      </c>
      <c r="I327" s="8" t="n">
        <v>15</v>
      </c>
      <c r="J327" s="8" t="n">
        <v>1.5</v>
      </c>
      <c r="K327" s="8" t="n">
        <v>0</v>
      </c>
      <c r="L327" s="8" t="n">
        <v>0</v>
      </c>
      <c r="M327" s="8" t="n">
        <v>0</v>
      </c>
      <c r="N327" s="8" t="n">
        <v>0</v>
      </c>
      <c r="O327" s="8" t="n">
        <v>0</v>
      </c>
      <c r="P327" s="8" t="n">
        <v>0</v>
      </c>
      <c r="Q327" s="8" t="n">
        <v>0</v>
      </c>
      <c r="R327" s="8" t="n">
        <v>0</v>
      </c>
      <c r="S327" s="8" t="n">
        <v>0</v>
      </c>
      <c r="T327" s="8" t="n">
        <v>3.86</v>
      </c>
      <c r="U327" s="8" t="n">
        <v>0</v>
      </c>
      <c r="V327" s="8" t="n">
        <v>0</v>
      </c>
      <c r="W327" s="8" t="n">
        <v>64</v>
      </c>
      <c r="X327" s="8" t="n">
        <v>9.210000000000001</v>
      </c>
      <c r="Y327" s="8" t="n">
        <v>226.9</v>
      </c>
      <c r="Z327" s="8" t="n">
        <v>1.81</v>
      </c>
      <c r="AA327" s="8" t="n">
        <v>22.7</v>
      </c>
      <c r="AB327" s="8" t="inlineStr">
        <is>
          <t>300C x 72h, 25% deformation (ASTM D395 B)</t>
        </is>
      </c>
      <c r="AC327" s="4" t="n">
        <v>300</v>
      </c>
      <c r="AD327" s="4">
        <f>I327+J327+K327+L327+M327+N327+O327+P327</f>
        <v/>
      </c>
      <c r="AE327" s="4" t="n">
        <v>1</v>
      </c>
      <c r="AF327" s="4" t="n">
        <v>1</v>
      </c>
      <c r="AG327" s="4" t="n">
        <v>1</v>
      </c>
      <c r="AH327" s="4" t="n">
        <v>1</v>
      </c>
      <c r="AI327" s="4" t="n">
        <v>1</v>
      </c>
    </row>
    <row r="328">
      <c r="A328" s="4" t="inlineStr">
        <is>
          <t>G327</t>
        </is>
      </c>
      <c r="B328" s="8" t="inlineStr">
        <is>
          <t>KR101467101B1</t>
        </is>
      </c>
      <c r="C328" s="8" t="inlineStr">
        <is>
          <t>M&amp;E Co., Ltd. (주식회사 엠앤이)</t>
        </is>
      </c>
      <c r="D328" s="8" t="inlineStr">
        <is>
          <t>Table 2 sample 5</t>
        </is>
      </c>
      <c r="E328" s="8" t="inlineStr">
        <is>
          <t>FFKM</t>
        </is>
      </c>
      <c r="F328" s="8" t="inlineStr">
        <is>
          <t>FFKM masterbatch "FFKM B" 100 g</t>
        </is>
      </c>
      <c r="G328" s="8" t="inlineStr">
        <is>
          <t>other</t>
        </is>
      </c>
      <c r="H328" s="8" t="n">
        <v>100</v>
      </c>
      <c r="I328" s="8" t="n">
        <v>15</v>
      </c>
      <c r="J328" s="8" t="n">
        <v>1.5</v>
      </c>
      <c r="K328" s="8" t="n">
        <v>0</v>
      </c>
      <c r="L328" s="8" t="n">
        <v>0</v>
      </c>
      <c r="M328" s="8" t="n">
        <v>0</v>
      </c>
      <c r="N328" s="8" t="n">
        <v>0</v>
      </c>
      <c r="O328" s="8" t="n">
        <v>0</v>
      </c>
      <c r="P328" s="8" t="n">
        <v>0</v>
      </c>
      <c r="Q328" s="8" t="n">
        <v>0</v>
      </c>
      <c r="R328" s="8" t="n">
        <v>0</v>
      </c>
      <c r="S328" s="8" t="n">
        <v>0</v>
      </c>
      <c r="T328" s="8" t="n">
        <v>2.68</v>
      </c>
      <c r="U328" s="8" t="n">
        <v>0</v>
      </c>
      <c r="V328" s="8" t="n">
        <v>0</v>
      </c>
      <c r="W328" s="8" t="n">
        <v>67</v>
      </c>
      <c r="X328" s="8" t="n">
        <v>9.949999999999999</v>
      </c>
      <c r="Y328" s="8" t="n">
        <v>213.9</v>
      </c>
      <c r="Z328" s="8" t="n">
        <v>2.03</v>
      </c>
      <c r="AA328" s="8" t="n"/>
      <c r="AB328" s="8" t="n"/>
      <c r="AC328" s="4" t="n"/>
      <c r="AD328" s="4">
        <f>I328+J328+K328+L328+M328+N328+O328+P328</f>
        <v/>
      </c>
      <c r="AE328" s="4" t="n">
        <v>1</v>
      </c>
      <c r="AF328" s="4" t="n">
        <v>1</v>
      </c>
      <c r="AG328" s="4" t="n">
        <v>1</v>
      </c>
      <c r="AH328" s="4" t="n">
        <v>1</v>
      </c>
      <c r="AI328" s="4" t="n">
        <v>0</v>
      </c>
    </row>
    <row r="329">
      <c r="A329" s="4" t="inlineStr">
        <is>
          <t>G328</t>
        </is>
      </c>
      <c r="B329" s="8" t="inlineStr">
        <is>
          <t>KR101467101B1</t>
        </is>
      </c>
      <c r="C329" s="8" t="inlineStr">
        <is>
          <t>M&amp;E Co., Ltd. (주식회사 엠앤이)</t>
        </is>
      </c>
      <c r="D329" s="8" t="inlineStr">
        <is>
          <t>Comparative Example 1 (Table 3 sample 2)</t>
        </is>
      </c>
      <c r="E329" s="8" t="inlineStr">
        <is>
          <t>FFKM</t>
        </is>
      </c>
      <c r="F329" s="8" t="inlineStr">
        <is>
          <t>FFKM masterbatch "FFKM D" 100 g</t>
        </is>
      </c>
      <c r="G329" s="8" t="inlineStr">
        <is>
          <t>other</t>
        </is>
      </c>
      <c r="H329" s="8" t="n">
        <v>100</v>
      </c>
      <c r="I329" s="8" t="n">
        <v>28</v>
      </c>
      <c r="J329" s="8" t="n">
        <v>1.5</v>
      </c>
      <c r="K329" s="8" t="n">
        <v>0</v>
      </c>
      <c r="L329" s="8" t="n">
        <v>0</v>
      </c>
      <c r="M329" s="8" t="n">
        <v>0</v>
      </c>
      <c r="N329" s="8" t="n">
        <v>0</v>
      </c>
      <c r="O329" s="8" t="n">
        <v>0</v>
      </c>
      <c r="P329" s="8" t="n">
        <v>0</v>
      </c>
      <c r="Q329" s="8" t="n">
        <v>0</v>
      </c>
      <c r="R329" s="8" t="n">
        <v>0</v>
      </c>
      <c r="S329" s="8" t="n">
        <v>0</v>
      </c>
      <c r="T329" s="8" t="n">
        <v>0.19</v>
      </c>
      <c r="U329" s="8" t="n">
        <v>0</v>
      </c>
      <c r="V329" s="8" t="n">
        <v>0</v>
      </c>
      <c r="W329" s="8" t="n">
        <v>67</v>
      </c>
      <c r="X329" s="8" t="n">
        <v>9.359999999999999</v>
      </c>
      <c r="Y329" s="8" t="n">
        <v>156.1</v>
      </c>
      <c r="Z329" s="8" t="n">
        <v>3.16</v>
      </c>
      <c r="AA329" s="8" t="n"/>
      <c r="AB329" s="8" t="n"/>
      <c r="AC329" s="4" t="n"/>
      <c r="AD329" s="4">
        <f>I329+J329+K329+L329+M329+N329+O329+P329</f>
        <v/>
      </c>
      <c r="AE329" s="4" t="n">
        <v>1</v>
      </c>
      <c r="AF329" s="4" t="n">
        <v>1</v>
      </c>
      <c r="AG329" s="4" t="n">
        <v>1</v>
      </c>
      <c r="AH329" s="4" t="n">
        <v>1</v>
      </c>
      <c r="AI329" s="4" t="n">
        <v>0</v>
      </c>
    </row>
    <row r="330">
      <c r="A330" s="4" t="inlineStr">
        <is>
          <t>G329</t>
        </is>
      </c>
      <c r="B330" s="8" t="inlineStr">
        <is>
          <t>KR101467101B1</t>
        </is>
      </c>
      <c r="C330" s="8" t="inlineStr">
        <is>
          <t>M&amp;E Co., Ltd. (주식회사 엠앤이)</t>
        </is>
      </c>
      <c r="D330" s="8" t="inlineStr">
        <is>
          <t>Comparative Example 1 (Table 3 sample 3)</t>
        </is>
      </c>
      <c r="E330" s="8" t="inlineStr">
        <is>
          <t>FFKM</t>
        </is>
      </c>
      <c r="F330" s="8" t="inlineStr">
        <is>
          <t>FFKM masterbatch "FFKM D" 100 g</t>
        </is>
      </c>
      <c r="G330" s="8" t="inlineStr">
        <is>
          <t>other</t>
        </is>
      </c>
      <c r="H330" s="8" t="n">
        <v>100</v>
      </c>
      <c r="I330" s="8" t="n">
        <v>28</v>
      </c>
      <c r="J330" s="8" t="n">
        <v>1.5</v>
      </c>
      <c r="K330" s="8" t="n">
        <v>0</v>
      </c>
      <c r="L330" s="8" t="n">
        <v>0</v>
      </c>
      <c r="M330" s="8" t="n">
        <v>0</v>
      </c>
      <c r="N330" s="8" t="n">
        <v>0</v>
      </c>
      <c r="O330" s="8" t="n">
        <v>0</v>
      </c>
      <c r="P330" s="8" t="n">
        <v>0</v>
      </c>
      <c r="Q330" s="8" t="n">
        <v>0</v>
      </c>
      <c r="R330" s="8" t="n">
        <v>0</v>
      </c>
      <c r="S330" s="8" t="n">
        <v>0</v>
      </c>
      <c r="T330" s="8" t="n">
        <v>0.19</v>
      </c>
      <c r="U330" s="8" t="n">
        <v>0</v>
      </c>
      <c r="V330" s="8" t="n">
        <v>0</v>
      </c>
      <c r="W330" s="8" t="n">
        <v>67</v>
      </c>
      <c r="X330" s="8" t="n">
        <v>9.17</v>
      </c>
      <c r="Y330" s="8" t="n">
        <v>156.7</v>
      </c>
      <c r="Z330" s="8" t="n">
        <v>3.03</v>
      </c>
      <c r="AA330" s="8" t="n"/>
      <c r="AB330" s="8" t="n"/>
      <c r="AC330" s="4" t="n"/>
      <c r="AD330" s="4">
        <f>I330+J330+K330+L330+M330+N330+O330+P330</f>
        <v/>
      </c>
      <c r="AE330" s="4" t="n">
        <v>1</v>
      </c>
      <c r="AF330" s="4" t="n">
        <v>1</v>
      </c>
      <c r="AG330" s="4" t="n">
        <v>1</v>
      </c>
      <c r="AH330" s="4" t="n">
        <v>1</v>
      </c>
      <c r="AI330" s="4" t="n">
        <v>0</v>
      </c>
    </row>
    <row r="331">
      <c r="A331" s="4" t="inlineStr">
        <is>
          <t>G330</t>
        </is>
      </c>
      <c r="B331" s="8" t="inlineStr">
        <is>
          <t>KR101467101B1</t>
        </is>
      </c>
      <c r="C331" s="8" t="inlineStr">
        <is>
          <t>M&amp;E Co., Ltd. (주식회사 엠앤이)</t>
        </is>
      </c>
      <c r="D331" s="8" t="inlineStr">
        <is>
          <t>Comparative Example 1 (Table 3 sample 4)</t>
        </is>
      </c>
      <c r="E331" s="8" t="inlineStr">
        <is>
          <t>FFKM</t>
        </is>
      </c>
      <c r="F331" s="8" t="inlineStr">
        <is>
          <t>FFKM masterbatch "FFKM D" 100 g</t>
        </is>
      </c>
      <c r="G331" s="8" t="inlineStr">
        <is>
          <t>other</t>
        </is>
      </c>
      <c r="H331" s="8" t="n">
        <v>100</v>
      </c>
      <c r="I331" s="8" t="n">
        <v>28</v>
      </c>
      <c r="J331" s="8" t="n">
        <v>1.5</v>
      </c>
      <c r="K331" s="8" t="n">
        <v>0</v>
      </c>
      <c r="L331" s="8" t="n">
        <v>0</v>
      </c>
      <c r="M331" s="8" t="n">
        <v>0</v>
      </c>
      <c r="N331" s="8" t="n">
        <v>0</v>
      </c>
      <c r="O331" s="8" t="n">
        <v>0</v>
      </c>
      <c r="P331" s="8" t="n">
        <v>0</v>
      </c>
      <c r="Q331" s="8" t="n">
        <v>0</v>
      </c>
      <c r="R331" s="8" t="n">
        <v>0</v>
      </c>
      <c r="S331" s="8" t="n">
        <v>0</v>
      </c>
      <c r="T331" s="8" t="n">
        <v>2.59</v>
      </c>
      <c r="U331" s="8" t="n">
        <v>0</v>
      </c>
      <c r="V331" s="8" t="n">
        <v>0</v>
      </c>
      <c r="W331" s="8" t="n">
        <v>67</v>
      </c>
      <c r="X331" s="8" t="n">
        <v>8.16</v>
      </c>
      <c r="Y331" s="8" t="n">
        <v>141.6</v>
      </c>
      <c r="Z331" s="8" t="n">
        <v>3.32</v>
      </c>
      <c r="AA331" s="8" t="n"/>
      <c r="AB331" s="8" t="n"/>
      <c r="AC331" s="4" t="n"/>
      <c r="AD331" s="4">
        <f>I331+J331+K331+L331+M331+N331+O331+P331</f>
        <v/>
      </c>
      <c r="AE331" s="4" t="n">
        <v>1</v>
      </c>
      <c r="AF331" s="4" t="n">
        <v>1</v>
      </c>
      <c r="AG331" s="4" t="n">
        <v>1</v>
      </c>
      <c r="AH331" s="4" t="n">
        <v>1</v>
      </c>
      <c r="AI331" s="4" t="n">
        <v>0</v>
      </c>
    </row>
    <row r="332">
      <c r="A332" s="4" t="inlineStr">
        <is>
          <t>G331</t>
        </is>
      </c>
      <c r="B332" s="8" t="inlineStr">
        <is>
          <t>KR101467101B1</t>
        </is>
      </c>
      <c r="C332" s="8" t="inlineStr">
        <is>
          <t>M&amp;E Co., Ltd. (주식회사 엠앤이)</t>
        </is>
      </c>
      <c r="D332" s="8" t="inlineStr">
        <is>
          <t>Example 2</t>
        </is>
      </c>
      <c r="E332" s="8" t="inlineStr">
        <is>
          <t>FFKM</t>
        </is>
      </c>
      <c r="F332" s="8" t="inlineStr">
        <is>
          <t>FFKM masterbatch blend "FFKM B" 100 g</t>
        </is>
      </c>
      <c r="G332" s="8" t="inlineStr">
        <is>
          <t>other</t>
        </is>
      </c>
      <c r="H332" s="8" t="n">
        <v>100</v>
      </c>
      <c r="I332" s="8" t="n">
        <v>15</v>
      </c>
      <c r="J332" s="8" t="n">
        <v>3.86</v>
      </c>
      <c r="K332" s="8" t="n">
        <v>0</v>
      </c>
      <c r="L332" s="8" t="n">
        <v>0</v>
      </c>
      <c r="M332" s="8" t="n">
        <v>0</v>
      </c>
      <c r="N332" s="8" t="n">
        <v>0</v>
      </c>
      <c r="O332" s="8" t="n">
        <v>0</v>
      </c>
      <c r="P332" s="8" t="n">
        <v>0</v>
      </c>
      <c r="Q332" s="8" t="n">
        <v>0</v>
      </c>
      <c r="R332" s="8" t="n">
        <v>0</v>
      </c>
      <c r="S332" s="8" t="n">
        <v>0</v>
      </c>
      <c r="T332" s="8" t="n">
        <v>7.05</v>
      </c>
      <c r="U332" s="8" t="n">
        <v>0</v>
      </c>
      <c r="V332" s="8" t="n">
        <v>0</v>
      </c>
      <c r="W332" s="8" t="n">
        <v>71</v>
      </c>
      <c r="X332" s="8" t="n">
        <v>10.97</v>
      </c>
      <c r="Y332" s="8" t="n">
        <v>214.1</v>
      </c>
      <c r="Z332" s="8" t="n">
        <v>2.56</v>
      </c>
      <c r="AA332" s="8" t="n">
        <v>22.7</v>
      </c>
      <c r="AB332" s="8" t="inlineStr">
        <is>
          <t>300C x 72h, 25% deformation (ASTM D395 B)</t>
        </is>
      </c>
      <c r="AC332" s="4" t="n">
        <v>300</v>
      </c>
      <c r="AD332" s="4">
        <f>I332+J332+K332+L332+M332+N332+O332+P332</f>
        <v/>
      </c>
      <c r="AE332" s="4" t="n">
        <v>1</v>
      </c>
      <c r="AF332" s="4" t="n">
        <v>1</v>
      </c>
      <c r="AG332" s="4" t="n">
        <v>1</v>
      </c>
      <c r="AH332" s="4" t="n">
        <v>1</v>
      </c>
      <c r="AI332" s="4" t="n">
        <v>1</v>
      </c>
    </row>
    <row r="333">
      <c r="A333" s="4" t="inlineStr">
        <is>
          <t>G332</t>
        </is>
      </c>
      <c r="B333" s="8" t="inlineStr">
        <is>
          <t>KR101467101B1</t>
        </is>
      </c>
      <c r="C333" s="8" t="inlineStr">
        <is>
          <t>M&amp;E Co., Ltd. (주식회사 엠앤이)</t>
        </is>
      </c>
      <c r="D333" s="8" t="inlineStr">
        <is>
          <t>Comparative Example 2</t>
        </is>
      </c>
      <c r="E333" s="8" t="inlineStr">
        <is>
          <t>FFKM</t>
        </is>
      </c>
      <c r="F333" s="8" t="inlineStr">
        <is>
          <t>FFKM masterbatch blend "FFKM D" 100 g</t>
        </is>
      </c>
      <c r="G333" s="8" t="inlineStr">
        <is>
          <t>other</t>
        </is>
      </c>
      <c r="H333" s="8" t="n">
        <v>100</v>
      </c>
      <c r="I333" s="8" t="n">
        <v>28</v>
      </c>
      <c r="J333" s="8" t="n">
        <v>4.09</v>
      </c>
      <c r="K333" s="8" t="n">
        <v>0</v>
      </c>
      <c r="L333" s="8" t="n">
        <v>0</v>
      </c>
      <c r="M333" s="8" t="n">
        <v>0</v>
      </c>
      <c r="N333" s="8" t="n">
        <v>0</v>
      </c>
      <c r="O333" s="8" t="n">
        <v>0</v>
      </c>
      <c r="P333" s="8" t="n">
        <v>0</v>
      </c>
      <c r="Q333" s="8" t="n">
        <v>0</v>
      </c>
      <c r="R333" s="8" t="n">
        <v>0</v>
      </c>
      <c r="S333" s="8" t="n">
        <v>0</v>
      </c>
      <c r="T333" s="8" t="n">
        <v>6.09</v>
      </c>
      <c r="U333" s="8" t="n">
        <v>0</v>
      </c>
      <c r="V333" s="8" t="n">
        <v>0</v>
      </c>
      <c r="W333" s="8" t="n">
        <v>75</v>
      </c>
      <c r="X333" s="8" t="n">
        <v>10.96</v>
      </c>
      <c r="Y333" s="8" t="n">
        <v>148.8</v>
      </c>
      <c r="Z333" s="8" t="n">
        <v>4.27</v>
      </c>
      <c r="AA333" s="8" t="n"/>
      <c r="AB333" s="8" t="n"/>
      <c r="AC333" s="4" t="n"/>
      <c r="AD333" s="4">
        <f>I333+J333+K333+L333+M333+N333+O333+P333</f>
        <v/>
      </c>
      <c r="AE333" s="4" t="n">
        <v>1</v>
      </c>
      <c r="AF333" s="4" t="n">
        <v>1</v>
      </c>
      <c r="AG333" s="4" t="n">
        <v>1</v>
      </c>
      <c r="AH333" s="4" t="n">
        <v>1</v>
      </c>
      <c r="AI333" s="4" t="n">
        <v>0</v>
      </c>
    </row>
    <row r="334">
      <c r="A334" s="4" t="inlineStr">
        <is>
          <t>G333</t>
        </is>
      </c>
      <c r="B334" s="8" t="inlineStr">
        <is>
          <t>KR101467101B1</t>
        </is>
      </c>
      <c r="C334" s="8" t="inlineStr">
        <is>
          <t>M&amp;E Co., Ltd. (주식회사 엠앤이)</t>
        </is>
      </c>
      <c r="D334" s="8" t="inlineStr">
        <is>
          <t>Example 3</t>
        </is>
      </c>
      <c r="E334" s="8" t="inlineStr">
        <is>
          <t>FFKM</t>
        </is>
      </c>
      <c r="F334" s="8" t="inlineStr">
        <is>
          <t>FFKM masterbatch blend "FFKM B" 50 g + "FFKM D" 50 g</t>
        </is>
      </c>
      <c r="G334" s="8" t="inlineStr">
        <is>
          <t>other</t>
        </is>
      </c>
      <c r="H334" s="8" t="n">
        <v>100</v>
      </c>
      <c r="I334" s="8" t="n">
        <v>21.2</v>
      </c>
      <c r="J334" s="8" t="n">
        <v>3.97</v>
      </c>
      <c r="K334" s="8" t="n">
        <v>0</v>
      </c>
      <c r="L334" s="8" t="n">
        <v>0</v>
      </c>
      <c r="M334" s="8" t="n">
        <v>0</v>
      </c>
      <c r="N334" s="8" t="n">
        <v>0</v>
      </c>
      <c r="O334" s="8" t="n">
        <v>0</v>
      </c>
      <c r="P334" s="8" t="n">
        <v>0</v>
      </c>
      <c r="Q334" s="8" t="n">
        <v>0</v>
      </c>
      <c r="R334" s="8" t="n">
        <v>0</v>
      </c>
      <c r="S334" s="8" t="n">
        <v>0</v>
      </c>
      <c r="T334" s="8" t="n">
        <v>6.59</v>
      </c>
      <c r="U334" s="8" t="n">
        <v>0</v>
      </c>
      <c r="V334" s="8" t="n">
        <v>0</v>
      </c>
      <c r="W334" s="8" t="n">
        <v>74</v>
      </c>
      <c r="X334" s="8" t="n">
        <v>13.71</v>
      </c>
      <c r="Y334" s="8" t="n">
        <v>213.2</v>
      </c>
      <c r="Z334" s="8" t="n">
        <v>2.79</v>
      </c>
      <c r="AA334" s="8" t="n">
        <v>21.96</v>
      </c>
      <c r="AB334" s="8" t="inlineStr">
        <is>
          <t>300C x 72h, 25% deformation (ASTM D395 B)</t>
        </is>
      </c>
      <c r="AC334" s="4" t="n">
        <v>300</v>
      </c>
      <c r="AD334" s="4">
        <f>I334+J334+K334+L334+M334+N334+O334+P334</f>
        <v/>
      </c>
      <c r="AE334" s="4" t="n">
        <v>1</v>
      </c>
      <c r="AF334" s="4" t="n">
        <v>1</v>
      </c>
      <c r="AG334" s="4" t="n">
        <v>1</v>
      </c>
      <c r="AH334" s="4" t="n">
        <v>1</v>
      </c>
      <c r="AI334" s="4" t="n">
        <v>1</v>
      </c>
    </row>
  </sheetData>
  <autoFilter ref="A1:AI3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22" customWidth="1" min="2" max="2"/>
    <col width="10" customWidth="1" min="3" max="3"/>
    <col width="10" customWidth="1" min="4" max="4"/>
    <col width="10" customWidth="1" min="5" max="5"/>
    <col width="10" customWidth="1" min="6" max="6"/>
    <col width="10" customWidth="1" min="7" max="7"/>
    <col width="14" customWidth="1" min="8" max="8"/>
  </cols>
  <sheetData>
    <row r="1">
      <c r="A1" s="9" t="inlineStr">
        <is>
          <t>물성</t>
        </is>
      </c>
      <c r="B1" s="9" t="inlineStr">
        <is>
          <t>열</t>
        </is>
      </c>
      <c r="C1" s="9" t="inlineStr">
        <is>
          <t>n (전체)</t>
        </is>
      </c>
      <c r="D1" s="9" t="inlineStr">
        <is>
          <t>평균</t>
        </is>
      </c>
      <c r="E1" s="9" t="inlineStr">
        <is>
          <t>표준편차</t>
        </is>
      </c>
      <c r="F1" s="9" t="inlineStr">
        <is>
          <t>최소</t>
        </is>
      </c>
      <c r="G1" s="9" t="inlineStr">
        <is>
          <t>최대</t>
        </is>
      </c>
      <c r="H1" s="9" t="inlineStr">
        <is>
          <t>n (모델 사용)</t>
        </is>
      </c>
    </row>
    <row r="2">
      <c r="A2" s="4" t="inlineStr">
        <is>
          <t>경도 (Shore A)</t>
        </is>
      </c>
      <c r="B2" s="4" t="inlineStr">
        <is>
          <t>hardness_shoreA</t>
        </is>
      </c>
      <c r="C2" s="4">
        <f>COUNT(Model_Data!$W$2:$W$334)</f>
        <v/>
      </c>
      <c r="D2" s="10">
        <f>AVERAGE(Model_Data!$W$2:$W$334)</f>
        <v/>
      </c>
      <c r="E2" s="10">
        <f>STDEV(Model_Data!$W$2:$W$334)</f>
        <v/>
      </c>
      <c r="F2" s="10">
        <f>MIN(Model_Data!$W$2:$W$334)</f>
        <v/>
      </c>
      <c r="G2" s="10">
        <f>MAX(Model_Data!$W$2:$W$334)</f>
        <v/>
      </c>
      <c r="H2" s="4">
        <f>SUM(Model_Data!$AE$2:$AE$334)</f>
        <v/>
      </c>
    </row>
    <row r="3">
      <c r="A3" s="4" t="inlineStr">
        <is>
          <t>인장강도 (MPa)</t>
        </is>
      </c>
      <c r="B3" s="4" t="inlineStr">
        <is>
          <t>tensile_MPa</t>
        </is>
      </c>
      <c r="C3" s="4">
        <f>COUNT(Model_Data!$X$2:$X$334)</f>
        <v/>
      </c>
      <c r="D3" s="10">
        <f>AVERAGE(Model_Data!$X$2:$X$334)</f>
        <v/>
      </c>
      <c r="E3" s="10">
        <f>STDEV(Model_Data!$X$2:$X$334)</f>
        <v/>
      </c>
      <c r="F3" s="10">
        <f>MIN(Model_Data!$X$2:$X$334)</f>
        <v/>
      </c>
      <c r="G3" s="10">
        <f>MAX(Model_Data!$X$2:$X$334)</f>
        <v/>
      </c>
      <c r="H3" s="4">
        <f>SUM(Model_Data!$AF$2:$AF$334)</f>
        <v/>
      </c>
    </row>
    <row r="4">
      <c r="A4" s="4" t="inlineStr">
        <is>
          <t>신율 (%)</t>
        </is>
      </c>
      <c r="B4" s="4" t="inlineStr">
        <is>
          <t>elongation_pct</t>
        </is>
      </c>
      <c r="C4" s="4">
        <f>COUNT(Model_Data!$Y$2:$Y$334)</f>
        <v/>
      </c>
      <c r="D4" s="10">
        <f>AVERAGE(Model_Data!$Y$2:$Y$334)</f>
        <v/>
      </c>
      <c r="E4" s="10">
        <f>STDEV(Model_Data!$Y$2:$Y$334)</f>
        <v/>
      </c>
      <c r="F4" s="10">
        <f>MIN(Model_Data!$Y$2:$Y$334)</f>
        <v/>
      </c>
      <c r="G4" s="10">
        <f>MAX(Model_Data!$Y$2:$Y$334)</f>
        <v/>
      </c>
      <c r="H4" s="4">
        <f>SUM(Model_Data!$AG$2:$AG$334)</f>
        <v/>
      </c>
    </row>
    <row r="5">
      <c r="A5" s="4" t="inlineStr">
        <is>
          <t>100% 모듈러스 (MPa)</t>
        </is>
      </c>
      <c r="B5" s="4" t="inlineStr">
        <is>
          <t>m100_MPa</t>
        </is>
      </c>
      <c r="C5" s="4">
        <f>COUNT(Model_Data!$Z$2:$Z$334)</f>
        <v/>
      </c>
      <c r="D5" s="10">
        <f>AVERAGE(Model_Data!$Z$2:$Z$334)</f>
        <v/>
      </c>
      <c r="E5" s="10">
        <f>STDEV(Model_Data!$Z$2:$Z$334)</f>
        <v/>
      </c>
      <c r="F5" s="10">
        <f>MIN(Model_Data!$Z$2:$Z$334)</f>
        <v/>
      </c>
      <c r="G5" s="10">
        <f>MAX(Model_Data!$Z$2:$Z$334)</f>
        <v/>
      </c>
      <c r="H5" s="4">
        <f>SUM(Model_Data!$AH$2:$AH$334)</f>
        <v/>
      </c>
    </row>
    <row r="6">
      <c r="A6" s="4" t="inlineStr">
        <is>
          <t>압축영구줄음률 (%)</t>
        </is>
      </c>
      <c r="B6" s="4" t="inlineStr">
        <is>
          <t>compression_set_pct</t>
        </is>
      </c>
      <c r="C6" s="4">
        <f>COUNT(Model_Data!$AA$2:$AA$334)</f>
        <v/>
      </c>
      <c r="D6" s="10">
        <f>AVERAGE(Model_Data!$AA$2:$AA$334)</f>
        <v/>
      </c>
      <c r="E6" s="10">
        <f>STDEV(Model_Data!$AA$2:$AA$334)</f>
        <v/>
      </c>
      <c r="F6" s="10">
        <f>MIN(Model_Data!$AA$2:$AA$334)</f>
        <v/>
      </c>
      <c r="G6" s="10">
        <f>MAX(Model_Data!$AA$2:$AA$334)</f>
        <v/>
      </c>
      <c r="H6" s="4">
        <f>SUM(Model_Data!$AI$2:$AI$334)</f>
        <v/>
      </c>
    </row>
    <row r="8">
      <c r="A8" s="4" t="inlineStr">
        <is>
          <t>주: 압축영구줄음률의 '모델 사용' 수는 시험온도 명시 및 60~100 h 조건을 만족하는 행만 집계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2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0" customWidth="1" min="6" max="6"/>
    <col width="10" customWidth="1" min="7" max="7"/>
    <col width="10" customWidth="1" min="8" max="8"/>
    <col width="10" customWidth="1" min="9" max="9"/>
    <col width="13" customWidth="1" min="10" max="10"/>
    <col width="13" customWidth="1" min="11" max="11"/>
    <col width="13" customWidth="1" min="12" max="12"/>
    <col width="10" customWidth="1" min="13" max="13"/>
    <col width="12" customWidth="1" min="14" max="14"/>
    <col width="13" customWidth="1" min="15" max="15"/>
    <col width="12"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s>
  <sheetData>
    <row r="1" ht="30" customHeight="1">
      <c r="A1" s="6" t="inlineStr">
        <is>
          <t>trial_no</t>
        </is>
      </c>
      <c r="B1" s="6" t="inlineStr">
        <is>
          <t>target</t>
        </is>
      </c>
      <c r="C1" s="6" t="inlineStr">
        <is>
          <t>experiment</t>
        </is>
      </c>
      <c r="D1" s="6" t="inlineStr">
        <is>
          <t>seed</t>
        </is>
      </c>
      <c r="E1" s="6" t="inlineStr">
        <is>
          <t>iter</t>
        </is>
      </c>
      <c r="F1" s="6" t="inlineStr">
        <is>
          <t>model</t>
        </is>
      </c>
      <c r="G1" s="6" t="inlineStr">
        <is>
          <t>kernel</t>
        </is>
      </c>
      <c r="H1" s="6" t="inlineStr">
        <is>
          <t>ard</t>
        </is>
      </c>
      <c r="I1" s="6" t="inlineStr">
        <is>
          <t>linear</t>
        </is>
      </c>
      <c r="J1" s="6" t="inlineStr">
        <is>
          <t>x_transform</t>
        </is>
      </c>
      <c r="K1" s="6" t="inlineStr">
        <is>
          <t>y_transform</t>
        </is>
      </c>
      <c r="L1" s="6" t="inlineStr">
        <is>
          <t>feature_set</t>
        </is>
      </c>
      <c r="M1" s="6" t="inlineStr">
        <is>
          <t>ls_init</t>
        </is>
      </c>
      <c r="N1" s="6" t="inlineStr">
        <is>
          <t>noise_init</t>
        </is>
      </c>
      <c r="O1" s="6" t="inlineStr">
        <is>
          <t>noise_floor</t>
        </is>
      </c>
      <c r="P1" s="6" t="inlineStr">
        <is>
          <t>n_restarts</t>
        </is>
      </c>
      <c r="Q1" s="6" t="inlineStr">
        <is>
          <t>R2</t>
        </is>
      </c>
      <c r="R1" s="6" t="inlineStr">
        <is>
          <t>R2_std</t>
        </is>
      </c>
      <c r="S1" s="6" t="inlineStr">
        <is>
          <t>RMSE</t>
        </is>
      </c>
      <c r="T1" s="6" t="inlineStr">
        <is>
          <t>MAE</t>
        </is>
      </c>
      <c r="U1" s="6" t="inlineStr">
        <is>
          <t>cov95</t>
        </is>
      </c>
      <c r="V1" s="6" t="inlineStr">
        <is>
          <t>NLPD</t>
        </is>
      </c>
      <c r="W1" s="6" t="inlineStr">
        <is>
          <t>sec</t>
        </is>
      </c>
    </row>
    <row r="2">
      <c r="A2" s="4" t="n">
        <v>1</v>
      </c>
      <c r="B2" s="4" t="inlineStr">
        <is>
          <t>hardness_shoreA</t>
        </is>
      </c>
      <c r="C2" s="4" t="inlineStr">
        <is>
          <t>Exp0_baseline</t>
        </is>
      </c>
      <c r="D2" s="4" t="n"/>
      <c r="E2" s="4" t="n"/>
      <c r="F2" s="4" t="inlineStr">
        <is>
          <t>GP_sklearn_default</t>
        </is>
      </c>
      <c r="G2" s="4" t="n"/>
      <c r="H2" s="4" t="n"/>
      <c r="I2" s="4" t="n"/>
      <c r="J2" s="4" t="n"/>
      <c r="K2" s="4" t="n"/>
      <c r="L2" s="4" t="n"/>
      <c r="M2" s="11" t="n"/>
      <c r="N2" s="11" t="n"/>
      <c r="O2" s="11" t="n"/>
      <c r="P2" s="4" t="n"/>
      <c r="Q2" s="11" t="n">
        <v>-1254.067588416734</v>
      </c>
      <c r="R2" s="11" t="n"/>
      <c r="S2" s="11" t="n">
        <v>308.1895432712777</v>
      </c>
      <c r="T2" s="11" t="n">
        <v>63.54244845084297</v>
      </c>
      <c r="U2" s="11" t="n"/>
      <c r="V2" s="11" t="n"/>
      <c r="W2" s="12" t="n"/>
    </row>
    <row r="3">
      <c r="A3" s="4" t="n">
        <v>2</v>
      </c>
      <c r="B3" s="4" t="inlineStr">
        <is>
          <t>hardness_shoreA</t>
        </is>
      </c>
      <c r="C3" s="4" t="inlineStr">
        <is>
          <t>Exp0_baseline</t>
        </is>
      </c>
      <c r="D3" s="4" t="n"/>
      <c r="E3" s="4" t="n"/>
      <c r="F3" s="4" t="inlineStr">
        <is>
          <t>Ridge</t>
        </is>
      </c>
      <c r="G3" s="4" t="n"/>
      <c r="H3" s="4" t="n"/>
      <c r="I3" s="4" t="n"/>
      <c r="J3" s="4" t="n"/>
      <c r="K3" s="4" t="n"/>
      <c r="L3" s="4" t="n"/>
      <c r="M3" s="11" t="n"/>
      <c r="N3" s="11" t="n"/>
      <c r="O3" s="11" t="n"/>
      <c r="P3" s="4" t="n"/>
      <c r="Q3" s="11" t="n">
        <v>0.5394443226238897</v>
      </c>
      <c r="R3" s="11" t="n"/>
      <c r="S3" s="11" t="n">
        <v>6.173915017651448</v>
      </c>
      <c r="T3" s="11" t="n">
        <v>4.64848688852028</v>
      </c>
      <c r="U3" s="11" t="n"/>
      <c r="V3" s="11" t="n"/>
      <c r="W3" s="12" t="n"/>
    </row>
    <row r="4">
      <c r="A4" s="4" t="n">
        <v>3</v>
      </c>
      <c r="B4" s="4" t="inlineStr">
        <is>
          <t>hardness_shoreA</t>
        </is>
      </c>
      <c r="C4" s="4" t="inlineStr">
        <is>
          <t>Exp0_baseline</t>
        </is>
      </c>
      <c r="D4" s="4" t="n"/>
      <c r="E4" s="4" t="n"/>
      <c r="F4" s="4" t="inlineStr">
        <is>
          <t>RandomForest</t>
        </is>
      </c>
      <c r="G4" s="4" t="n"/>
      <c r="H4" s="4" t="n"/>
      <c r="I4" s="4" t="n"/>
      <c r="J4" s="4" t="n"/>
      <c r="K4" s="4" t="n"/>
      <c r="L4" s="4" t="n"/>
      <c r="M4" s="11" t="n"/>
      <c r="N4" s="11" t="n"/>
      <c r="O4" s="11" t="n"/>
      <c r="P4" s="4" t="n"/>
      <c r="Q4" s="11" t="n">
        <v>0.6652839166773477</v>
      </c>
      <c r="R4" s="11" t="n"/>
      <c r="S4" s="11" t="n">
        <v>5.250894209464303</v>
      </c>
      <c r="T4" s="11" t="n">
        <v>3.696384541460576</v>
      </c>
      <c r="U4" s="11" t="n"/>
      <c r="V4" s="11" t="n"/>
      <c r="W4" s="12" t="n"/>
    </row>
    <row r="5">
      <c r="A5" s="4" t="n">
        <v>4</v>
      </c>
      <c r="B5" s="4" t="inlineStr">
        <is>
          <t>hardness_shoreA</t>
        </is>
      </c>
      <c r="C5" s="4" t="inlineStr">
        <is>
          <t>Exp1_kernel_screen</t>
        </is>
      </c>
      <c r="D5" s="4" t="n"/>
      <c r="E5" s="4" t="n"/>
      <c r="F5" s="4" t="inlineStr">
        <is>
          <t>GP</t>
        </is>
      </c>
      <c r="G5" s="4" t="inlineStr">
        <is>
          <t>rbf</t>
        </is>
      </c>
      <c r="H5" s="4" t="b">
        <v>1</v>
      </c>
      <c r="I5" s="4" t="b">
        <v>0</v>
      </c>
      <c r="J5" s="4" t="inlineStr">
        <is>
          <t>log1p</t>
        </is>
      </c>
      <c r="K5" s="4" t="inlineStr">
        <is>
          <t>none</t>
        </is>
      </c>
      <c r="L5" s="4" t="inlineStr">
        <is>
          <t>full</t>
        </is>
      </c>
      <c r="M5" s="11" t="n">
        <v>0</v>
      </c>
      <c r="N5" s="11" t="n">
        <v>-1</v>
      </c>
      <c r="O5" s="11" t="n">
        <v>-4</v>
      </c>
      <c r="P5" s="4" t="n">
        <v>1</v>
      </c>
      <c r="Q5" s="11" t="n">
        <v>0.6425191966293506</v>
      </c>
      <c r="R5" s="11" t="n">
        <v>0</v>
      </c>
      <c r="S5" s="11" t="n">
        <v>5.439350970857224</v>
      </c>
      <c r="T5" s="11" t="n">
        <v>3.785159918643673</v>
      </c>
      <c r="U5" s="11" t="n">
        <v>0.9060773480662984</v>
      </c>
      <c r="V5" s="11" t="n">
        <v>3.334156802244925</v>
      </c>
      <c r="W5" s="12" t="n">
        <v>36.12231826782227</v>
      </c>
    </row>
    <row r="6">
      <c r="A6" s="4" t="n">
        <v>5</v>
      </c>
      <c r="B6" s="4" t="inlineStr">
        <is>
          <t>hardness_shoreA</t>
        </is>
      </c>
      <c r="C6" s="4" t="inlineStr">
        <is>
          <t>Exp1_kernel_screen</t>
        </is>
      </c>
      <c r="D6" s="4" t="n"/>
      <c r="E6" s="4" t="n"/>
      <c r="F6" s="4" t="inlineStr">
        <is>
          <t>GP</t>
        </is>
      </c>
      <c r="G6" s="4" t="inlineStr">
        <is>
          <t>rbf</t>
        </is>
      </c>
      <c r="H6" s="4" t="b">
        <v>0</v>
      </c>
      <c r="I6" s="4" t="b">
        <v>0</v>
      </c>
      <c r="J6" s="4" t="inlineStr">
        <is>
          <t>log1p</t>
        </is>
      </c>
      <c r="K6" s="4" t="inlineStr">
        <is>
          <t>none</t>
        </is>
      </c>
      <c r="L6" s="4" t="inlineStr">
        <is>
          <t>full</t>
        </is>
      </c>
      <c r="M6" s="11" t="n">
        <v>0</v>
      </c>
      <c r="N6" s="11" t="n">
        <v>-1</v>
      </c>
      <c r="O6" s="11" t="n">
        <v>-4</v>
      </c>
      <c r="P6" s="4" t="n">
        <v>1</v>
      </c>
      <c r="Q6" s="11" t="n">
        <v>0.675769382897476</v>
      </c>
      <c r="R6" s="11" t="n">
        <v>0</v>
      </c>
      <c r="S6" s="11" t="n">
        <v>5.180214356077983</v>
      </c>
      <c r="T6" s="11" t="n">
        <v>3.625807027350868</v>
      </c>
      <c r="U6" s="11" t="n">
        <v>0.9060773480662984</v>
      </c>
      <c r="V6" s="11" t="n">
        <v>3.202627433347187</v>
      </c>
      <c r="W6" s="12" t="n">
        <v>1.078256368637085</v>
      </c>
    </row>
    <row r="7">
      <c r="A7" s="4" t="n">
        <v>6</v>
      </c>
      <c r="B7" s="4" t="inlineStr">
        <is>
          <t>hardness_shoreA</t>
        </is>
      </c>
      <c r="C7" s="4" t="inlineStr">
        <is>
          <t>Exp1_kernel_screen</t>
        </is>
      </c>
      <c r="D7" s="4" t="n"/>
      <c r="E7" s="4" t="n"/>
      <c r="F7" s="4" t="inlineStr">
        <is>
          <t>GP</t>
        </is>
      </c>
      <c r="G7" s="4" t="inlineStr">
        <is>
          <t>matern12</t>
        </is>
      </c>
      <c r="H7" s="4" t="b">
        <v>1</v>
      </c>
      <c r="I7" s="4" t="b">
        <v>0</v>
      </c>
      <c r="J7" s="4" t="inlineStr">
        <is>
          <t>log1p</t>
        </is>
      </c>
      <c r="K7" s="4" t="inlineStr">
        <is>
          <t>none</t>
        </is>
      </c>
      <c r="L7" s="4" t="inlineStr">
        <is>
          <t>full</t>
        </is>
      </c>
      <c r="M7" s="11" t="n">
        <v>0</v>
      </c>
      <c r="N7" s="11" t="n">
        <v>-1</v>
      </c>
      <c r="O7" s="11" t="n">
        <v>-4</v>
      </c>
      <c r="P7" s="4" t="n">
        <v>1</v>
      </c>
      <c r="Q7" s="11" t="n">
        <v>0.623198559384893</v>
      </c>
      <c r="R7" s="11" t="n">
        <v>0</v>
      </c>
      <c r="S7" s="11" t="n">
        <v>5.584406153276975</v>
      </c>
      <c r="T7" s="11" t="n">
        <v>3.792347397771414</v>
      </c>
      <c r="U7" s="11" t="n">
        <v>0.9116022099447514</v>
      </c>
      <c r="V7" s="11" t="n">
        <v>3.356550580153293</v>
      </c>
      <c r="W7" s="12" t="n">
        <v>44.54969024658203</v>
      </c>
    </row>
    <row r="8">
      <c r="A8" s="4" t="n">
        <v>7</v>
      </c>
      <c r="B8" s="4" t="inlineStr">
        <is>
          <t>hardness_shoreA</t>
        </is>
      </c>
      <c r="C8" s="4" t="inlineStr">
        <is>
          <t>Exp1_kernel_screen</t>
        </is>
      </c>
      <c r="D8" s="4" t="n"/>
      <c r="E8" s="4" t="n"/>
      <c r="F8" s="4" t="inlineStr">
        <is>
          <t>GP</t>
        </is>
      </c>
      <c r="G8" s="4" t="inlineStr">
        <is>
          <t>matern12</t>
        </is>
      </c>
      <c r="H8" s="4" t="b">
        <v>0</v>
      </c>
      <c r="I8" s="4" t="b">
        <v>0</v>
      </c>
      <c r="J8" s="4" t="inlineStr">
        <is>
          <t>log1p</t>
        </is>
      </c>
      <c r="K8" s="4" t="inlineStr">
        <is>
          <t>none</t>
        </is>
      </c>
      <c r="L8" s="4" t="inlineStr">
        <is>
          <t>full</t>
        </is>
      </c>
      <c r="M8" s="11" t="n">
        <v>0</v>
      </c>
      <c r="N8" s="11" t="n">
        <v>-1</v>
      </c>
      <c r="O8" s="11" t="n">
        <v>-4</v>
      </c>
      <c r="P8" s="4" t="n">
        <v>1</v>
      </c>
      <c r="Q8" s="11" t="n">
        <v>0.661909655626322</v>
      </c>
      <c r="R8" s="11" t="n">
        <v>0</v>
      </c>
      <c r="S8" s="11" t="n">
        <v>5.28977382848103</v>
      </c>
      <c r="T8" s="11" t="n">
        <v>3.590385266275818</v>
      </c>
      <c r="U8" s="11" t="n">
        <v>0.9337016574585636</v>
      </c>
      <c r="V8" s="11" t="n">
        <v>3.272113212860683</v>
      </c>
      <c r="W8" s="12" t="n">
        <v>1.309505224227905</v>
      </c>
    </row>
    <row r="9">
      <c r="A9" s="4" t="n">
        <v>8</v>
      </c>
      <c r="B9" s="4" t="inlineStr">
        <is>
          <t>hardness_shoreA</t>
        </is>
      </c>
      <c r="C9" s="4" t="inlineStr">
        <is>
          <t>Exp1_kernel_screen</t>
        </is>
      </c>
      <c r="D9" s="4" t="n"/>
      <c r="E9" s="4" t="n"/>
      <c r="F9" s="4" t="inlineStr">
        <is>
          <t>GP</t>
        </is>
      </c>
      <c r="G9" s="4" t="inlineStr">
        <is>
          <t>matern32</t>
        </is>
      </c>
      <c r="H9" s="4" t="b">
        <v>1</v>
      </c>
      <c r="I9" s="4" t="b">
        <v>0</v>
      </c>
      <c r="J9" s="4" t="inlineStr">
        <is>
          <t>log1p</t>
        </is>
      </c>
      <c r="K9" s="4" t="inlineStr">
        <is>
          <t>none</t>
        </is>
      </c>
      <c r="L9" s="4" t="inlineStr">
        <is>
          <t>full</t>
        </is>
      </c>
      <c r="M9" s="11" t="n">
        <v>0</v>
      </c>
      <c r="N9" s="11" t="n">
        <v>-1</v>
      </c>
      <c r="O9" s="11" t="n">
        <v>-4</v>
      </c>
      <c r="P9" s="4" t="n">
        <v>1</v>
      </c>
      <c r="Q9" s="11" t="n">
        <v>0.6118848993053849</v>
      </c>
      <c r="R9" s="11" t="n">
        <v>0</v>
      </c>
      <c r="S9" s="11" t="n">
        <v>5.667623468185667</v>
      </c>
      <c r="T9" s="11" t="n">
        <v>3.829274546922831</v>
      </c>
      <c r="U9" s="11" t="n">
        <v>0.9060773480662984</v>
      </c>
      <c r="V9" s="11" t="n">
        <v>3.422739290524427</v>
      </c>
      <c r="W9" s="12" t="n">
        <v>42.22461700439453</v>
      </c>
    </row>
    <row r="10">
      <c r="A10" s="4" t="n">
        <v>9</v>
      </c>
      <c r="B10" s="4" t="inlineStr">
        <is>
          <t>hardness_shoreA</t>
        </is>
      </c>
      <c r="C10" s="4" t="inlineStr">
        <is>
          <t>Exp1_kernel_screen</t>
        </is>
      </c>
      <c r="D10" s="4" t="n"/>
      <c r="E10" s="4" t="n"/>
      <c r="F10" s="4" t="inlineStr">
        <is>
          <t>GP</t>
        </is>
      </c>
      <c r="G10" s="4" t="inlineStr">
        <is>
          <t>matern32</t>
        </is>
      </c>
      <c r="H10" s="4" t="b">
        <v>0</v>
      </c>
      <c r="I10" s="4" t="b">
        <v>0</v>
      </c>
      <c r="J10" s="4" t="inlineStr">
        <is>
          <t>log1p</t>
        </is>
      </c>
      <c r="K10" s="4" t="inlineStr">
        <is>
          <t>none</t>
        </is>
      </c>
      <c r="L10" s="4" t="inlineStr">
        <is>
          <t>full</t>
        </is>
      </c>
      <c r="M10" s="11" t="n">
        <v>0</v>
      </c>
      <c r="N10" s="11" t="n">
        <v>-1</v>
      </c>
      <c r="O10" s="11" t="n">
        <v>-4</v>
      </c>
      <c r="P10" s="4" t="n">
        <v>1</v>
      </c>
      <c r="Q10" s="11" t="n">
        <v>0.6634606487167511</v>
      </c>
      <c r="R10" s="11" t="n">
        <v>0</v>
      </c>
      <c r="S10" s="11" t="n">
        <v>5.277626433729891</v>
      </c>
      <c r="T10" s="11" t="n">
        <v>3.581860229622953</v>
      </c>
      <c r="U10" s="11" t="n">
        <v>0.9171270718232044</v>
      </c>
      <c r="V10" s="11" t="n">
        <v>3.236962073403981</v>
      </c>
      <c r="W10" s="12" t="n">
        <v>2.332231283187866</v>
      </c>
    </row>
    <row r="11">
      <c r="A11" s="4" t="n">
        <v>10</v>
      </c>
      <c r="B11" s="4" t="inlineStr">
        <is>
          <t>hardness_shoreA</t>
        </is>
      </c>
      <c r="C11" s="4" t="inlineStr">
        <is>
          <t>Exp1_kernel_screen</t>
        </is>
      </c>
      <c r="D11" s="4" t="n"/>
      <c r="E11" s="4" t="n"/>
      <c r="F11" s="4" t="inlineStr">
        <is>
          <t>GP</t>
        </is>
      </c>
      <c r="G11" s="4" t="inlineStr">
        <is>
          <t>matern52</t>
        </is>
      </c>
      <c r="H11" s="4" t="b">
        <v>1</v>
      </c>
      <c r="I11" s="4" t="b">
        <v>0</v>
      </c>
      <c r="J11" s="4" t="inlineStr">
        <is>
          <t>log1p</t>
        </is>
      </c>
      <c r="K11" s="4" t="inlineStr">
        <is>
          <t>none</t>
        </is>
      </c>
      <c r="L11" s="4" t="inlineStr">
        <is>
          <t>full</t>
        </is>
      </c>
      <c r="M11" s="11" t="n">
        <v>0</v>
      </c>
      <c r="N11" s="11" t="n">
        <v>-1</v>
      </c>
      <c r="O11" s="11" t="n">
        <v>-4</v>
      </c>
      <c r="P11" s="4" t="n">
        <v>1</v>
      </c>
      <c r="Q11" s="11" t="n">
        <v>0.6392317914092907</v>
      </c>
      <c r="R11" s="11" t="n">
        <v>0</v>
      </c>
      <c r="S11" s="11" t="n">
        <v>5.464303960188167</v>
      </c>
      <c r="T11" s="11" t="n">
        <v>3.665541035130961</v>
      </c>
      <c r="U11" s="11" t="n">
        <v>0.9005524861878453</v>
      </c>
      <c r="V11" s="11" t="n">
        <v>3.382885924742284</v>
      </c>
      <c r="W11" s="12" t="n">
        <v>39.08714604377747</v>
      </c>
    </row>
    <row r="12">
      <c r="A12" s="4" t="n">
        <v>11</v>
      </c>
      <c r="B12" s="4" t="inlineStr">
        <is>
          <t>hardness_shoreA</t>
        </is>
      </c>
      <c r="C12" s="4" t="inlineStr">
        <is>
          <t>Exp1_kernel_screen</t>
        </is>
      </c>
      <c r="D12" s="4" t="n"/>
      <c r="E12" s="4" t="n"/>
      <c r="F12" s="4" t="inlineStr">
        <is>
          <t>GP</t>
        </is>
      </c>
      <c r="G12" s="4" t="inlineStr">
        <is>
          <t>matern52</t>
        </is>
      </c>
      <c r="H12" s="4" t="b">
        <v>0</v>
      </c>
      <c r="I12" s="4" t="b">
        <v>0</v>
      </c>
      <c r="J12" s="4" t="inlineStr">
        <is>
          <t>log1p</t>
        </is>
      </c>
      <c r="K12" s="4" t="inlineStr">
        <is>
          <t>none</t>
        </is>
      </c>
      <c r="L12" s="4" t="inlineStr">
        <is>
          <t>full</t>
        </is>
      </c>
      <c r="M12" s="11" t="n">
        <v>0</v>
      </c>
      <c r="N12" s="11" t="n">
        <v>-1</v>
      </c>
      <c r="O12" s="11" t="n">
        <v>-4</v>
      </c>
      <c r="P12" s="4" t="n">
        <v>1</v>
      </c>
      <c r="Q12" s="11" t="n">
        <v>0.6654692492664716</v>
      </c>
      <c r="R12" s="11" t="n">
        <v>0</v>
      </c>
      <c r="S12" s="11" t="n">
        <v>5.261853377909233</v>
      </c>
      <c r="T12" s="11" t="n">
        <v>3.601189331648158</v>
      </c>
      <c r="U12" s="11" t="n">
        <v>0.9060773480662984</v>
      </c>
      <c r="V12" s="11" t="n">
        <v>3.23333927450298</v>
      </c>
      <c r="W12" s="12" t="n">
        <v>1.54011869430542</v>
      </c>
    </row>
    <row r="13">
      <c r="A13" s="4" t="n">
        <v>12</v>
      </c>
      <c r="B13" s="4" t="inlineStr">
        <is>
          <t>hardness_shoreA</t>
        </is>
      </c>
      <c r="C13" s="4" t="inlineStr">
        <is>
          <t>Exp1_kernel_screen</t>
        </is>
      </c>
      <c r="D13" s="4" t="n"/>
      <c r="E13" s="4" t="n"/>
      <c r="F13" s="4" t="inlineStr">
        <is>
          <t>GP</t>
        </is>
      </c>
      <c r="G13" s="4" t="inlineStr">
        <is>
          <t>rq</t>
        </is>
      </c>
      <c r="H13" s="4" t="b">
        <v>0</v>
      </c>
      <c r="I13" s="4" t="b">
        <v>0</v>
      </c>
      <c r="J13" s="4" t="inlineStr">
        <is>
          <t>log1p</t>
        </is>
      </c>
      <c r="K13" s="4" t="inlineStr">
        <is>
          <t>none</t>
        </is>
      </c>
      <c r="L13" s="4" t="inlineStr">
        <is>
          <t>full</t>
        </is>
      </c>
      <c r="M13" s="11" t="n">
        <v>0</v>
      </c>
      <c r="N13" s="11" t="n">
        <v>-1</v>
      </c>
      <c r="O13" s="11" t="n">
        <v>-4</v>
      </c>
      <c r="P13" s="4" t="n">
        <v>1</v>
      </c>
      <c r="Q13" s="11" t="n">
        <v>0.669093626465515</v>
      </c>
      <c r="R13" s="11" t="n">
        <v>0</v>
      </c>
      <c r="S13" s="11" t="n">
        <v>5.233271733694121</v>
      </c>
      <c r="T13" s="11" t="n">
        <v>3.542804612453159</v>
      </c>
      <c r="U13" s="11" t="n">
        <v>0.9226519337016574</v>
      </c>
      <c r="V13" s="11" t="n">
        <v>3.23697108649318</v>
      </c>
      <c r="W13" s="12" t="n">
        <v>2.391266345977783</v>
      </c>
    </row>
    <row r="14">
      <c r="A14" s="4" t="n">
        <v>13</v>
      </c>
      <c r="B14" s="4" t="inlineStr">
        <is>
          <t>hardness_shoreA</t>
        </is>
      </c>
      <c r="C14" s="4" t="inlineStr">
        <is>
          <t>Exp2_BO</t>
        </is>
      </c>
      <c r="D14" s="4" t="n">
        <v>0</v>
      </c>
      <c r="E14" s="4" t="n">
        <v>0</v>
      </c>
      <c r="F14" s="4" t="inlineStr">
        <is>
          <t>GP</t>
        </is>
      </c>
      <c r="G14" s="4" t="inlineStr">
        <is>
          <t>rq</t>
        </is>
      </c>
      <c r="H14" s="4" t="b">
        <v>0</v>
      </c>
      <c r="I14" s="4" t="b">
        <v>1</v>
      </c>
      <c r="J14" s="4" t="inlineStr">
        <is>
          <t>std</t>
        </is>
      </c>
      <c r="K14" s="4" t="inlineStr">
        <is>
          <t>none</t>
        </is>
      </c>
      <c r="L14" s="4" t="inlineStr">
        <is>
          <t>full</t>
        </is>
      </c>
      <c r="M14" s="11" t="n">
        <v>-0.9669447289429418</v>
      </c>
      <c r="N14" s="11" t="n">
        <v>-0.5601892823991825</v>
      </c>
      <c r="O14" s="11" t="n">
        <v>-2.348977690889113</v>
      </c>
      <c r="P14" s="4" t="n">
        <v>1</v>
      </c>
      <c r="Q14" s="11" t="n">
        <v>0.7019879150221228</v>
      </c>
      <c r="R14" s="11" t="n">
        <v>0</v>
      </c>
      <c r="S14" s="11" t="n">
        <v>4.966353828052605</v>
      </c>
      <c r="T14" s="11" t="n">
        <v>3.302007686847575</v>
      </c>
      <c r="U14" s="11" t="n">
        <v>0.9171270718232044</v>
      </c>
      <c r="V14" s="11" t="n">
        <v>3.235009774157982</v>
      </c>
      <c r="W14" s="12" t="n">
        <v>4.919142723083496</v>
      </c>
    </row>
    <row r="15">
      <c r="A15" s="4" t="n">
        <v>14</v>
      </c>
      <c r="B15" s="4" t="inlineStr">
        <is>
          <t>hardness_shoreA</t>
        </is>
      </c>
      <c r="C15" s="4" t="inlineStr">
        <is>
          <t>Exp2_BO</t>
        </is>
      </c>
      <c r="D15" s="4" t="n">
        <v>0</v>
      </c>
      <c r="E15" s="4" t="n">
        <v>1</v>
      </c>
      <c r="F15" s="4" t="inlineStr">
        <is>
          <t>GP</t>
        </is>
      </c>
      <c r="G15" s="4" t="inlineStr">
        <is>
          <t>matern32</t>
        </is>
      </c>
      <c r="H15" s="4" t="b">
        <v>0</v>
      </c>
      <c r="I15" s="4" t="b">
        <v>1</v>
      </c>
      <c r="J15" s="4" t="inlineStr">
        <is>
          <t>log1p</t>
        </is>
      </c>
      <c r="K15" s="4" t="inlineStr">
        <is>
          <t>log</t>
        </is>
      </c>
      <c r="L15" s="4" t="inlineStr">
        <is>
          <t>full_cure6</t>
        </is>
      </c>
      <c r="M15" s="11" t="n">
        <v>0.8701448475755365</v>
      </c>
      <c r="N15" s="11" t="n">
        <v>-0.5524393376354038</v>
      </c>
      <c r="O15" s="11" t="n">
        <v>-5.989045999319408</v>
      </c>
      <c r="P15" s="4" t="n">
        <v>1</v>
      </c>
      <c r="Q15" s="11" t="n">
        <v>0.6582407083774545</v>
      </c>
      <c r="R15" s="11" t="n">
        <v>0</v>
      </c>
      <c r="S15" s="11" t="n">
        <v>5.318398620237289</v>
      </c>
      <c r="T15" s="11" t="n">
        <v>3.635313596163328</v>
      </c>
      <c r="U15" s="11" t="n">
        <v>0.9337016574585636</v>
      </c>
      <c r="V15" s="11" t="n">
        <v>3.306840877632497</v>
      </c>
      <c r="W15" s="12" t="n">
        <v>3.753647565841675</v>
      </c>
    </row>
    <row r="16">
      <c r="A16" s="4" t="n">
        <v>15</v>
      </c>
      <c r="B16" s="4" t="inlineStr">
        <is>
          <t>hardness_shoreA</t>
        </is>
      </c>
      <c r="C16" s="4" t="inlineStr">
        <is>
          <t>Exp2_BO</t>
        </is>
      </c>
      <c r="D16" s="4" t="n">
        <v>0</v>
      </c>
      <c r="E16" s="4" t="n">
        <v>2</v>
      </c>
      <c r="F16" s="4" t="inlineStr">
        <is>
          <t>GP</t>
        </is>
      </c>
      <c r="G16" s="4" t="inlineStr">
        <is>
          <t>matern12</t>
        </is>
      </c>
      <c r="H16" s="4" t="b">
        <v>0</v>
      </c>
      <c r="I16" s="4" t="b">
        <v>1</v>
      </c>
      <c r="J16" s="4" t="inlineStr">
        <is>
          <t>std</t>
        </is>
      </c>
      <c r="K16" s="4" t="inlineStr">
        <is>
          <t>log</t>
        </is>
      </c>
      <c r="L16" s="4" t="inlineStr">
        <is>
          <t>full_cure6</t>
        </is>
      </c>
      <c r="M16" s="11" t="n">
        <v>-0.648688758794882</v>
      </c>
      <c r="N16" s="11" t="n">
        <v>-0.4104632329503404</v>
      </c>
      <c r="O16" s="11" t="n">
        <v>-3.834155119003633</v>
      </c>
      <c r="P16" s="4" t="n">
        <v>1</v>
      </c>
      <c r="Q16" s="11" t="n">
        <v>0.6661051801243437</v>
      </c>
      <c r="R16" s="11" t="n">
        <v>0</v>
      </c>
      <c r="S16" s="11" t="n">
        <v>5.256849702345861</v>
      </c>
      <c r="T16" s="11" t="n">
        <v>3.361582166652735</v>
      </c>
      <c r="U16" s="11" t="n">
        <v>0.9281767955801103</v>
      </c>
      <c r="V16" s="11" t="n">
        <v>3.329214827246793</v>
      </c>
      <c r="W16" s="12" t="n">
        <v>3.270368814468384</v>
      </c>
    </row>
    <row r="17">
      <c r="A17" s="4" t="n">
        <v>16</v>
      </c>
      <c r="B17" s="4" t="inlineStr">
        <is>
          <t>hardness_shoreA</t>
        </is>
      </c>
      <c r="C17" s="4" t="inlineStr">
        <is>
          <t>Exp2_BO</t>
        </is>
      </c>
      <c r="D17" s="4" t="n">
        <v>0</v>
      </c>
      <c r="E17" s="4" t="n">
        <v>3</v>
      </c>
      <c r="F17" s="4" t="inlineStr">
        <is>
          <t>GP</t>
        </is>
      </c>
      <c r="G17" s="4" t="inlineStr">
        <is>
          <t>rbf</t>
        </is>
      </c>
      <c r="H17" s="4" t="b">
        <v>1</v>
      </c>
      <c r="I17" s="4" t="b">
        <v>0</v>
      </c>
      <c r="J17" s="4" t="inlineStr">
        <is>
          <t>std</t>
        </is>
      </c>
      <c r="K17" s="4" t="inlineStr">
        <is>
          <t>none</t>
        </is>
      </c>
      <c r="L17" s="4" t="inlineStr">
        <is>
          <t>full</t>
        </is>
      </c>
      <c r="M17" s="11" t="n">
        <v>-0.7514334470008721</v>
      </c>
      <c r="N17" s="11" t="n">
        <v>-0.9881267559191088</v>
      </c>
      <c r="O17" s="11" t="n">
        <v>-3.411241953703</v>
      </c>
      <c r="P17" s="4" t="n">
        <v>1</v>
      </c>
      <c r="Q17" s="11" t="n">
        <v>0.550006709893671</v>
      </c>
      <c r="R17" s="11" t="n">
        <v>0</v>
      </c>
      <c r="S17" s="11" t="n">
        <v>6.102724134375543</v>
      </c>
      <c r="T17" s="11" t="n">
        <v>3.932468491701065</v>
      </c>
      <c r="U17" s="11" t="n">
        <v>0.8895027624309392</v>
      </c>
      <c r="V17" s="11" t="n">
        <v>3.383062774680529</v>
      </c>
      <c r="W17" s="12" t="n">
        <v>22.73400497436523</v>
      </c>
    </row>
    <row r="18">
      <c r="A18" s="4" t="n">
        <v>17</v>
      </c>
      <c r="B18" s="4" t="inlineStr">
        <is>
          <t>hardness_shoreA</t>
        </is>
      </c>
      <c r="C18" s="4" t="inlineStr">
        <is>
          <t>Exp2_BO</t>
        </is>
      </c>
      <c r="D18" s="4" t="n">
        <v>0</v>
      </c>
      <c r="E18" s="4" t="n">
        <v>4</v>
      </c>
      <c r="F18" s="4" t="inlineStr">
        <is>
          <t>GP</t>
        </is>
      </c>
      <c r="G18" s="4" t="inlineStr">
        <is>
          <t>matern12</t>
        </is>
      </c>
      <c r="H18" s="4" t="b">
        <v>0</v>
      </c>
      <c r="I18" s="4" t="b">
        <v>1</v>
      </c>
      <c r="J18" s="4" t="inlineStr">
        <is>
          <t>std</t>
        </is>
      </c>
      <c r="K18" s="4" t="inlineStr">
        <is>
          <t>none</t>
        </is>
      </c>
      <c r="L18" s="4" t="inlineStr">
        <is>
          <t>compact</t>
        </is>
      </c>
      <c r="M18" s="11" t="n">
        <v>0.9616706775524602</v>
      </c>
      <c r="N18" s="11" t="n">
        <v>-0.943374046557916</v>
      </c>
      <c r="O18" s="11" t="n">
        <v>-3.398162894928735</v>
      </c>
      <c r="P18" s="4" t="n">
        <v>1</v>
      </c>
      <c r="Q18" s="11" t="n">
        <v>0.6748245086407051</v>
      </c>
      <c r="R18" s="11" t="n">
        <v>0</v>
      </c>
      <c r="S18" s="11" t="n">
        <v>5.187756966360332</v>
      </c>
      <c r="T18" s="11" t="n">
        <v>3.472711052786007</v>
      </c>
      <c r="U18" s="11" t="n">
        <v>0.9281767955801103</v>
      </c>
      <c r="V18" s="11" t="n">
        <v>3.270446959119119</v>
      </c>
      <c r="W18" s="12" t="n">
        <v>4.196454524993896</v>
      </c>
    </row>
    <row r="19">
      <c r="A19" s="4" t="n">
        <v>18</v>
      </c>
      <c r="B19" s="4" t="inlineStr">
        <is>
          <t>hardness_shoreA</t>
        </is>
      </c>
      <c r="C19" s="4" t="inlineStr">
        <is>
          <t>Exp2_BO</t>
        </is>
      </c>
      <c r="D19" s="4" t="n">
        <v>0</v>
      </c>
      <c r="E19" s="4" t="n">
        <v>5</v>
      </c>
      <c r="F19" s="4" t="inlineStr">
        <is>
          <t>GP</t>
        </is>
      </c>
      <c r="G19" s="4" t="inlineStr">
        <is>
          <t>rq</t>
        </is>
      </c>
      <c r="H19" s="4" t="b">
        <v>0</v>
      </c>
      <c r="I19" s="4" t="b">
        <v>1</v>
      </c>
      <c r="J19" s="4" t="inlineStr">
        <is>
          <t>std</t>
        </is>
      </c>
      <c r="K19" s="4" t="inlineStr">
        <is>
          <t>log</t>
        </is>
      </c>
      <c r="L19" s="4" t="inlineStr">
        <is>
          <t>full</t>
        </is>
      </c>
      <c r="M19" s="11" t="n">
        <v>0.4429766803881634</v>
      </c>
      <c r="N19" s="11" t="n">
        <v>-1.423937032572822</v>
      </c>
      <c r="O19" s="11" t="n">
        <v>-4.759032497764178</v>
      </c>
      <c r="P19" s="4" t="n">
        <v>1</v>
      </c>
      <c r="Q19" s="11" t="n">
        <v>0.7060605698879496</v>
      </c>
      <c r="R19" s="11" t="n">
        <v>0</v>
      </c>
      <c r="S19" s="11" t="n">
        <v>4.932301811878259</v>
      </c>
      <c r="T19" s="11" t="n">
        <v>3.320428386821432</v>
      </c>
      <c r="U19" s="11" t="n">
        <v>0.9337016574585636</v>
      </c>
      <c r="V19" s="11" t="n">
        <v>3.243696734264233</v>
      </c>
      <c r="W19" s="12" t="n">
        <v>5.859028816223145</v>
      </c>
    </row>
    <row r="20">
      <c r="A20" s="4" t="n">
        <v>19</v>
      </c>
      <c r="B20" s="4" t="inlineStr">
        <is>
          <t>hardness_shoreA</t>
        </is>
      </c>
      <c r="C20" s="4" t="inlineStr">
        <is>
          <t>Exp2_BO</t>
        </is>
      </c>
      <c r="D20" s="4" t="n">
        <v>0</v>
      </c>
      <c r="E20" s="4" t="n">
        <v>6</v>
      </c>
      <c r="F20" s="4" t="inlineStr">
        <is>
          <t>GP</t>
        </is>
      </c>
      <c r="G20" s="4" t="inlineStr">
        <is>
          <t>matern32</t>
        </is>
      </c>
      <c r="H20" s="4" t="b">
        <v>1</v>
      </c>
      <c r="I20" s="4" t="b">
        <v>1</v>
      </c>
      <c r="J20" s="4" t="inlineStr">
        <is>
          <t>log1p</t>
        </is>
      </c>
      <c r="K20" s="4" t="inlineStr">
        <is>
          <t>none</t>
        </is>
      </c>
      <c r="L20" s="4" t="inlineStr">
        <is>
          <t>compact</t>
        </is>
      </c>
      <c r="M20" s="11" t="n">
        <v>-0.2844096065818595</v>
      </c>
      <c r="N20" s="11" t="n">
        <v>-1.285410507810717</v>
      </c>
      <c r="O20" s="11" t="n">
        <v>-4.712522435696231</v>
      </c>
      <c r="P20" s="4" t="n">
        <v>1</v>
      </c>
      <c r="Q20" s="11" t="n">
        <v>0.7002906231209618</v>
      </c>
      <c r="R20" s="11" t="n">
        <v>0</v>
      </c>
      <c r="S20" s="11" t="n">
        <v>4.98047638301313</v>
      </c>
      <c r="T20" s="11" t="n">
        <v>3.253999392325014</v>
      </c>
      <c r="U20" s="11" t="n">
        <v>0.9226519337016574</v>
      </c>
      <c r="V20" s="11" t="n">
        <v>3.307673686934837</v>
      </c>
      <c r="W20" s="12" t="n">
        <v>27.35470247268677</v>
      </c>
    </row>
    <row r="21">
      <c r="A21" s="4" t="n">
        <v>20</v>
      </c>
      <c r="B21" s="4" t="inlineStr">
        <is>
          <t>hardness_shoreA</t>
        </is>
      </c>
      <c r="C21" s="4" t="inlineStr">
        <is>
          <t>Exp2_BO</t>
        </is>
      </c>
      <c r="D21" s="4" t="n">
        <v>0</v>
      </c>
      <c r="E21" s="4" t="n">
        <v>7</v>
      </c>
      <c r="F21" s="4" t="inlineStr">
        <is>
          <t>GP</t>
        </is>
      </c>
      <c r="G21" s="4" t="inlineStr">
        <is>
          <t>matern52</t>
        </is>
      </c>
      <c r="H21" s="4" t="b">
        <v>0</v>
      </c>
      <c r="I21" s="4" t="b">
        <v>1</v>
      </c>
      <c r="J21" s="4" t="inlineStr">
        <is>
          <t>std</t>
        </is>
      </c>
      <c r="K21" s="4" t="inlineStr">
        <is>
          <t>log</t>
        </is>
      </c>
      <c r="L21" s="4" t="inlineStr">
        <is>
          <t>full_agg</t>
        </is>
      </c>
      <c r="M21" s="11" t="n">
        <v>0.7805487040095846</v>
      </c>
      <c r="N21" s="11" t="n">
        <v>-2.318527219399861</v>
      </c>
      <c r="O21" s="11" t="n">
        <v>-3.50725142125583</v>
      </c>
      <c r="P21" s="4" t="n">
        <v>1</v>
      </c>
      <c r="Q21" s="11" t="n">
        <v>0.7008001164234912</v>
      </c>
      <c r="R21" s="11" t="n">
        <v>0</v>
      </c>
      <c r="S21" s="11" t="n">
        <v>4.976241282457432</v>
      </c>
      <c r="T21" s="11" t="n">
        <v>3.301671030697786</v>
      </c>
      <c r="U21" s="11" t="n">
        <v>0.9337016574585636</v>
      </c>
      <c r="V21" s="11" t="n">
        <v>3.245143993142059</v>
      </c>
      <c r="W21" s="12" t="n">
        <v>5.188835859298706</v>
      </c>
    </row>
    <row r="22">
      <c r="A22" s="4" t="n">
        <v>21</v>
      </c>
      <c r="B22" s="4" t="inlineStr">
        <is>
          <t>hardness_shoreA</t>
        </is>
      </c>
      <c r="C22" s="4" t="inlineStr">
        <is>
          <t>Exp2_BO</t>
        </is>
      </c>
      <c r="D22" s="4" t="n">
        <v>0</v>
      </c>
      <c r="E22" s="4" t="n">
        <v>8</v>
      </c>
      <c r="F22" s="4" t="inlineStr">
        <is>
          <t>GP</t>
        </is>
      </c>
      <c r="G22" s="4" t="inlineStr">
        <is>
          <t>rq</t>
        </is>
      </c>
      <c r="H22" s="4" t="b">
        <v>0</v>
      </c>
      <c r="I22" s="4" t="b">
        <v>1</v>
      </c>
      <c r="J22" s="4" t="inlineStr">
        <is>
          <t>log1p</t>
        </is>
      </c>
      <c r="K22" s="4" t="inlineStr">
        <is>
          <t>log</t>
        </is>
      </c>
      <c r="L22" s="4" t="inlineStr">
        <is>
          <t>full</t>
        </is>
      </c>
      <c r="M22" s="11" t="n">
        <v>0.4429766803881634</v>
      </c>
      <c r="N22" s="11" t="n">
        <v>-1.423937032572822</v>
      </c>
      <c r="O22" s="11" t="n">
        <v>-4.759032497764178</v>
      </c>
      <c r="P22" s="4" t="n">
        <v>1</v>
      </c>
      <c r="Q22" s="11" t="n">
        <v>0.6651319368200164</v>
      </c>
      <c r="R22" s="11" t="n">
        <v>0</v>
      </c>
      <c r="S22" s="11" t="n">
        <v>5.264505512945428</v>
      </c>
      <c r="T22" s="11" t="n">
        <v>3.628095697571463</v>
      </c>
      <c r="U22" s="11" t="n">
        <v>0.9171270718232044</v>
      </c>
      <c r="V22" s="11" t="n">
        <v>3.33272646413946</v>
      </c>
      <c r="W22" s="12" t="n">
        <v>4.956936359405518</v>
      </c>
    </row>
    <row r="23">
      <c r="A23" s="4" t="n">
        <v>22</v>
      </c>
      <c r="B23" s="4" t="inlineStr">
        <is>
          <t>hardness_shoreA</t>
        </is>
      </c>
      <c r="C23" s="4" t="inlineStr">
        <is>
          <t>Exp2_BO</t>
        </is>
      </c>
      <c r="D23" s="4" t="n">
        <v>0</v>
      </c>
      <c r="E23" s="4" t="n">
        <v>9</v>
      </c>
      <c r="F23" s="4" t="inlineStr">
        <is>
          <t>GP</t>
        </is>
      </c>
      <c r="G23" s="4" t="inlineStr">
        <is>
          <t>matern32</t>
        </is>
      </c>
      <c r="H23" s="4" t="b">
        <v>1</v>
      </c>
      <c r="I23" s="4" t="b">
        <v>1</v>
      </c>
      <c r="J23" s="4" t="inlineStr">
        <is>
          <t>std</t>
        </is>
      </c>
      <c r="K23" s="4" t="inlineStr">
        <is>
          <t>none</t>
        </is>
      </c>
      <c r="L23" s="4" t="inlineStr">
        <is>
          <t>compact</t>
        </is>
      </c>
      <c r="M23" s="11" t="n">
        <v>-0.660271108588069</v>
      </c>
      <c r="N23" s="11" t="n">
        <v>-0.9484649194688046</v>
      </c>
      <c r="O23" s="11" t="n">
        <v>-4.182157402002018</v>
      </c>
      <c r="P23" s="4" t="n">
        <v>1</v>
      </c>
      <c r="Q23" s="11" t="n">
        <v>0.7073321944062552</v>
      </c>
      <c r="R23" s="11" t="n">
        <v>0</v>
      </c>
      <c r="S23" s="11" t="n">
        <v>4.921621322261884</v>
      </c>
      <c r="T23" s="11" t="n">
        <v>3.280292029020312</v>
      </c>
      <c r="U23" s="11" t="n">
        <v>0.9281767955801103</v>
      </c>
      <c r="V23" s="11" t="n">
        <v>3.259312201442053</v>
      </c>
      <c r="W23" s="12" t="n">
        <v>32.64910125732422</v>
      </c>
    </row>
    <row r="24">
      <c r="A24" s="4" t="n">
        <v>23</v>
      </c>
      <c r="B24" s="4" t="inlineStr">
        <is>
          <t>hardness_shoreA</t>
        </is>
      </c>
      <c r="C24" s="4" t="inlineStr">
        <is>
          <t>Exp2_BO</t>
        </is>
      </c>
      <c r="D24" s="4" t="n">
        <v>0</v>
      </c>
      <c r="E24" s="4" t="n">
        <v>10</v>
      </c>
      <c r="F24" s="4" t="inlineStr">
        <is>
          <t>GP</t>
        </is>
      </c>
      <c r="G24" s="4" t="inlineStr">
        <is>
          <t>rbf</t>
        </is>
      </c>
      <c r="H24" s="4" t="b">
        <v>1</v>
      </c>
      <c r="I24" s="4" t="b">
        <v>1</v>
      </c>
      <c r="J24" s="4" t="inlineStr">
        <is>
          <t>std</t>
        </is>
      </c>
      <c r="K24" s="4" t="inlineStr">
        <is>
          <t>log</t>
        </is>
      </c>
      <c r="L24" s="4" t="inlineStr">
        <is>
          <t>full</t>
        </is>
      </c>
      <c r="M24" s="11" t="n">
        <v>0.8438646779297321</v>
      </c>
      <c r="N24" s="11" t="n">
        <v>-0.3109997046862132</v>
      </c>
      <c r="O24" s="11" t="n">
        <v>-4.824696628234406</v>
      </c>
      <c r="P24" s="4" t="n">
        <v>1</v>
      </c>
      <c r="Q24" s="11" t="n">
        <v>0.6969936128511534</v>
      </c>
      <c r="R24" s="11" t="n">
        <v>0</v>
      </c>
      <c r="S24" s="11" t="n">
        <v>5.00779579647491</v>
      </c>
      <c r="T24" s="11" t="n">
        <v>3.240205018826276</v>
      </c>
      <c r="U24" s="11" t="n">
        <v>0.9226519337016574</v>
      </c>
      <c r="V24" s="11" t="n">
        <v>3.419386222715669</v>
      </c>
      <c r="W24" s="12" t="n">
        <v>24.85555648803711</v>
      </c>
    </row>
    <row r="25">
      <c r="A25" s="4" t="n">
        <v>24</v>
      </c>
      <c r="B25" s="4" t="inlineStr">
        <is>
          <t>hardness_shoreA</t>
        </is>
      </c>
      <c r="C25" s="4" t="inlineStr">
        <is>
          <t>Exp2_BO</t>
        </is>
      </c>
      <c r="D25" s="4" t="n">
        <v>0</v>
      </c>
      <c r="E25" s="4" t="n">
        <v>11</v>
      </c>
      <c r="F25" s="4" t="inlineStr">
        <is>
          <t>GP</t>
        </is>
      </c>
      <c r="G25" s="4" t="inlineStr">
        <is>
          <t>matern12</t>
        </is>
      </c>
      <c r="H25" s="4" t="b">
        <v>0</v>
      </c>
      <c r="I25" s="4" t="b">
        <v>0</v>
      </c>
      <c r="J25" s="4" t="inlineStr">
        <is>
          <t>log1p</t>
        </is>
      </c>
      <c r="K25" s="4" t="inlineStr">
        <is>
          <t>log</t>
        </is>
      </c>
      <c r="L25" s="4" t="inlineStr">
        <is>
          <t>compact</t>
        </is>
      </c>
      <c r="M25" s="11" t="n">
        <v>0.8450848674030202</v>
      </c>
      <c r="N25" s="11" t="n">
        <v>-2.77796090969219</v>
      </c>
      <c r="O25" s="11" t="n">
        <v>-3.915427703268486</v>
      </c>
      <c r="P25" s="4" t="n">
        <v>1</v>
      </c>
      <c r="Q25" s="11" t="n">
        <v>0.6584519475834248</v>
      </c>
      <c r="R25" s="11" t="n">
        <v>0</v>
      </c>
      <c r="S25" s="11" t="n">
        <v>5.316754732298109</v>
      </c>
      <c r="T25" s="11" t="n">
        <v>3.670875489901496</v>
      </c>
      <c r="U25" s="11" t="n">
        <v>0.9281767955801103</v>
      </c>
      <c r="V25" s="11" t="n">
        <v>3.339946318070154</v>
      </c>
      <c r="W25" s="12" t="n">
        <v>1.492029428482056</v>
      </c>
    </row>
    <row r="26">
      <c r="A26" s="4" t="n">
        <v>25</v>
      </c>
      <c r="B26" s="4" t="inlineStr">
        <is>
          <t>hardness_shoreA</t>
        </is>
      </c>
      <c r="C26" s="4" t="inlineStr">
        <is>
          <t>Exp2_BO</t>
        </is>
      </c>
      <c r="D26" s="4" t="n">
        <v>0</v>
      </c>
      <c r="E26" s="4" t="n">
        <v>12</v>
      </c>
      <c r="F26" s="4" t="inlineStr">
        <is>
          <t>GP</t>
        </is>
      </c>
      <c r="G26" s="4" t="inlineStr">
        <is>
          <t>rq</t>
        </is>
      </c>
      <c r="H26" s="4" t="b">
        <v>1</v>
      </c>
      <c r="I26" s="4" t="b">
        <v>1</v>
      </c>
      <c r="J26" s="4" t="inlineStr">
        <is>
          <t>std</t>
        </is>
      </c>
      <c r="K26" s="4" t="inlineStr">
        <is>
          <t>log</t>
        </is>
      </c>
      <c r="L26" s="4" t="inlineStr">
        <is>
          <t>compact</t>
        </is>
      </c>
      <c r="M26" s="11" t="n">
        <v>0.5931367116728765</v>
      </c>
      <c r="N26" s="11" t="n">
        <v>-2.510553432839686</v>
      </c>
      <c r="O26" s="11" t="n">
        <v>-4.240759753804384</v>
      </c>
      <c r="P26" s="4" t="n">
        <v>1</v>
      </c>
      <c r="Q26" s="11" t="n">
        <v>0.6551093889863371</v>
      </c>
      <c r="R26" s="11" t="n">
        <v>0</v>
      </c>
      <c r="S26" s="11" t="n">
        <v>5.342707589072219</v>
      </c>
      <c r="T26" s="11" t="n">
        <v>3.531699956454408</v>
      </c>
      <c r="U26" s="11" t="n">
        <v>0.9281767955801103</v>
      </c>
      <c r="V26" s="11" t="n">
        <v>3.408586254086428</v>
      </c>
      <c r="W26" s="12" t="n">
        <v>5.780243158340454</v>
      </c>
    </row>
    <row r="27">
      <c r="A27" s="4" t="n">
        <v>26</v>
      </c>
      <c r="B27" s="4" t="inlineStr">
        <is>
          <t>hardness_shoreA</t>
        </is>
      </c>
      <c r="C27" s="4" t="inlineStr">
        <is>
          <t>Exp2_BO</t>
        </is>
      </c>
      <c r="D27" s="4" t="n">
        <v>0</v>
      </c>
      <c r="E27" s="4" t="n">
        <v>13</v>
      </c>
      <c r="F27" s="4" t="inlineStr">
        <is>
          <t>GP</t>
        </is>
      </c>
      <c r="G27" s="4" t="inlineStr">
        <is>
          <t>matern32</t>
        </is>
      </c>
      <c r="H27" s="4" t="b">
        <v>1</v>
      </c>
      <c r="I27" s="4" t="b">
        <v>1</v>
      </c>
      <c r="J27" s="4" t="inlineStr">
        <is>
          <t>std</t>
        </is>
      </c>
      <c r="K27" s="4" t="inlineStr">
        <is>
          <t>log</t>
        </is>
      </c>
      <c r="L27" s="4" t="inlineStr">
        <is>
          <t>full</t>
        </is>
      </c>
      <c r="M27" s="11" t="n">
        <v>-0.3655221353463325</v>
      </c>
      <c r="N27" s="11" t="n">
        <v>-2.973564971182018</v>
      </c>
      <c r="O27" s="11" t="n">
        <v>-4.773292097115524</v>
      </c>
      <c r="P27" s="4" t="n">
        <v>1</v>
      </c>
      <c r="Q27" s="11" t="n">
        <v>0.6886747858453456</v>
      </c>
      <c r="R27" s="11" t="n">
        <v>0</v>
      </c>
      <c r="S27" s="11" t="n">
        <v>5.076073096961845</v>
      </c>
      <c r="T27" s="11" t="n">
        <v>3.351634028231166</v>
      </c>
      <c r="U27" s="11" t="n">
        <v>0.9116022099447514</v>
      </c>
      <c r="V27" s="11" t="n">
        <v>3.438820409854902</v>
      </c>
      <c r="W27" s="12" t="n">
        <v>42.5210325717926</v>
      </c>
    </row>
    <row r="28">
      <c r="A28" s="4" t="n">
        <v>27</v>
      </c>
      <c r="B28" s="4" t="inlineStr">
        <is>
          <t>hardness_shoreA</t>
        </is>
      </c>
      <c r="C28" s="4" t="inlineStr">
        <is>
          <t>Exp2_BO</t>
        </is>
      </c>
      <c r="D28" s="4" t="n">
        <v>0</v>
      </c>
      <c r="E28" s="4" t="n">
        <v>14</v>
      </c>
      <c r="F28" s="4" t="inlineStr">
        <is>
          <t>GP</t>
        </is>
      </c>
      <c r="G28" s="4" t="inlineStr">
        <is>
          <t>matern32</t>
        </is>
      </c>
      <c r="H28" s="4" t="b">
        <v>0</v>
      </c>
      <c r="I28" s="4" t="b">
        <v>0</v>
      </c>
      <c r="J28" s="4" t="inlineStr">
        <is>
          <t>std</t>
        </is>
      </c>
      <c r="K28" s="4" t="inlineStr">
        <is>
          <t>log</t>
        </is>
      </c>
      <c r="L28" s="4" t="inlineStr">
        <is>
          <t>compact</t>
        </is>
      </c>
      <c r="M28" s="11" t="n">
        <v>-0.7081903256283861</v>
      </c>
      <c r="N28" s="11" t="n">
        <v>-0.1856960204729811</v>
      </c>
      <c r="O28" s="11" t="n">
        <v>-2.524442291271694</v>
      </c>
      <c r="P28" s="4" t="n">
        <v>1</v>
      </c>
      <c r="Q28" s="11" t="n">
        <v>0.6158011964053673</v>
      </c>
      <c r="R28" s="11" t="n">
        <v>0</v>
      </c>
      <c r="S28" s="11" t="n">
        <v>5.638956232170314</v>
      </c>
      <c r="T28" s="11" t="n">
        <v>3.557679065465824</v>
      </c>
      <c r="U28" s="11" t="n">
        <v>0.9226519337016574</v>
      </c>
      <c r="V28" s="11" t="n">
        <v>3.271561995960483</v>
      </c>
      <c r="W28" s="12" t="n">
        <v>1.27320408821106</v>
      </c>
    </row>
    <row r="29">
      <c r="A29" s="4" t="n">
        <v>28</v>
      </c>
      <c r="B29" s="4" t="inlineStr">
        <is>
          <t>hardness_shoreA</t>
        </is>
      </c>
      <c r="C29" s="4" t="inlineStr">
        <is>
          <t>Exp2_BO</t>
        </is>
      </c>
      <c r="D29" s="4" t="n">
        <v>0</v>
      </c>
      <c r="E29" s="4" t="n">
        <v>15</v>
      </c>
      <c r="F29" s="4" t="inlineStr">
        <is>
          <t>GP</t>
        </is>
      </c>
      <c r="G29" s="4" t="inlineStr">
        <is>
          <t>matern52</t>
        </is>
      </c>
      <c r="H29" s="4" t="b">
        <v>0</v>
      </c>
      <c r="I29" s="4" t="b">
        <v>1</v>
      </c>
      <c r="J29" s="4" t="inlineStr">
        <is>
          <t>std</t>
        </is>
      </c>
      <c r="K29" s="4" t="inlineStr">
        <is>
          <t>log</t>
        </is>
      </c>
      <c r="L29" s="4" t="inlineStr">
        <is>
          <t>compact</t>
        </is>
      </c>
      <c r="M29" s="11" t="n">
        <v>0.9747663481124768</v>
      </c>
      <c r="N29" s="11" t="n">
        <v>-0.8589028105011853</v>
      </c>
      <c r="O29" s="11" t="n">
        <v>-2.489314506047589</v>
      </c>
      <c r="P29" s="4" t="n">
        <v>1</v>
      </c>
      <c r="Q29" s="11" t="n">
        <v>0.6753906120748521</v>
      </c>
      <c r="R29" s="11" t="n">
        <v>0</v>
      </c>
      <c r="S29" s="11" t="n">
        <v>5.18323927297607</v>
      </c>
      <c r="T29" s="11" t="n">
        <v>3.491904559327934</v>
      </c>
      <c r="U29" s="11" t="n">
        <v>0.9337016574585636</v>
      </c>
      <c r="V29" s="11" t="n">
        <v>3.267945529353406</v>
      </c>
      <c r="W29" s="12" t="n">
        <v>3.849169731140137</v>
      </c>
    </row>
    <row r="30">
      <c r="A30" s="4" t="n">
        <v>29</v>
      </c>
      <c r="B30" s="4" t="inlineStr">
        <is>
          <t>hardness_shoreA</t>
        </is>
      </c>
      <c r="C30" s="4" t="inlineStr">
        <is>
          <t>Exp2_BO</t>
        </is>
      </c>
      <c r="D30" s="4" t="n">
        <v>0</v>
      </c>
      <c r="E30" s="4" t="n">
        <v>16</v>
      </c>
      <c r="F30" s="4" t="inlineStr">
        <is>
          <t>GP</t>
        </is>
      </c>
      <c r="G30" s="4" t="inlineStr">
        <is>
          <t>matern32</t>
        </is>
      </c>
      <c r="H30" s="4" t="b">
        <v>0</v>
      </c>
      <c r="I30" s="4" t="b">
        <v>1</v>
      </c>
      <c r="J30" s="4" t="inlineStr">
        <is>
          <t>std</t>
        </is>
      </c>
      <c r="K30" s="4" t="inlineStr">
        <is>
          <t>none</t>
        </is>
      </c>
      <c r="L30" s="4" t="inlineStr">
        <is>
          <t>compact</t>
        </is>
      </c>
      <c r="M30" s="11" t="n">
        <v>0.1841647601186331</v>
      </c>
      <c r="N30" s="11" t="n">
        <v>-0.0519640106904812</v>
      </c>
      <c r="O30" s="11" t="n">
        <v>-3.937823781311408</v>
      </c>
      <c r="P30" s="4" t="n">
        <v>1</v>
      </c>
      <c r="Q30" s="11" t="n">
        <v>0.6575889242478139</v>
      </c>
      <c r="R30" s="11" t="n">
        <v>0</v>
      </c>
      <c r="S30" s="11" t="n">
        <v>5.323467680130017</v>
      </c>
      <c r="T30" s="11" t="n">
        <v>3.553554029813176</v>
      </c>
      <c r="U30" s="11" t="n">
        <v>0.9226519337016574</v>
      </c>
      <c r="V30" s="11" t="n">
        <v>3.310445846229157</v>
      </c>
      <c r="W30" s="12" t="n">
        <v>4.452162027359009</v>
      </c>
    </row>
    <row r="31">
      <c r="A31" s="4" t="n">
        <v>30</v>
      </c>
      <c r="B31" s="4" t="inlineStr">
        <is>
          <t>hardness_shoreA</t>
        </is>
      </c>
      <c r="C31" s="4" t="inlineStr">
        <is>
          <t>Exp2_BO</t>
        </is>
      </c>
      <c r="D31" s="4" t="n">
        <v>0</v>
      </c>
      <c r="E31" s="4" t="n">
        <v>17</v>
      </c>
      <c r="F31" s="4" t="inlineStr">
        <is>
          <t>GP</t>
        </is>
      </c>
      <c r="G31" s="4" t="inlineStr">
        <is>
          <t>rq</t>
        </is>
      </c>
      <c r="H31" s="4" t="b">
        <v>0</v>
      </c>
      <c r="I31" s="4" t="b">
        <v>1</v>
      </c>
      <c r="J31" s="4" t="inlineStr">
        <is>
          <t>std</t>
        </is>
      </c>
      <c r="K31" s="4" t="inlineStr">
        <is>
          <t>log</t>
        </is>
      </c>
      <c r="L31" s="4" t="inlineStr">
        <is>
          <t>compact</t>
        </is>
      </c>
      <c r="M31" s="11" t="n">
        <v>-0.930231621493948</v>
      </c>
      <c r="N31" s="11" t="n">
        <v>-2.831999291143184</v>
      </c>
      <c r="O31" s="11" t="n">
        <v>-2.537835123393441</v>
      </c>
      <c r="P31" s="4" t="n">
        <v>1</v>
      </c>
      <c r="Q31" s="11" t="n">
        <v>0.6569609083950918</v>
      </c>
      <c r="R31" s="11" t="n">
        <v>0</v>
      </c>
      <c r="S31" s="11" t="n">
        <v>5.328347327409594</v>
      </c>
      <c r="T31" s="11" t="n">
        <v>3.573433944937467</v>
      </c>
      <c r="U31" s="11" t="n">
        <v>0.9226519337016574</v>
      </c>
      <c r="V31" s="11" t="n">
        <v>3.288251305400811</v>
      </c>
      <c r="W31" s="12" t="n">
        <v>6.547652721405029</v>
      </c>
    </row>
    <row r="32">
      <c r="A32" s="4" t="n">
        <v>31</v>
      </c>
      <c r="B32" s="4" t="inlineStr">
        <is>
          <t>hardness_shoreA</t>
        </is>
      </c>
      <c r="C32" s="4" t="inlineStr">
        <is>
          <t>Exp2_BO</t>
        </is>
      </c>
      <c r="D32" s="4" t="n">
        <v>0</v>
      </c>
      <c r="E32" s="4" t="n">
        <v>18</v>
      </c>
      <c r="F32" s="4" t="inlineStr">
        <is>
          <t>GP</t>
        </is>
      </c>
      <c r="G32" s="4" t="inlineStr">
        <is>
          <t>matern52</t>
        </is>
      </c>
      <c r="H32" s="4" t="b">
        <v>1</v>
      </c>
      <c r="I32" s="4" t="b">
        <v>1</v>
      </c>
      <c r="J32" s="4" t="inlineStr">
        <is>
          <t>std</t>
        </is>
      </c>
      <c r="K32" s="4" t="inlineStr">
        <is>
          <t>log</t>
        </is>
      </c>
      <c r="L32" s="4" t="inlineStr">
        <is>
          <t>compact</t>
        </is>
      </c>
      <c r="M32" s="11" t="n">
        <v>0.9683645869301096</v>
      </c>
      <c r="N32" s="11" t="n">
        <v>-1.606505430528756</v>
      </c>
      <c r="O32" s="11" t="n">
        <v>-5.237041305345981</v>
      </c>
      <c r="P32" s="4" t="n">
        <v>1</v>
      </c>
      <c r="Q32" s="11" t="n">
        <v>0.6895871458015289</v>
      </c>
      <c r="R32" s="11" t="n">
        <v>0</v>
      </c>
      <c r="S32" s="11" t="n">
        <v>5.068629748952614</v>
      </c>
      <c r="T32" s="11" t="n">
        <v>3.285307756225193</v>
      </c>
      <c r="U32" s="11" t="n">
        <v>0.9060773480662984</v>
      </c>
      <c r="V32" s="11" t="n">
        <v>3.395311192752124</v>
      </c>
      <c r="W32" s="12" t="n">
        <v>27.66245150566101</v>
      </c>
    </row>
    <row r="33">
      <c r="A33" s="4" t="n">
        <v>32</v>
      </c>
      <c r="B33" s="4" t="inlineStr">
        <is>
          <t>hardness_shoreA</t>
        </is>
      </c>
      <c r="C33" s="4" t="inlineStr">
        <is>
          <t>Exp2_BO</t>
        </is>
      </c>
      <c r="D33" s="4" t="n">
        <v>0</v>
      </c>
      <c r="E33" s="4" t="n">
        <v>19</v>
      </c>
      <c r="F33" s="4" t="inlineStr">
        <is>
          <t>GP</t>
        </is>
      </c>
      <c r="G33" s="4" t="inlineStr">
        <is>
          <t>rbf</t>
        </is>
      </c>
      <c r="H33" s="4" t="b">
        <v>1</v>
      </c>
      <c r="I33" s="4" t="b">
        <v>1</v>
      </c>
      <c r="J33" s="4" t="inlineStr">
        <is>
          <t>log1p</t>
        </is>
      </c>
      <c r="K33" s="4" t="inlineStr">
        <is>
          <t>log</t>
        </is>
      </c>
      <c r="L33" s="4" t="inlineStr">
        <is>
          <t>full_cure6</t>
        </is>
      </c>
      <c r="M33" s="11" t="n">
        <v>0.9236376871139048</v>
      </c>
      <c r="N33" s="11" t="n">
        <v>-1.871079415264949</v>
      </c>
      <c r="O33" s="11" t="n">
        <v>-2.652525063678982</v>
      </c>
      <c r="P33" s="4" t="n">
        <v>1</v>
      </c>
      <c r="Q33" s="11" t="n">
        <v>0.6577587516732201</v>
      </c>
      <c r="R33" s="11" t="n">
        <v>0</v>
      </c>
      <c r="S33" s="11" t="n">
        <v>5.322147362241115</v>
      </c>
      <c r="T33" s="11" t="n">
        <v>3.638345171405004</v>
      </c>
      <c r="U33" s="11" t="n">
        <v>0.9060773480662984</v>
      </c>
      <c r="V33" s="11" t="n">
        <v>3.508187403644792</v>
      </c>
      <c r="W33" s="12" t="n">
        <v>43.20244765281677</v>
      </c>
    </row>
    <row r="34">
      <c r="A34" s="4" t="n">
        <v>33</v>
      </c>
      <c r="B34" s="4" t="inlineStr">
        <is>
          <t>hardness_shoreA</t>
        </is>
      </c>
      <c r="C34" s="4" t="inlineStr">
        <is>
          <t>Exp2_BO</t>
        </is>
      </c>
      <c r="D34" s="4" t="n">
        <v>0</v>
      </c>
      <c r="E34" s="4" t="n">
        <v>20</v>
      </c>
      <c r="F34" s="4" t="inlineStr">
        <is>
          <t>GP</t>
        </is>
      </c>
      <c r="G34" s="4" t="inlineStr">
        <is>
          <t>rq</t>
        </is>
      </c>
      <c r="H34" s="4" t="b">
        <v>1</v>
      </c>
      <c r="I34" s="4" t="b">
        <v>1</v>
      </c>
      <c r="J34" s="4" t="inlineStr">
        <is>
          <t>std</t>
        </is>
      </c>
      <c r="K34" s="4" t="inlineStr">
        <is>
          <t>none</t>
        </is>
      </c>
      <c r="L34" s="4" t="inlineStr">
        <is>
          <t>full_agg</t>
        </is>
      </c>
      <c r="M34" s="11" t="n">
        <v>0.9884076952559258</v>
      </c>
      <c r="N34" s="11" t="n">
        <v>-2.75504489818068</v>
      </c>
      <c r="O34" s="11" t="n">
        <v>-3.565153170150085</v>
      </c>
      <c r="P34" s="4" t="n">
        <v>1</v>
      </c>
      <c r="Q34" s="11" t="n">
        <v>0.7025951503704808</v>
      </c>
      <c r="R34" s="11" t="n">
        <v>0</v>
      </c>
      <c r="S34" s="11" t="n">
        <v>4.961291477309357</v>
      </c>
      <c r="T34" s="11" t="n">
        <v>3.28088855384323</v>
      </c>
      <c r="U34" s="11" t="n">
        <v>0.9226519337016574</v>
      </c>
      <c r="V34" s="11" t="n">
        <v>3.223901332339543</v>
      </c>
      <c r="W34" s="12" t="n">
        <v>6.132716178894043</v>
      </c>
    </row>
    <row r="35">
      <c r="A35" s="4" t="n">
        <v>34</v>
      </c>
      <c r="B35" s="4" t="inlineStr">
        <is>
          <t>hardness_shoreA</t>
        </is>
      </c>
      <c r="C35" s="4" t="inlineStr">
        <is>
          <t>Exp2_BO</t>
        </is>
      </c>
      <c r="D35" s="4" t="n">
        <v>0</v>
      </c>
      <c r="E35" s="4" t="n">
        <v>21</v>
      </c>
      <c r="F35" s="4" t="inlineStr">
        <is>
          <t>GP</t>
        </is>
      </c>
      <c r="G35" s="4" t="inlineStr">
        <is>
          <t>matern32</t>
        </is>
      </c>
      <c r="H35" s="4" t="b">
        <v>0</v>
      </c>
      <c r="I35" s="4" t="b">
        <v>1</v>
      </c>
      <c r="J35" s="4" t="inlineStr">
        <is>
          <t>std</t>
        </is>
      </c>
      <c r="K35" s="4" t="inlineStr">
        <is>
          <t>none</t>
        </is>
      </c>
      <c r="L35" s="4" t="inlineStr">
        <is>
          <t>full</t>
        </is>
      </c>
      <c r="M35" s="11" t="n">
        <v>0.908862334731578</v>
      </c>
      <c r="N35" s="11" t="n">
        <v>-2.201189490460726</v>
      </c>
      <c r="O35" s="11" t="n">
        <v>-4.212542826333364</v>
      </c>
      <c r="P35" s="4" t="n">
        <v>1</v>
      </c>
      <c r="Q35" s="11" t="n">
        <v>0.6929305907332387</v>
      </c>
      <c r="R35" s="11" t="n">
        <v>0</v>
      </c>
      <c r="S35" s="11" t="n">
        <v>5.041258838470681</v>
      </c>
      <c r="T35" s="11" t="n">
        <v>3.361022898524888</v>
      </c>
      <c r="U35" s="11" t="n">
        <v>0.9171270718232044</v>
      </c>
      <c r="V35" s="11" t="n">
        <v>3.256734305733846</v>
      </c>
      <c r="W35" s="12" t="n">
        <v>4.816272258758545</v>
      </c>
    </row>
    <row r="36">
      <c r="A36" s="4" t="n">
        <v>35</v>
      </c>
      <c r="B36" s="4" t="inlineStr">
        <is>
          <t>hardness_shoreA</t>
        </is>
      </c>
      <c r="C36" s="4" t="inlineStr">
        <is>
          <t>Exp2_BO</t>
        </is>
      </c>
      <c r="D36" s="4" t="n">
        <v>0</v>
      </c>
      <c r="E36" s="4" t="n">
        <v>22</v>
      </c>
      <c r="F36" s="4" t="inlineStr">
        <is>
          <t>GP</t>
        </is>
      </c>
      <c r="G36" s="4" t="inlineStr">
        <is>
          <t>matern12</t>
        </is>
      </c>
      <c r="H36" s="4" t="b">
        <v>1</v>
      </c>
      <c r="I36" s="4" t="b">
        <v>1</v>
      </c>
      <c r="J36" s="4" t="inlineStr">
        <is>
          <t>std</t>
        </is>
      </c>
      <c r="K36" s="4" t="inlineStr">
        <is>
          <t>none</t>
        </is>
      </c>
      <c r="L36" s="4" t="inlineStr">
        <is>
          <t>compact</t>
        </is>
      </c>
      <c r="M36" s="11" t="n">
        <v>0.3243457292944576</v>
      </c>
      <c r="N36" s="11" t="n">
        <v>-0.2601533749779472</v>
      </c>
      <c r="O36" s="11" t="n">
        <v>-4.177397732801003</v>
      </c>
      <c r="P36" s="4" t="n">
        <v>1</v>
      </c>
      <c r="Q36" s="11" t="n">
        <v>0.7239036503226204</v>
      </c>
      <c r="R36" s="11" t="n">
        <v>0</v>
      </c>
      <c r="S36" s="11" t="n">
        <v>4.780254864070516</v>
      </c>
      <c r="T36" s="11" t="n">
        <v>3.147540851545852</v>
      </c>
      <c r="U36" s="11" t="n">
        <v>0.9337016574585636</v>
      </c>
      <c r="V36" s="11" t="n">
        <v>3.22167368434058</v>
      </c>
      <c r="W36" s="12" t="n">
        <v>26.29562520980835</v>
      </c>
    </row>
    <row r="37">
      <c r="A37" s="4" t="n">
        <v>36</v>
      </c>
      <c r="B37" s="4" t="inlineStr">
        <is>
          <t>hardness_shoreA</t>
        </is>
      </c>
      <c r="C37" s="4" t="inlineStr">
        <is>
          <t>Exp2_BO</t>
        </is>
      </c>
      <c r="D37" s="4" t="n">
        <v>0</v>
      </c>
      <c r="E37" s="4" t="n">
        <v>23</v>
      </c>
      <c r="F37" s="4" t="inlineStr">
        <is>
          <t>GP</t>
        </is>
      </c>
      <c r="G37" s="4" t="inlineStr">
        <is>
          <t>matern12</t>
        </is>
      </c>
      <c r="H37" s="4" t="b">
        <v>1</v>
      </c>
      <c r="I37" s="4" t="b">
        <v>1</v>
      </c>
      <c r="J37" s="4" t="inlineStr">
        <is>
          <t>std</t>
        </is>
      </c>
      <c r="K37" s="4" t="inlineStr">
        <is>
          <t>none</t>
        </is>
      </c>
      <c r="L37" s="4" t="inlineStr">
        <is>
          <t>full</t>
        </is>
      </c>
      <c r="M37" s="11" t="n">
        <v>0.3243457292944576</v>
      </c>
      <c r="N37" s="11" t="n">
        <v>-0.2601533749779472</v>
      </c>
      <c r="O37" s="11" t="n">
        <v>-4.177397732801003</v>
      </c>
      <c r="P37" s="4" t="n">
        <v>1</v>
      </c>
      <c r="Q37" s="11" t="n">
        <v>0.712962839793774</v>
      </c>
      <c r="R37" s="11" t="n">
        <v>0</v>
      </c>
      <c r="S37" s="11" t="n">
        <v>4.874047777766624</v>
      </c>
      <c r="T37" s="11" t="n">
        <v>3.18873559896426</v>
      </c>
      <c r="U37" s="11" t="n">
        <v>0.9171270718232044</v>
      </c>
      <c r="V37" s="11" t="n">
        <v>3.312266319070436</v>
      </c>
      <c r="W37" s="12" t="n">
        <v>44.32074570655823</v>
      </c>
    </row>
    <row r="38">
      <c r="A38" s="4" t="n">
        <v>37</v>
      </c>
      <c r="B38" s="4" t="inlineStr">
        <is>
          <t>hardness_shoreA</t>
        </is>
      </c>
      <c r="C38" s="4" t="inlineStr">
        <is>
          <t>Exp2_BO</t>
        </is>
      </c>
      <c r="D38" s="4" t="n">
        <v>0</v>
      </c>
      <c r="E38" s="4" t="n">
        <v>24</v>
      </c>
      <c r="F38" s="4" t="inlineStr">
        <is>
          <t>GP</t>
        </is>
      </c>
      <c r="G38" s="4" t="inlineStr">
        <is>
          <t>matern12</t>
        </is>
      </c>
      <c r="H38" s="4" t="b">
        <v>1</v>
      </c>
      <c r="I38" s="4" t="b">
        <v>1</v>
      </c>
      <c r="J38" s="4" t="inlineStr">
        <is>
          <t>log1p</t>
        </is>
      </c>
      <c r="K38" s="4" t="inlineStr">
        <is>
          <t>none</t>
        </is>
      </c>
      <c r="L38" s="4" t="inlineStr">
        <is>
          <t>full</t>
        </is>
      </c>
      <c r="M38" s="11" t="n">
        <v>0.59338834940177</v>
      </c>
      <c r="N38" s="11" t="n">
        <v>-0.5398801632228345</v>
      </c>
      <c r="O38" s="11" t="n">
        <v>-5.75183067216499</v>
      </c>
      <c r="P38" s="4" t="n">
        <v>1</v>
      </c>
      <c r="Q38" s="11" t="n">
        <v>0.6296033379308354</v>
      </c>
      <c r="R38" s="11" t="n">
        <v>0</v>
      </c>
      <c r="S38" s="11" t="n">
        <v>5.536741553753739</v>
      </c>
      <c r="T38" s="11" t="n">
        <v>3.777879987357821</v>
      </c>
      <c r="U38" s="11" t="n">
        <v>0.9171270718232044</v>
      </c>
      <c r="V38" s="11" t="n">
        <v>3.485573984027837</v>
      </c>
      <c r="W38" s="12" t="n">
        <v>39.37411952018738</v>
      </c>
    </row>
    <row r="39">
      <c r="A39" s="4" t="n">
        <v>38</v>
      </c>
      <c r="B39" s="4" t="inlineStr">
        <is>
          <t>hardness_shoreA</t>
        </is>
      </c>
      <c r="C39" s="4" t="inlineStr">
        <is>
          <t>Exp2_BO</t>
        </is>
      </c>
      <c r="D39" s="4" t="n">
        <v>0</v>
      </c>
      <c r="E39" s="4" t="n">
        <v>25</v>
      </c>
      <c r="F39" s="4" t="inlineStr">
        <is>
          <t>GP</t>
        </is>
      </c>
      <c r="G39" s="4" t="inlineStr">
        <is>
          <t>rq</t>
        </is>
      </c>
      <c r="H39" s="4" t="b">
        <v>0</v>
      </c>
      <c r="I39" s="4" t="b">
        <v>1</v>
      </c>
      <c r="J39" s="4" t="inlineStr">
        <is>
          <t>log1p</t>
        </is>
      </c>
      <c r="K39" s="4" t="inlineStr">
        <is>
          <t>log</t>
        </is>
      </c>
      <c r="L39" s="4" t="inlineStr">
        <is>
          <t>compact</t>
        </is>
      </c>
      <c r="M39" s="11" t="n">
        <v>-0.0981323521926571</v>
      </c>
      <c r="N39" s="11" t="n">
        <v>-1.450145316267869</v>
      </c>
      <c r="O39" s="11" t="n">
        <v>-3.003097040488402</v>
      </c>
      <c r="P39" s="4" t="n">
        <v>1</v>
      </c>
      <c r="Q39" s="11" t="n">
        <v>0.6379020192699876</v>
      </c>
      <c r="R39" s="11" t="n">
        <v>0</v>
      </c>
      <c r="S39" s="11" t="n">
        <v>5.474365262054129</v>
      </c>
      <c r="T39" s="11" t="n">
        <v>3.759198046118396</v>
      </c>
      <c r="U39" s="11" t="n">
        <v>0.9226519337016574</v>
      </c>
      <c r="V39" s="11" t="n">
        <v>3.417590703737068</v>
      </c>
      <c r="W39" s="12" t="n">
        <v>5.539941549301148</v>
      </c>
    </row>
    <row r="40">
      <c r="A40" s="4" t="n">
        <v>39</v>
      </c>
      <c r="B40" s="4" t="inlineStr">
        <is>
          <t>hardness_shoreA</t>
        </is>
      </c>
      <c r="C40" s="4" t="inlineStr">
        <is>
          <t>Exp2_BO</t>
        </is>
      </c>
      <c r="D40" s="4" t="n">
        <v>0</v>
      </c>
      <c r="E40" s="4" t="n">
        <v>26</v>
      </c>
      <c r="F40" s="4" t="inlineStr">
        <is>
          <t>GP</t>
        </is>
      </c>
      <c r="G40" s="4" t="inlineStr">
        <is>
          <t>matern12</t>
        </is>
      </c>
      <c r="H40" s="4" t="b">
        <v>1</v>
      </c>
      <c r="I40" s="4" t="b">
        <v>1</v>
      </c>
      <c r="J40" s="4" t="inlineStr">
        <is>
          <t>std</t>
        </is>
      </c>
      <c r="K40" s="4" t="inlineStr">
        <is>
          <t>none</t>
        </is>
      </c>
      <c r="L40" s="4" t="inlineStr">
        <is>
          <t>full_cure6</t>
        </is>
      </c>
      <c r="M40" s="11" t="n">
        <v>0.8912680515804419</v>
      </c>
      <c r="N40" s="11" t="n">
        <v>-0.0433215388064418</v>
      </c>
      <c r="O40" s="11" t="n">
        <v>-2.599448356295996</v>
      </c>
      <c r="P40" s="4" t="n">
        <v>1</v>
      </c>
      <c r="Q40" s="11" t="n">
        <v>0.7001884663021691</v>
      </c>
      <c r="R40" s="11" t="n">
        <v>0</v>
      </c>
      <c r="S40" s="11" t="n">
        <v>4.981325115676149</v>
      </c>
      <c r="T40" s="11" t="n">
        <v>3.309681086619333</v>
      </c>
      <c r="U40" s="11" t="n">
        <v>0.9226519337016574</v>
      </c>
      <c r="V40" s="11" t="n">
        <v>3.286243054945757</v>
      </c>
      <c r="W40" s="12" t="n">
        <v>64.9929792881012</v>
      </c>
    </row>
    <row r="41">
      <c r="A41" s="4" t="n">
        <v>40</v>
      </c>
      <c r="B41" s="4" t="inlineStr">
        <is>
          <t>hardness_shoreA</t>
        </is>
      </c>
      <c r="C41" s="4" t="inlineStr">
        <is>
          <t>Exp2_BO</t>
        </is>
      </c>
      <c r="D41" s="4" t="n">
        <v>0</v>
      </c>
      <c r="E41" s="4" t="n">
        <v>27</v>
      </c>
      <c r="F41" s="4" t="inlineStr">
        <is>
          <t>GP</t>
        </is>
      </c>
      <c r="G41" s="4" t="inlineStr">
        <is>
          <t>matern52</t>
        </is>
      </c>
      <c r="H41" s="4" t="b">
        <v>1</v>
      </c>
      <c r="I41" s="4" t="b">
        <v>1</v>
      </c>
      <c r="J41" s="4" t="inlineStr">
        <is>
          <t>std</t>
        </is>
      </c>
      <c r="K41" s="4" t="inlineStr">
        <is>
          <t>none</t>
        </is>
      </c>
      <c r="L41" s="4" t="inlineStr">
        <is>
          <t>compact</t>
        </is>
      </c>
      <c r="M41" s="11" t="n">
        <v>0.9647676200425492</v>
      </c>
      <c r="N41" s="11" t="n">
        <v>-2.569446847503896</v>
      </c>
      <c r="O41" s="11" t="n">
        <v>-2.158109359170147</v>
      </c>
      <c r="P41" s="4" t="n">
        <v>1</v>
      </c>
      <c r="Q41" s="11" t="n">
        <v>0.7044826593948379</v>
      </c>
      <c r="R41" s="11" t="n">
        <v>0</v>
      </c>
      <c r="S41" s="11" t="n">
        <v>4.945522756765349</v>
      </c>
      <c r="T41" s="11" t="n">
        <v>3.265092237709452</v>
      </c>
      <c r="U41" s="11" t="n">
        <v>0.9116022099447514</v>
      </c>
      <c r="V41" s="11" t="n">
        <v>3.293036579991739</v>
      </c>
      <c r="W41" s="12" t="n">
        <v>38.50445699691772</v>
      </c>
    </row>
    <row r="42">
      <c r="A42" s="4" t="n">
        <v>41</v>
      </c>
      <c r="B42" s="4" t="inlineStr">
        <is>
          <t>hardness_shoreA</t>
        </is>
      </c>
      <c r="C42" s="4" t="inlineStr">
        <is>
          <t>Exp2_BO</t>
        </is>
      </c>
      <c r="D42" s="4" t="n">
        <v>0</v>
      </c>
      <c r="E42" s="4" t="n">
        <v>28</v>
      </c>
      <c r="F42" s="4" t="inlineStr">
        <is>
          <t>GP</t>
        </is>
      </c>
      <c r="G42" s="4" t="inlineStr">
        <is>
          <t>matern12</t>
        </is>
      </c>
      <c r="H42" s="4" t="b">
        <v>1</v>
      </c>
      <c r="I42" s="4" t="b">
        <v>1</v>
      </c>
      <c r="J42" s="4" t="inlineStr">
        <is>
          <t>std</t>
        </is>
      </c>
      <c r="K42" s="4" t="inlineStr">
        <is>
          <t>none</t>
        </is>
      </c>
      <c r="L42" s="4" t="inlineStr">
        <is>
          <t>full_agg</t>
        </is>
      </c>
      <c r="M42" s="11" t="n">
        <v>0.3243457292944576</v>
      </c>
      <c r="N42" s="11" t="n">
        <v>-0.2601533749779472</v>
      </c>
      <c r="O42" s="11" t="n">
        <v>-4.177397732801003</v>
      </c>
      <c r="P42" s="4" t="n">
        <v>1</v>
      </c>
      <c r="Q42" s="11" t="n">
        <v>0.7161370865320467</v>
      </c>
      <c r="R42" s="11" t="n">
        <v>0</v>
      </c>
      <c r="S42" s="11" t="n">
        <v>4.847022632778924</v>
      </c>
      <c r="T42" s="11" t="n">
        <v>3.153654360388218</v>
      </c>
      <c r="U42" s="11" t="n">
        <v>0.9226519337016574</v>
      </c>
      <c r="V42" s="11" t="n">
        <v>3.258069010164512</v>
      </c>
      <c r="W42" s="12" t="n">
        <v>66.8057713508606</v>
      </c>
    </row>
    <row r="43">
      <c r="A43" s="4" t="n">
        <v>42</v>
      </c>
      <c r="B43" s="4" t="inlineStr">
        <is>
          <t>hardness_shoreA</t>
        </is>
      </c>
      <c r="C43" s="4" t="inlineStr">
        <is>
          <t>Exp2_BO</t>
        </is>
      </c>
      <c r="D43" s="4" t="n">
        <v>0</v>
      </c>
      <c r="E43" s="4" t="n">
        <v>29</v>
      </c>
      <c r="F43" s="4" t="inlineStr">
        <is>
          <t>GP</t>
        </is>
      </c>
      <c r="G43" s="4" t="inlineStr">
        <is>
          <t>matern52</t>
        </is>
      </c>
      <c r="H43" s="4" t="b">
        <v>0</v>
      </c>
      <c r="I43" s="4" t="b">
        <v>1</v>
      </c>
      <c r="J43" s="4" t="inlineStr">
        <is>
          <t>std</t>
        </is>
      </c>
      <c r="K43" s="4" t="inlineStr">
        <is>
          <t>log</t>
        </is>
      </c>
      <c r="L43" s="4" t="inlineStr">
        <is>
          <t>full</t>
        </is>
      </c>
      <c r="M43" s="11" t="n">
        <v>-0.0548038844497118</v>
      </c>
      <c r="N43" s="11" t="n">
        <v>-0.184327062868447</v>
      </c>
      <c r="O43" s="11" t="n">
        <v>-4.165356316000771</v>
      </c>
      <c r="P43" s="4" t="n">
        <v>1</v>
      </c>
      <c r="Q43" s="11" t="n">
        <v>0.7032695317190187</v>
      </c>
      <c r="R43" s="11" t="n">
        <v>0</v>
      </c>
      <c r="S43" s="11" t="n">
        <v>4.955663288510569</v>
      </c>
      <c r="T43" s="11" t="n">
        <v>3.342280887358879</v>
      </c>
      <c r="U43" s="11" t="n">
        <v>0.9281767955801103</v>
      </c>
      <c r="V43" s="11" t="n">
        <v>3.252142675165011</v>
      </c>
      <c r="W43" s="12" t="n">
        <v>6.051545143127441</v>
      </c>
    </row>
    <row r="44">
      <c r="A44" s="4" t="n">
        <v>43</v>
      </c>
      <c r="B44" s="4" t="inlineStr">
        <is>
          <t>hardness_shoreA</t>
        </is>
      </c>
      <c r="C44" s="4" t="inlineStr">
        <is>
          <t>Exp2_BO</t>
        </is>
      </c>
      <c r="D44" s="4" t="n">
        <v>1</v>
      </c>
      <c r="E44" s="4" t="n">
        <v>0</v>
      </c>
      <c r="F44" s="4" t="inlineStr">
        <is>
          <t>GP</t>
        </is>
      </c>
      <c r="G44" s="4" t="inlineStr">
        <is>
          <t>matern32</t>
        </is>
      </c>
      <c r="H44" s="4" t="b">
        <v>0</v>
      </c>
      <c r="I44" s="4" t="b">
        <v>1</v>
      </c>
      <c r="J44" s="4" t="inlineStr">
        <is>
          <t>log1p</t>
        </is>
      </c>
      <c r="K44" s="4" t="inlineStr">
        <is>
          <t>none</t>
        </is>
      </c>
      <c r="L44" s="4" t="inlineStr">
        <is>
          <t>full</t>
        </is>
      </c>
      <c r="M44" s="11" t="n">
        <v>0.8972988942744877</v>
      </c>
      <c r="N44" s="11" t="n">
        <v>-2.064505643968544</v>
      </c>
      <c r="O44" s="11" t="n">
        <v>-4.306694204109697</v>
      </c>
      <c r="P44" s="4" t="n">
        <v>1</v>
      </c>
      <c r="Q44" s="11" t="n">
        <v>0.6293209309963268</v>
      </c>
      <c r="R44" s="11" t="n">
        <v>0</v>
      </c>
      <c r="S44" s="11" t="n">
        <v>5.538851880925552</v>
      </c>
      <c r="T44" s="11" t="n">
        <v>3.716570242995352</v>
      </c>
      <c r="U44" s="11" t="n">
        <v>0.9060773480662984</v>
      </c>
      <c r="V44" s="11" t="n">
        <v>3.344394790743217</v>
      </c>
      <c r="W44" s="12" t="n">
        <v>4.503210067749023</v>
      </c>
    </row>
    <row r="45">
      <c r="A45" s="4" t="n">
        <v>44</v>
      </c>
      <c r="B45" s="4" t="inlineStr">
        <is>
          <t>hardness_shoreA</t>
        </is>
      </c>
      <c r="C45" s="4" t="inlineStr">
        <is>
          <t>Exp2_BO</t>
        </is>
      </c>
      <c r="D45" s="4" t="n">
        <v>1</v>
      </c>
      <c r="E45" s="4" t="n">
        <v>1</v>
      </c>
      <c r="F45" s="4" t="inlineStr">
        <is>
          <t>GP</t>
        </is>
      </c>
      <c r="G45" s="4" t="inlineStr">
        <is>
          <t>matern12</t>
        </is>
      </c>
      <c r="H45" s="4" t="b">
        <v>0</v>
      </c>
      <c r="I45" s="4" t="b">
        <v>0</v>
      </c>
      <c r="J45" s="4" t="inlineStr">
        <is>
          <t>std</t>
        </is>
      </c>
      <c r="K45" s="4" t="inlineStr">
        <is>
          <t>log</t>
        </is>
      </c>
      <c r="L45" s="4" t="inlineStr">
        <is>
          <t>full_cure6</t>
        </is>
      </c>
      <c r="M45" s="11" t="n">
        <v>-0.9448817735138632</v>
      </c>
      <c r="N45" s="11" t="n">
        <v>-0.7394606739755805</v>
      </c>
      <c r="O45" s="11" t="n">
        <v>-3.847426747122887</v>
      </c>
      <c r="P45" s="4" t="n">
        <v>1</v>
      </c>
      <c r="Q45" s="11" t="n">
        <v>0.7029112579408483</v>
      </c>
      <c r="R45" s="11" t="n">
        <v>0</v>
      </c>
      <c r="S45" s="11" t="n">
        <v>4.958654131701155</v>
      </c>
      <c r="T45" s="11" t="n">
        <v>3.242741682800932</v>
      </c>
      <c r="U45" s="11" t="n">
        <v>0.9337016574585636</v>
      </c>
      <c r="V45" s="11" t="n">
        <v>3.313449241802042</v>
      </c>
      <c r="W45" s="12" t="n">
        <v>1.951674222946167</v>
      </c>
    </row>
    <row r="46">
      <c r="A46" s="4" t="n">
        <v>45</v>
      </c>
      <c r="B46" s="4" t="inlineStr">
        <is>
          <t>hardness_shoreA</t>
        </is>
      </c>
      <c r="C46" s="4" t="inlineStr">
        <is>
          <t>Exp2_BO</t>
        </is>
      </c>
      <c r="D46" s="4" t="n">
        <v>1</v>
      </c>
      <c r="E46" s="4" t="n">
        <v>2</v>
      </c>
      <c r="F46" s="4" t="inlineStr">
        <is>
          <t>GP</t>
        </is>
      </c>
      <c r="G46" s="4" t="inlineStr">
        <is>
          <t>rq</t>
        </is>
      </c>
      <c r="H46" s="4" t="b">
        <v>1</v>
      </c>
      <c r="I46" s="4" t="b">
        <v>0</v>
      </c>
      <c r="J46" s="4" t="inlineStr">
        <is>
          <t>log1p</t>
        </is>
      </c>
      <c r="K46" s="4" t="inlineStr">
        <is>
          <t>none</t>
        </is>
      </c>
      <c r="L46" s="4" t="inlineStr">
        <is>
          <t>full_agg</t>
        </is>
      </c>
      <c r="M46" s="11" t="n">
        <v>-0.0930042210386969</v>
      </c>
      <c r="N46" s="11" t="n">
        <v>-2.597874908258506</v>
      </c>
      <c r="O46" s="11" t="n">
        <v>-4.387548054211483</v>
      </c>
      <c r="P46" s="4" t="n">
        <v>1</v>
      </c>
      <c r="Q46" s="11" t="n">
        <v>0.6881706401292264</v>
      </c>
      <c r="R46" s="11" t="n">
        <v>0</v>
      </c>
      <c r="S46" s="11" t="n">
        <v>5.080181413946693</v>
      </c>
      <c r="T46" s="11" t="n">
        <v>3.437473625418937</v>
      </c>
      <c r="U46" s="11" t="n">
        <v>0.9281767955801103</v>
      </c>
      <c r="V46" s="11" t="n">
        <v>3.203941181341895</v>
      </c>
      <c r="W46" s="12" t="n">
        <v>3.345426082611084</v>
      </c>
    </row>
    <row r="47">
      <c r="A47" s="4" t="n">
        <v>46</v>
      </c>
      <c r="B47" s="4" t="inlineStr">
        <is>
          <t>hardness_shoreA</t>
        </is>
      </c>
      <c r="C47" s="4" t="inlineStr">
        <is>
          <t>Exp2_BO</t>
        </is>
      </c>
      <c r="D47" s="4" t="n">
        <v>1</v>
      </c>
      <c r="E47" s="4" t="n">
        <v>3</v>
      </c>
      <c r="F47" s="4" t="inlineStr">
        <is>
          <t>GP</t>
        </is>
      </c>
      <c r="G47" s="4" t="inlineStr">
        <is>
          <t>rq</t>
        </is>
      </c>
      <c r="H47" s="4" t="b">
        <v>1</v>
      </c>
      <c r="I47" s="4" t="b">
        <v>1</v>
      </c>
      <c r="J47" s="4" t="inlineStr">
        <is>
          <t>std</t>
        </is>
      </c>
      <c r="K47" s="4" t="inlineStr">
        <is>
          <t>none</t>
        </is>
      </c>
      <c r="L47" s="4" t="inlineStr">
        <is>
          <t>compact</t>
        </is>
      </c>
      <c r="M47" s="11" t="n">
        <v>-0.4391824840279201</v>
      </c>
      <c r="N47" s="11" t="n">
        <v>-1.544427076705095</v>
      </c>
      <c r="O47" s="11" t="n">
        <v>-2.077051200795045</v>
      </c>
      <c r="P47" s="4" t="n">
        <v>1</v>
      </c>
      <c r="Q47" s="11" t="n">
        <v>0.6680213477338353</v>
      </c>
      <c r="R47" s="11" t="n">
        <v>0</v>
      </c>
      <c r="S47" s="11" t="n">
        <v>5.241743899596167</v>
      </c>
      <c r="T47" s="11" t="n">
        <v>3.475961407791941</v>
      </c>
      <c r="U47" s="11" t="n">
        <v>0.9281767955801103</v>
      </c>
      <c r="V47" s="11" t="n">
        <v>3.319895651294936</v>
      </c>
      <c r="W47" s="12" t="n">
        <v>6.046711206436157</v>
      </c>
    </row>
    <row r="48">
      <c r="A48" s="4" t="n">
        <v>47</v>
      </c>
      <c r="B48" s="4" t="inlineStr">
        <is>
          <t>hardness_shoreA</t>
        </is>
      </c>
      <c r="C48" s="4" t="inlineStr">
        <is>
          <t>Exp2_BO</t>
        </is>
      </c>
      <c r="D48" s="4" t="n">
        <v>1</v>
      </c>
      <c r="E48" s="4" t="n">
        <v>4</v>
      </c>
      <c r="F48" s="4" t="inlineStr">
        <is>
          <t>GP</t>
        </is>
      </c>
      <c r="G48" s="4" t="inlineStr">
        <is>
          <t>matern52</t>
        </is>
      </c>
      <c r="H48" s="4" t="b">
        <v>0</v>
      </c>
      <c r="I48" s="4" t="b">
        <v>0</v>
      </c>
      <c r="J48" s="4" t="inlineStr">
        <is>
          <t>log1p</t>
        </is>
      </c>
      <c r="K48" s="4" t="inlineStr">
        <is>
          <t>none</t>
        </is>
      </c>
      <c r="L48" s="4" t="inlineStr">
        <is>
          <t>full_cure6</t>
        </is>
      </c>
      <c r="M48" s="11" t="n">
        <v>-0.4462175919092583</v>
      </c>
      <c r="N48" s="11" t="n">
        <v>-2.51804397367462</v>
      </c>
      <c r="O48" s="11" t="n">
        <v>-2.12029834713547</v>
      </c>
      <c r="P48" s="4" t="n">
        <v>1</v>
      </c>
      <c r="Q48" s="11" t="n">
        <v>0.6693313667857558</v>
      </c>
      <c r="R48" s="11" t="n">
        <v>0</v>
      </c>
      <c r="S48" s="11" t="n">
        <v>5.231391468844389</v>
      </c>
      <c r="T48" s="11" t="n">
        <v>3.595965254892118</v>
      </c>
      <c r="U48" s="11" t="n">
        <v>0.9392265193370166</v>
      </c>
      <c r="V48" s="11" t="n">
        <v>3.207154733266431</v>
      </c>
      <c r="W48" s="12" t="n">
        <v>1.818182706832885</v>
      </c>
    </row>
    <row r="49">
      <c r="A49" s="4" t="n">
        <v>48</v>
      </c>
      <c r="B49" s="4" t="inlineStr">
        <is>
          <t>hardness_shoreA</t>
        </is>
      </c>
      <c r="C49" s="4" t="inlineStr">
        <is>
          <t>Exp2_BO</t>
        </is>
      </c>
      <c r="D49" s="4" t="n">
        <v>1</v>
      </c>
      <c r="E49" s="4" t="n">
        <v>5</v>
      </c>
      <c r="F49" s="4" t="inlineStr">
        <is>
          <t>GP</t>
        </is>
      </c>
      <c r="G49" s="4" t="inlineStr">
        <is>
          <t>matern32</t>
        </is>
      </c>
      <c r="H49" s="4" t="b">
        <v>0</v>
      </c>
      <c r="I49" s="4" t="b">
        <v>0</v>
      </c>
      <c r="J49" s="4" t="inlineStr">
        <is>
          <t>std</t>
        </is>
      </c>
      <c r="K49" s="4" t="inlineStr">
        <is>
          <t>none</t>
        </is>
      </c>
      <c r="L49" s="4" t="inlineStr">
        <is>
          <t>full_cure6</t>
        </is>
      </c>
      <c r="M49" s="11" t="n">
        <v>0.553366228684596</v>
      </c>
      <c r="N49" s="11" t="n">
        <v>-1.160990096840879</v>
      </c>
      <c r="O49" s="11" t="n">
        <v>-2.330809180836389</v>
      </c>
      <c r="P49" s="4" t="n">
        <v>1</v>
      </c>
      <c r="Q49" s="11" t="n">
        <v>0.6871668885066882</v>
      </c>
      <c r="R49" s="11" t="n">
        <v>0</v>
      </c>
      <c r="S49" s="11" t="n">
        <v>5.088351176132295</v>
      </c>
      <c r="T49" s="11" t="n">
        <v>3.182810990137145</v>
      </c>
      <c r="U49" s="11" t="n">
        <v>0.9337016574585636</v>
      </c>
      <c r="V49" s="11" t="n">
        <v>3.168010514972431</v>
      </c>
      <c r="W49" s="12" t="n">
        <v>1.996696710586548</v>
      </c>
    </row>
    <row r="50">
      <c r="A50" s="4" t="n">
        <v>49</v>
      </c>
      <c r="B50" s="4" t="inlineStr">
        <is>
          <t>hardness_shoreA</t>
        </is>
      </c>
      <c r="C50" s="4" t="inlineStr">
        <is>
          <t>Exp2_BO</t>
        </is>
      </c>
      <c r="D50" s="4" t="n">
        <v>1</v>
      </c>
      <c r="E50" s="4" t="n">
        <v>6</v>
      </c>
      <c r="F50" s="4" t="inlineStr">
        <is>
          <t>GP</t>
        </is>
      </c>
      <c r="G50" s="4" t="inlineStr">
        <is>
          <t>matern32</t>
        </is>
      </c>
      <c r="H50" s="4" t="b">
        <v>1</v>
      </c>
      <c r="I50" s="4" t="b">
        <v>1</v>
      </c>
      <c r="J50" s="4" t="inlineStr">
        <is>
          <t>log1p</t>
        </is>
      </c>
      <c r="K50" s="4" t="inlineStr">
        <is>
          <t>log</t>
        </is>
      </c>
      <c r="L50" s="4" t="inlineStr">
        <is>
          <t>full_agg</t>
        </is>
      </c>
      <c r="M50" s="11" t="n">
        <v>-0.8753008417002488</v>
      </c>
      <c r="N50" s="11" t="n">
        <v>-1.076015492581875</v>
      </c>
      <c r="O50" s="11" t="n">
        <v>-2.589468646077373</v>
      </c>
      <c r="P50" s="4" t="n">
        <v>1</v>
      </c>
      <c r="Q50" s="11" t="n">
        <v>0.7269440964085783</v>
      </c>
      <c r="R50" s="11" t="n">
        <v>0</v>
      </c>
      <c r="S50" s="11" t="n">
        <v>4.753861283687631</v>
      </c>
      <c r="T50" s="11" t="n">
        <v>3.14784011994765</v>
      </c>
      <c r="U50" s="11" t="n">
        <v>0.9005524861878453</v>
      </c>
      <c r="V50" s="11" t="n">
        <v>3.3329312443523</v>
      </c>
      <c r="W50" s="12" t="n">
        <v>59.32498836517334</v>
      </c>
    </row>
    <row r="51">
      <c r="A51" s="4" t="n">
        <v>50</v>
      </c>
      <c r="B51" s="4" t="inlineStr">
        <is>
          <t>hardness_shoreA</t>
        </is>
      </c>
      <c r="C51" s="4" t="inlineStr">
        <is>
          <t>Exp2_BO</t>
        </is>
      </c>
      <c r="D51" s="4" t="n">
        <v>1</v>
      </c>
      <c r="E51" s="4" t="n">
        <v>7</v>
      </c>
      <c r="F51" s="4" t="inlineStr">
        <is>
          <t>GP</t>
        </is>
      </c>
      <c r="G51" s="4" t="inlineStr">
        <is>
          <t>matern12</t>
        </is>
      </c>
      <c r="H51" s="4" t="b">
        <v>0</v>
      </c>
      <c r="I51" s="4" t="b">
        <v>1</v>
      </c>
      <c r="J51" s="4" t="inlineStr">
        <is>
          <t>std</t>
        </is>
      </c>
      <c r="K51" s="4" t="inlineStr">
        <is>
          <t>none</t>
        </is>
      </c>
      <c r="L51" s="4" t="inlineStr">
        <is>
          <t>compact</t>
        </is>
      </c>
      <c r="M51" s="11" t="n">
        <v>0.0189917630430187</v>
      </c>
      <c r="N51" s="11" t="n">
        <v>-1.467333346600401</v>
      </c>
      <c r="O51" s="11" t="n">
        <v>-2.987879169191288</v>
      </c>
      <c r="P51" s="4" t="n">
        <v>1</v>
      </c>
      <c r="Q51" s="11" t="n">
        <v>0.674824548766217</v>
      </c>
      <c r="R51" s="11" t="n">
        <v>0</v>
      </c>
      <c r="S51" s="11" t="n">
        <v>5.187756646284841</v>
      </c>
      <c r="T51" s="11" t="n">
        <v>3.472711381520506</v>
      </c>
      <c r="U51" s="11" t="n">
        <v>0.9281767955801103</v>
      </c>
      <c r="V51" s="11" t="n">
        <v>3.270444275876548</v>
      </c>
      <c r="W51" s="12" t="n">
        <v>5.819382429122925</v>
      </c>
    </row>
    <row r="52">
      <c r="A52" s="4" t="n">
        <v>51</v>
      </c>
      <c r="B52" s="4" t="inlineStr">
        <is>
          <t>hardness_shoreA</t>
        </is>
      </c>
      <c r="C52" s="4" t="inlineStr">
        <is>
          <t>Exp2_BO</t>
        </is>
      </c>
      <c r="D52" s="4" t="n">
        <v>1</v>
      </c>
      <c r="E52" s="4" t="n">
        <v>8</v>
      </c>
      <c r="F52" s="4" t="inlineStr">
        <is>
          <t>GP</t>
        </is>
      </c>
      <c r="G52" s="4" t="inlineStr">
        <is>
          <t>rq</t>
        </is>
      </c>
      <c r="H52" s="4" t="b">
        <v>1</v>
      </c>
      <c r="I52" s="4" t="b">
        <v>0</v>
      </c>
      <c r="J52" s="4" t="inlineStr">
        <is>
          <t>log1p</t>
        </is>
      </c>
      <c r="K52" s="4" t="inlineStr">
        <is>
          <t>log</t>
        </is>
      </c>
      <c r="L52" s="4" t="inlineStr">
        <is>
          <t>full_agg</t>
        </is>
      </c>
      <c r="M52" s="11" t="n">
        <v>0.9988217002824132</v>
      </c>
      <c r="N52" s="11" t="n">
        <v>-1.196919288785529</v>
      </c>
      <c r="O52" s="11" t="n">
        <v>-4.41557414956486</v>
      </c>
      <c r="P52" s="4" t="n">
        <v>1</v>
      </c>
      <c r="Q52" s="11" t="n">
        <v>0.6925737948298863</v>
      </c>
      <c r="R52" s="11" t="n">
        <v>0</v>
      </c>
      <c r="S52" s="11" t="n">
        <v>5.044186805658776</v>
      </c>
      <c r="T52" s="11" t="n">
        <v>3.407333616192189</v>
      </c>
      <c r="U52" s="11" t="n">
        <v>0.9337016574585636</v>
      </c>
      <c r="V52" s="11" t="n">
        <v>3.284751297208055</v>
      </c>
      <c r="W52" s="12" t="n">
        <v>3.199119091033936</v>
      </c>
    </row>
    <row r="53">
      <c r="A53" s="4" t="n">
        <v>52</v>
      </c>
      <c r="B53" s="4" t="inlineStr">
        <is>
          <t>hardness_shoreA</t>
        </is>
      </c>
      <c r="C53" s="4" t="inlineStr">
        <is>
          <t>Exp2_BO</t>
        </is>
      </c>
      <c r="D53" s="4" t="n">
        <v>1</v>
      </c>
      <c r="E53" s="4" t="n">
        <v>9</v>
      </c>
      <c r="F53" s="4" t="inlineStr">
        <is>
          <t>GP</t>
        </is>
      </c>
      <c r="G53" s="4" t="inlineStr">
        <is>
          <t>rbf</t>
        </is>
      </c>
      <c r="H53" s="4" t="b">
        <v>0</v>
      </c>
      <c r="I53" s="4" t="b">
        <v>0</v>
      </c>
      <c r="J53" s="4" t="inlineStr">
        <is>
          <t>log1p</t>
        </is>
      </c>
      <c r="K53" s="4" t="inlineStr">
        <is>
          <t>log</t>
        </is>
      </c>
      <c r="L53" s="4" t="inlineStr">
        <is>
          <t>full_agg</t>
        </is>
      </c>
      <c r="M53" s="11" t="n">
        <v>-0.9940007374941924</v>
      </c>
      <c r="N53" s="11" t="n">
        <v>-2.476759273814076</v>
      </c>
      <c r="O53" s="11" t="n">
        <v>-2.866848833652231</v>
      </c>
      <c r="P53" s="4" t="n">
        <v>1</v>
      </c>
      <c r="Q53" s="11" t="n">
        <v>0.6885427114476531</v>
      </c>
      <c r="R53" s="11" t="n">
        <v>0</v>
      </c>
      <c r="S53" s="11" t="n">
        <v>5.077149701390339</v>
      </c>
      <c r="T53" s="11" t="n">
        <v>3.485055683168733</v>
      </c>
      <c r="U53" s="11" t="n">
        <v>0.9281767955801103</v>
      </c>
      <c r="V53" s="11" t="n">
        <v>3.249033795680232</v>
      </c>
      <c r="W53" s="12" t="n">
        <v>1.444356918334961</v>
      </c>
    </row>
    <row r="54">
      <c r="A54" s="4" t="n">
        <v>53</v>
      </c>
      <c r="B54" s="4" t="inlineStr">
        <is>
          <t>hardness_shoreA</t>
        </is>
      </c>
      <c r="C54" s="4" t="inlineStr">
        <is>
          <t>Exp2_BO</t>
        </is>
      </c>
      <c r="D54" s="4" t="n">
        <v>1</v>
      </c>
      <c r="E54" s="4" t="n">
        <v>10</v>
      </c>
      <c r="F54" s="4" t="inlineStr">
        <is>
          <t>GP</t>
        </is>
      </c>
      <c r="G54" s="4" t="inlineStr">
        <is>
          <t>matern12</t>
        </is>
      </c>
      <c r="H54" s="4" t="b">
        <v>0</v>
      </c>
      <c r="I54" s="4" t="b">
        <v>1</v>
      </c>
      <c r="J54" s="4" t="inlineStr">
        <is>
          <t>log1p</t>
        </is>
      </c>
      <c r="K54" s="4" t="inlineStr">
        <is>
          <t>log</t>
        </is>
      </c>
      <c r="L54" s="4" t="inlineStr">
        <is>
          <t>full_agg</t>
        </is>
      </c>
      <c r="M54" s="11" t="n">
        <v>-0.8487995266301589</v>
      </c>
      <c r="N54" s="11" t="n">
        <v>-2.859246844294044</v>
      </c>
      <c r="O54" s="11" t="n">
        <v>-2.974965178366296</v>
      </c>
      <c r="P54" s="4" t="n">
        <v>1</v>
      </c>
      <c r="Q54" s="11" t="n">
        <v>0.6708629872190782</v>
      </c>
      <c r="R54" s="11" t="n">
        <v>0</v>
      </c>
      <c r="S54" s="11" t="n">
        <v>5.21926179419002</v>
      </c>
      <c r="T54" s="11" t="n">
        <v>3.522050999720973</v>
      </c>
      <c r="U54" s="11" t="n">
        <v>0.9226519337016574</v>
      </c>
      <c r="V54" s="11" t="n">
        <v>3.349876073621103</v>
      </c>
      <c r="W54" s="12" t="n">
        <v>6.928719997406006</v>
      </c>
    </row>
    <row r="55">
      <c r="A55" s="4" t="n">
        <v>54</v>
      </c>
      <c r="B55" s="4" t="inlineStr">
        <is>
          <t>hardness_shoreA</t>
        </is>
      </c>
      <c r="C55" s="4" t="inlineStr">
        <is>
          <t>Exp2_BO</t>
        </is>
      </c>
      <c r="D55" s="4" t="n">
        <v>1</v>
      </c>
      <c r="E55" s="4" t="n">
        <v>11</v>
      </c>
      <c r="F55" s="4" t="inlineStr">
        <is>
          <t>GP</t>
        </is>
      </c>
      <c r="G55" s="4" t="inlineStr">
        <is>
          <t>rbf</t>
        </is>
      </c>
      <c r="H55" s="4" t="b">
        <v>1</v>
      </c>
      <c r="I55" s="4" t="b">
        <v>1</v>
      </c>
      <c r="J55" s="4" t="inlineStr">
        <is>
          <t>log1p</t>
        </is>
      </c>
      <c r="K55" s="4" t="inlineStr">
        <is>
          <t>none</t>
        </is>
      </c>
      <c r="L55" s="4" t="inlineStr">
        <is>
          <t>full_agg</t>
        </is>
      </c>
      <c r="M55" s="11" t="n">
        <v>0.3124224871161141</v>
      </c>
      <c r="N55" s="11" t="n">
        <v>-0.0136052964435537</v>
      </c>
      <c r="O55" s="11" t="n">
        <v>-2.074017988849153</v>
      </c>
      <c r="P55" s="4" t="n">
        <v>1</v>
      </c>
      <c r="Q55" s="11" t="n">
        <v>0.6999797478653095</v>
      </c>
      <c r="R55" s="11" t="n">
        <v>0</v>
      </c>
      <c r="S55" s="11" t="n">
        <v>4.983058727275304</v>
      </c>
      <c r="T55" s="11" t="n">
        <v>3.270145815140806</v>
      </c>
      <c r="U55" s="11" t="n">
        <v>0.9171270718232044</v>
      </c>
      <c r="V55" s="11" t="n">
        <v>3.332945518543629</v>
      </c>
      <c r="W55" s="12" t="n">
        <v>42.35499358177185</v>
      </c>
    </row>
    <row r="56">
      <c r="A56" s="4" t="n">
        <v>55</v>
      </c>
      <c r="B56" s="4" t="inlineStr">
        <is>
          <t>hardness_shoreA</t>
        </is>
      </c>
      <c r="C56" s="4" t="inlineStr">
        <is>
          <t>Exp2_BO</t>
        </is>
      </c>
      <c r="D56" s="4" t="n">
        <v>1</v>
      </c>
      <c r="E56" s="4" t="n">
        <v>12</v>
      </c>
      <c r="F56" s="4" t="inlineStr">
        <is>
          <t>GP</t>
        </is>
      </c>
      <c r="G56" s="4" t="inlineStr">
        <is>
          <t>matern32</t>
        </is>
      </c>
      <c r="H56" s="4" t="b">
        <v>1</v>
      </c>
      <c r="I56" s="4" t="b">
        <v>1</v>
      </c>
      <c r="J56" s="4" t="inlineStr">
        <is>
          <t>log1p</t>
        </is>
      </c>
      <c r="K56" s="4" t="inlineStr">
        <is>
          <t>log</t>
        </is>
      </c>
      <c r="L56" s="4" t="inlineStr">
        <is>
          <t>full_cure6</t>
        </is>
      </c>
      <c r="M56" s="11" t="n">
        <v>0.5065817761050326</v>
      </c>
      <c r="N56" s="11" t="n">
        <v>-1.927329757009372</v>
      </c>
      <c r="O56" s="11" t="n">
        <v>-5.765230038696766</v>
      </c>
      <c r="P56" s="4" t="n">
        <v>1</v>
      </c>
      <c r="Q56" s="11" t="n">
        <v>0.6484465904196901</v>
      </c>
      <c r="R56" s="11" t="n">
        <v>0</v>
      </c>
      <c r="S56" s="11" t="n">
        <v>5.394067500635412</v>
      </c>
      <c r="T56" s="11" t="n">
        <v>3.553860413950236</v>
      </c>
      <c r="U56" s="11" t="n">
        <v>0.9005524861878453</v>
      </c>
      <c r="V56" s="11" t="n">
        <v>3.598452030858396</v>
      </c>
      <c r="W56" s="12" t="n">
        <v>59.28231525421143</v>
      </c>
    </row>
    <row r="57">
      <c r="A57" s="4" t="n">
        <v>56</v>
      </c>
      <c r="B57" s="4" t="inlineStr">
        <is>
          <t>hardness_shoreA</t>
        </is>
      </c>
      <c r="C57" s="4" t="inlineStr">
        <is>
          <t>Exp2_BO</t>
        </is>
      </c>
      <c r="D57" s="4" t="n">
        <v>1</v>
      </c>
      <c r="E57" s="4" t="n">
        <v>13</v>
      </c>
      <c r="F57" s="4" t="inlineStr">
        <is>
          <t>GP</t>
        </is>
      </c>
      <c r="G57" s="4" t="inlineStr">
        <is>
          <t>matern32</t>
        </is>
      </c>
      <c r="H57" s="4" t="b">
        <v>1</v>
      </c>
      <c r="I57" s="4" t="b">
        <v>1</v>
      </c>
      <c r="J57" s="4" t="inlineStr">
        <is>
          <t>std</t>
        </is>
      </c>
      <c r="K57" s="4" t="inlineStr">
        <is>
          <t>log</t>
        </is>
      </c>
      <c r="L57" s="4" t="inlineStr">
        <is>
          <t>full_agg</t>
        </is>
      </c>
      <c r="M57" s="11" t="n">
        <v>0.9638315403232708</v>
      </c>
      <c r="N57" s="11" t="n">
        <v>-0.0410151460098262</v>
      </c>
      <c r="O57" s="11" t="n">
        <v>-3.601982227822209</v>
      </c>
      <c r="P57" s="4" t="n">
        <v>1</v>
      </c>
      <c r="Q57" s="11" t="n">
        <v>0.704446480151208</v>
      </c>
      <c r="R57" s="11" t="n">
        <v>0</v>
      </c>
      <c r="S57" s="11" t="n">
        <v>4.945825479773667</v>
      </c>
      <c r="T57" s="11" t="n">
        <v>3.22513702336902</v>
      </c>
      <c r="U57" s="11" t="n">
        <v>0.9171270718232044</v>
      </c>
      <c r="V57" s="11" t="n">
        <v>3.374181968630564</v>
      </c>
      <c r="W57" s="12" t="n">
        <v>66.91337633132935</v>
      </c>
    </row>
    <row r="58">
      <c r="A58" s="4" t="n">
        <v>57</v>
      </c>
      <c r="B58" s="4" t="inlineStr">
        <is>
          <t>hardness_shoreA</t>
        </is>
      </c>
      <c r="C58" s="4" t="inlineStr">
        <is>
          <t>Exp2_BO</t>
        </is>
      </c>
      <c r="D58" s="4" t="n">
        <v>1</v>
      </c>
      <c r="E58" s="4" t="n">
        <v>14</v>
      </c>
      <c r="F58" s="4" t="inlineStr">
        <is>
          <t>GP</t>
        </is>
      </c>
      <c r="G58" s="4" t="inlineStr">
        <is>
          <t>matern32</t>
        </is>
      </c>
      <c r="H58" s="4" t="b">
        <v>0</v>
      </c>
      <c r="I58" s="4" t="b">
        <v>0</v>
      </c>
      <c r="J58" s="4" t="inlineStr">
        <is>
          <t>std</t>
        </is>
      </c>
      <c r="K58" s="4" t="inlineStr">
        <is>
          <t>none</t>
        </is>
      </c>
      <c r="L58" s="4" t="inlineStr">
        <is>
          <t>full_agg</t>
        </is>
      </c>
      <c r="M58" s="11" t="n">
        <v>-0.8503915251325092</v>
      </c>
      <c r="N58" s="11" t="n">
        <v>-0.0156816244038715</v>
      </c>
      <c r="O58" s="11" t="n">
        <v>-5.42581668391011</v>
      </c>
      <c r="P58" s="4" t="n">
        <v>1</v>
      </c>
      <c r="Q58" s="11" t="n">
        <v>0.6921246302640084</v>
      </c>
      <c r="R58" s="11" t="n">
        <v>0</v>
      </c>
      <c r="S58" s="11" t="n">
        <v>5.047870361223186</v>
      </c>
      <c r="T58" s="11" t="n">
        <v>3.224477443341517</v>
      </c>
      <c r="U58" s="11" t="n">
        <v>0.9392265193370166</v>
      </c>
      <c r="V58" s="11" t="n">
        <v>3.150492757033538</v>
      </c>
      <c r="W58" s="12" t="n">
        <v>2.23591160774231</v>
      </c>
    </row>
    <row r="59">
      <c r="A59" s="4" t="n">
        <v>58</v>
      </c>
      <c r="B59" s="4" t="inlineStr">
        <is>
          <t>hardness_shoreA</t>
        </is>
      </c>
      <c r="C59" s="4" t="inlineStr">
        <is>
          <t>Exp2_BO</t>
        </is>
      </c>
      <c r="D59" s="4" t="n">
        <v>1</v>
      </c>
      <c r="E59" s="4" t="n">
        <v>15</v>
      </c>
      <c r="F59" s="4" t="inlineStr">
        <is>
          <t>GP</t>
        </is>
      </c>
      <c r="G59" s="4" t="inlineStr">
        <is>
          <t>matern32</t>
        </is>
      </c>
      <c r="H59" s="4" t="b">
        <v>0</v>
      </c>
      <c r="I59" s="4" t="b">
        <v>1</v>
      </c>
      <c r="J59" s="4" t="inlineStr">
        <is>
          <t>log1p</t>
        </is>
      </c>
      <c r="K59" s="4" t="inlineStr">
        <is>
          <t>none</t>
        </is>
      </c>
      <c r="L59" s="4" t="inlineStr">
        <is>
          <t>full_agg</t>
        </is>
      </c>
      <c r="M59" s="11" t="n">
        <v>-0.2656641280180534</v>
      </c>
      <c r="N59" s="11" t="n">
        <v>-2.514677903202705</v>
      </c>
      <c r="O59" s="11" t="n">
        <v>-3.638864346636243</v>
      </c>
      <c r="P59" s="4" t="n">
        <v>1</v>
      </c>
      <c r="Q59" s="11" t="n">
        <v>0.6570710038183211</v>
      </c>
      <c r="R59" s="11" t="n">
        <v>0</v>
      </c>
      <c r="S59" s="11" t="n">
        <v>5.327492215347703</v>
      </c>
      <c r="T59" s="11" t="n">
        <v>3.602584130491906</v>
      </c>
      <c r="U59" s="11" t="n">
        <v>0.9226519337016574</v>
      </c>
      <c r="V59" s="11" t="n">
        <v>3.315468601286766</v>
      </c>
      <c r="W59" s="12" t="n">
        <v>5.711607217788696</v>
      </c>
    </row>
    <row r="60">
      <c r="A60" s="4" t="n">
        <v>59</v>
      </c>
      <c r="B60" s="4" t="inlineStr">
        <is>
          <t>hardness_shoreA</t>
        </is>
      </c>
      <c r="C60" s="4" t="inlineStr">
        <is>
          <t>Exp2_BO</t>
        </is>
      </c>
      <c r="D60" s="4" t="n">
        <v>1</v>
      </c>
      <c r="E60" s="4" t="n">
        <v>16</v>
      </c>
      <c r="F60" s="4" t="inlineStr">
        <is>
          <t>GP</t>
        </is>
      </c>
      <c r="G60" s="4" t="inlineStr">
        <is>
          <t>matern52</t>
        </is>
      </c>
      <c r="H60" s="4" t="b">
        <v>1</v>
      </c>
      <c r="I60" s="4" t="b">
        <v>1</v>
      </c>
      <c r="J60" s="4" t="inlineStr">
        <is>
          <t>log1p</t>
        </is>
      </c>
      <c r="K60" s="4" t="inlineStr">
        <is>
          <t>log</t>
        </is>
      </c>
      <c r="L60" s="4" t="inlineStr">
        <is>
          <t>full_agg</t>
        </is>
      </c>
      <c r="M60" s="11" t="n">
        <v>-0.8798437424683154</v>
      </c>
      <c r="N60" s="11" t="n">
        <v>-2.655349617082005</v>
      </c>
      <c r="O60" s="11" t="n">
        <v>-3.276135370429701</v>
      </c>
      <c r="P60" s="4" t="n">
        <v>1</v>
      </c>
      <c r="Q60" s="11" t="n">
        <v>0.7060336067336919</v>
      </c>
      <c r="R60" s="11" t="n">
        <v>0</v>
      </c>
      <c r="S60" s="11" t="n">
        <v>4.932528027471172</v>
      </c>
      <c r="T60" s="11" t="n">
        <v>3.186548590939041</v>
      </c>
      <c r="U60" s="11" t="n">
        <v>0.9005524861878453</v>
      </c>
      <c r="V60" s="11" t="n">
        <v>3.471094120630145</v>
      </c>
      <c r="W60" s="12" t="n">
        <v>59.35934925079346</v>
      </c>
    </row>
    <row r="61">
      <c r="A61" s="4" t="n">
        <v>60</v>
      </c>
      <c r="B61" s="4" t="inlineStr">
        <is>
          <t>hardness_shoreA</t>
        </is>
      </c>
      <c r="C61" s="4" t="inlineStr">
        <is>
          <t>Exp2_BO</t>
        </is>
      </c>
      <c r="D61" s="4" t="n">
        <v>1</v>
      </c>
      <c r="E61" s="4" t="n">
        <v>17</v>
      </c>
      <c r="F61" s="4" t="inlineStr">
        <is>
          <t>GP</t>
        </is>
      </c>
      <c r="G61" s="4" t="inlineStr">
        <is>
          <t>rbf</t>
        </is>
      </c>
      <c r="H61" s="4" t="b">
        <v>1</v>
      </c>
      <c r="I61" s="4" t="b">
        <v>0</v>
      </c>
      <c r="J61" s="4" t="inlineStr">
        <is>
          <t>std</t>
        </is>
      </c>
      <c r="K61" s="4" t="inlineStr">
        <is>
          <t>log</t>
        </is>
      </c>
      <c r="L61" s="4" t="inlineStr">
        <is>
          <t>full</t>
        </is>
      </c>
      <c r="M61" s="11" t="n">
        <v>-0.8974205705701583</v>
      </c>
      <c r="N61" s="11" t="n">
        <v>-0.4542857028037401</v>
      </c>
      <c r="O61" s="11" t="n">
        <v>-2.68937675147167</v>
      </c>
      <c r="P61" s="4" t="n">
        <v>1</v>
      </c>
      <c r="Q61" s="11" t="n">
        <v>0.5500000528839437</v>
      </c>
      <c r="R61" s="11" t="n">
        <v>0</v>
      </c>
      <c r="S61" s="11" t="n">
        <v>6.102769274763821</v>
      </c>
      <c r="T61" s="11" t="n">
        <v>3.95112233921081</v>
      </c>
      <c r="U61" s="11" t="n">
        <v>0.9005524861878453</v>
      </c>
      <c r="V61" s="11" t="n">
        <v>3.433559135339829</v>
      </c>
      <c r="W61" s="12" t="n">
        <v>32.19744825363159</v>
      </c>
    </row>
    <row r="62">
      <c r="A62" s="4" t="n">
        <v>61</v>
      </c>
      <c r="B62" s="4" t="inlineStr">
        <is>
          <t>hardness_shoreA</t>
        </is>
      </c>
      <c r="C62" s="4" t="inlineStr">
        <is>
          <t>Exp2_BO</t>
        </is>
      </c>
      <c r="D62" s="4" t="n">
        <v>1</v>
      </c>
      <c r="E62" s="4" t="n">
        <v>18</v>
      </c>
      <c r="F62" s="4" t="inlineStr">
        <is>
          <t>GP</t>
        </is>
      </c>
      <c r="G62" s="4" t="inlineStr">
        <is>
          <t>matern32</t>
        </is>
      </c>
      <c r="H62" s="4" t="b">
        <v>0</v>
      </c>
      <c r="I62" s="4" t="b">
        <v>0</v>
      </c>
      <c r="J62" s="4" t="inlineStr">
        <is>
          <t>log1p</t>
        </is>
      </c>
      <c r="K62" s="4" t="inlineStr">
        <is>
          <t>log</t>
        </is>
      </c>
      <c r="L62" s="4" t="inlineStr">
        <is>
          <t>compact</t>
        </is>
      </c>
      <c r="M62" s="11" t="n">
        <v>-0.0549500798708952</v>
      </c>
      <c r="N62" s="11" t="n">
        <v>-1.983851866948848</v>
      </c>
      <c r="O62" s="11" t="n">
        <v>-5.394447760430758</v>
      </c>
      <c r="P62" s="4" t="n">
        <v>1</v>
      </c>
      <c r="Q62" s="11" t="n">
        <v>0.6519380412572743</v>
      </c>
      <c r="R62" s="11" t="n">
        <v>0</v>
      </c>
      <c r="S62" s="11" t="n">
        <v>5.367215086618974</v>
      </c>
      <c r="T62" s="11" t="n">
        <v>3.757172418289103</v>
      </c>
      <c r="U62" s="11" t="n">
        <v>0.9447513812154696</v>
      </c>
      <c r="V62" s="11" t="n">
        <v>3.279755063329273</v>
      </c>
      <c r="W62" s="12" t="n">
        <v>2.01067590713501</v>
      </c>
    </row>
    <row r="63">
      <c r="A63" s="4" t="n">
        <v>62</v>
      </c>
      <c r="B63" s="4" t="inlineStr">
        <is>
          <t>hardness_shoreA</t>
        </is>
      </c>
      <c r="C63" s="4" t="inlineStr">
        <is>
          <t>Exp2_BO</t>
        </is>
      </c>
      <c r="D63" s="4" t="n">
        <v>1</v>
      </c>
      <c r="E63" s="4" t="n">
        <v>19</v>
      </c>
      <c r="F63" s="4" t="inlineStr">
        <is>
          <t>GP</t>
        </is>
      </c>
      <c r="G63" s="4" t="inlineStr">
        <is>
          <t>rbf</t>
        </is>
      </c>
      <c r="H63" s="4" t="b">
        <v>0</v>
      </c>
      <c r="I63" s="4" t="b">
        <v>1</v>
      </c>
      <c r="J63" s="4" t="inlineStr">
        <is>
          <t>std</t>
        </is>
      </c>
      <c r="K63" s="4" t="inlineStr">
        <is>
          <t>none</t>
        </is>
      </c>
      <c r="L63" s="4" t="inlineStr">
        <is>
          <t>full_cure6</t>
        </is>
      </c>
      <c r="M63" s="11" t="n">
        <v>-0.3586961414434195</v>
      </c>
      <c r="N63" s="11" t="n">
        <v>-0.9431922039472296</v>
      </c>
      <c r="O63" s="11" t="n">
        <v>-5.926707319374716</v>
      </c>
      <c r="P63" s="4" t="n">
        <v>1</v>
      </c>
      <c r="Q63" s="11" t="n">
        <v>0.704331168138198</v>
      </c>
      <c r="R63" s="11" t="n">
        <v>0</v>
      </c>
      <c r="S63" s="11" t="n">
        <v>4.946790207710972</v>
      </c>
      <c r="T63" s="11" t="n">
        <v>3.20734514583802</v>
      </c>
      <c r="U63" s="11" t="n">
        <v>0.9447513812154696</v>
      </c>
      <c r="V63" s="11" t="n">
        <v>3.163994223433718</v>
      </c>
      <c r="W63" s="12" t="n">
        <v>3.551752090454102</v>
      </c>
    </row>
    <row r="64">
      <c r="A64" s="4" t="n">
        <v>63</v>
      </c>
      <c r="B64" s="4" t="inlineStr">
        <is>
          <t>hardness_shoreA</t>
        </is>
      </c>
      <c r="C64" s="4" t="inlineStr">
        <is>
          <t>Exp2_BO</t>
        </is>
      </c>
      <c r="D64" s="4" t="n">
        <v>1</v>
      </c>
      <c r="E64" s="4" t="n">
        <v>20</v>
      </c>
      <c r="F64" s="4" t="inlineStr">
        <is>
          <t>GP</t>
        </is>
      </c>
      <c r="G64" s="4" t="inlineStr">
        <is>
          <t>matern32</t>
        </is>
      </c>
      <c r="H64" s="4" t="b">
        <v>1</v>
      </c>
      <c r="I64" s="4" t="b">
        <v>0</v>
      </c>
      <c r="J64" s="4" t="inlineStr">
        <is>
          <t>log1p</t>
        </is>
      </c>
      <c r="K64" s="4" t="inlineStr">
        <is>
          <t>log</t>
        </is>
      </c>
      <c r="L64" s="4" t="inlineStr">
        <is>
          <t>compact</t>
        </is>
      </c>
      <c r="M64" s="11" t="n">
        <v>0.9871485435642632</v>
      </c>
      <c r="N64" s="11" t="n">
        <v>-0.055820741419482</v>
      </c>
      <c r="O64" s="11" t="n">
        <v>-5.48408401238787</v>
      </c>
      <c r="P64" s="4" t="n">
        <v>1</v>
      </c>
      <c r="Q64" s="11" t="n">
        <v>0.7182845518611112</v>
      </c>
      <c r="R64" s="11" t="n">
        <v>0</v>
      </c>
      <c r="S64" s="11" t="n">
        <v>4.828653600699528</v>
      </c>
      <c r="T64" s="11" t="n">
        <v>3.274497236229956</v>
      </c>
      <c r="U64" s="11" t="n">
        <v>0.9281767955801103</v>
      </c>
      <c r="V64" s="11" t="n">
        <v>3.232618761792643</v>
      </c>
      <c r="W64" s="12" t="n">
        <v>30.79186081886292</v>
      </c>
    </row>
    <row r="65">
      <c r="A65" s="4" t="n">
        <v>64</v>
      </c>
      <c r="B65" s="4" t="inlineStr">
        <is>
          <t>hardness_shoreA</t>
        </is>
      </c>
      <c r="C65" s="4" t="inlineStr">
        <is>
          <t>Exp2_BO</t>
        </is>
      </c>
      <c r="D65" s="4" t="n">
        <v>1</v>
      </c>
      <c r="E65" s="4" t="n">
        <v>21</v>
      </c>
      <c r="F65" s="4" t="inlineStr">
        <is>
          <t>GP</t>
        </is>
      </c>
      <c r="G65" s="4" t="inlineStr">
        <is>
          <t>rbf</t>
        </is>
      </c>
      <c r="H65" s="4" t="b">
        <v>1</v>
      </c>
      <c r="I65" s="4" t="b">
        <v>0</v>
      </c>
      <c r="J65" s="4" t="inlineStr">
        <is>
          <t>log1p</t>
        </is>
      </c>
      <c r="K65" s="4" t="inlineStr">
        <is>
          <t>none</t>
        </is>
      </c>
      <c r="L65" s="4" t="inlineStr">
        <is>
          <t>compact</t>
        </is>
      </c>
      <c r="M65" s="11" t="n">
        <v>-0.7802413654730882</v>
      </c>
      <c r="N65" s="11" t="n">
        <v>-2.662123495248083</v>
      </c>
      <c r="O65" s="11" t="n">
        <v>-4.594131431117932</v>
      </c>
      <c r="P65" s="4" t="n">
        <v>1</v>
      </c>
      <c r="Q65" s="11" t="n">
        <v>0.603956051749825</v>
      </c>
      <c r="R65" s="11" t="n">
        <v>0</v>
      </c>
      <c r="S65" s="11" t="n">
        <v>5.725223040794569</v>
      </c>
      <c r="T65" s="11" t="n">
        <v>3.838273562219692</v>
      </c>
      <c r="U65" s="11" t="n">
        <v>0.9281767955801103</v>
      </c>
      <c r="V65" s="11" t="n">
        <v>3.372079578999683</v>
      </c>
      <c r="W65" s="12" t="n">
        <v>15.50577449798584</v>
      </c>
    </row>
    <row r="66">
      <c r="A66" s="4" t="n">
        <v>65</v>
      </c>
      <c r="B66" s="4" t="inlineStr">
        <is>
          <t>hardness_shoreA</t>
        </is>
      </c>
      <c r="C66" s="4" t="inlineStr">
        <is>
          <t>Exp2_BO</t>
        </is>
      </c>
      <c r="D66" s="4" t="n">
        <v>1</v>
      </c>
      <c r="E66" s="4" t="n">
        <v>22</v>
      </c>
      <c r="F66" s="4" t="inlineStr">
        <is>
          <t>GP</t>
        </is>
      </c>
      <c r="G66" s="4" t="inlineStr">
        <is>
          <t>matern12</t>
        </is>
      </c>
      <c r="H66" s="4" t="b">
        <v>1</v>
      </c>
      <c r="I66" s="4" t="b">
        <v>0</v>
      </c>
      <c r="J66" s="4" t="inlineStr">
        <is>
          <t>std</t>
        </is>
      </c>
      <c r="K66" s="4" t="inlineStr">
        <is>
          <t>none</t>
        </is>
      </c>
      <c r="L66" s="4" t="inlineStr">
        <is>
          <t>full_agg</t>
        </is>
      </c>
      <c r="M66" s="11" t="n">
        <v>-0.3045444636400751</v>
      </c>
      <c r="N66" s="11" t="n">
        <v>-1.517810054520105</v>
      </c>
      <c r="O66" s="11" t="n">
        <v>-2.008016906005059</v>
      </c>
      <c r="P66" s="4" t="n">
        <v>1</v>
      </c>
      <c r="Q66" s="11" t="n">
        <v>0.6904202709182925</v>
      </c>
      <c r="R66" s="11" t="n">
        <v>0</v>
      </c>
      <c r="S66" s="11" t="n">
        <v>5.061823265384858</v>
      </c>
      <c r="T66" s="11" t="n">
        <v>3.290635447405185</v>
      </c>
      <c r="U66" s="11" t="n">
        <v>0.9281767955801103</v>
      </c>
      <c r="V66" s="11" t="n">
        <v>3.230815397380034</v>
      </c>
      <c r="W66" s="12" t="n">
        <v>58.70500755310059</v>
      </c>
    </row>
    <row r="67">
      <c r="A67" s="4" t="n">
        <v>66</v>
      </c>
      <c r="B67" s="4" t="inlineStr">
        <is>
          <t>hardness_shoreA</t>
        </is>
      </c>
      <c r="C67" s="4" t="inlineStr">
        <is>
          <t>Exp2_BO</t>
        </is>
      </c>
      <c r="D67" s="4" t="n">
        <v>1</v>
      </c>
      <c r="E67" s="4" t="n">
        <v>23</v>
      </c>
      <c r="F67" s="4" t="inlineStr">
        <is>
          <t>GP</t>
        </is>
      </c>
      <c r="G67" s="4" t="inlineStr">
        <is>
          <t>matern12</t>
        </is>
      </c>
      <c r="H67" s="4" t="b">
        <v>1</v>
      </c>
      <c r="I67" s="4" t="b">
        <v>1</v>
      </c>
      <c r="J67" s="4" t="inlineStr">
        <is>
          <t>log1p</t>
        </is>
      </c>
      <c r="K67" s="4" t="inlineStr">
        <is>
          <t>log</t>
        </is>
      </c>
      <c r="L67" s="4" t="inlineStr">
        <is>
          <t>full</t>
        </is>
      </c>
      <c r="M67" s="11" t="n">
        <v>-0.2129302315658947</v>
      </c>
      <c r="N67" s="11" t="n">
        <v>-2.07839419806582</v>
      </c>
      <c r="O67" s="11" t="n">
        <v>-5.736692373049083</v>
      </c>
      <c r="P67" s="4" t="n">
        <v>1</v>
      </c>
      <c r="Q67" s="11" t="n">
        <v>0.6523132718456158</v>
      </c>
      <c r="R67" s="11" t="n">
        <v>0</v>
      </c>
      <c r="S67" s="11" t="n">
        <v>5.364321224903795</v>
      </c>
      <c r="T67" s="11" t="n">
        <v>3.582794762775776</v>
      </c>
      <c r="U67" s="11" t="n">
        <v>0.9060773480662984</v>
      </c>
      <c r="V67" s="11" t="n">
        <v>3.504908624233626</v>
      </c>
      <c r="W67" s="12" t="n">
        <v>42.73134708404541</v>
      </c>
    </row>
    <row r="68">
      <c r="A68" s="4" t="n">
        <v>67</v>
      </c>
      <c r="B68" s="4" t="inlineStr">
        <is>
          <t>hardness_shoreA</t>
        </is>
      </c>
      <c r="C68" s="4" t="inlineStr">
        <is>
          <t>Exp2_BO</t>
        </is>
      </c>
      <c r="D68" s="4" t="n">
        <v>1</v>
      </c>
      <c r="E68" s="4" t="n">
        <v>24</v>
      </c>
      <c r="F68" s="4" t="inlineStr">
        <is>
          <t>GP</t>
        </is>
      </c>
      <c r="G68" s="4" t="inlineStr">
        <is>
          <t>rbf</t>
        </is>
      </c>
      <c r="H68" s="4" t="b">
        <v>1</v>
      </c>
      <c r="I68" s="4" t="b">
        <v>0</v>
      </c>
      <c r="J68" s="4" t="inlineStr">
        <is>
          <t>log1p</t>
        </is>
      </c>
      <c r="K68" s="4" t="inlineStr">
        <is>
          <t>log</t>
        </is>
      </c>
      <c r="L68" s="4" t="inlineStr">
        <is>
          <t>full_agg</t>
        </is>
      </c>
      <c r="M68" s="11" t="n">
        <v>-0.2662358463839314</v>
      </c>
      <c r="N68" s="11" t="n">
        <v>-2.99820243668854</v>
      </c>
      <c r="O68" s="11" t="n">
        <v>-5.724090684964814</v>
      </c>
      <c r="P68" s="4" t="n">
        <v>1</v>
      </c>
      <c r="Q68" s="11" t="n">
        <v>0.6301243805885397</v>
      </c>
      <c r="R68" s="11" t="n">
        <v>0</v>
      </c>
      <c r="S68" s="11" t="n">
        <v>5.532845873669864</v>
      </c>
      <c r="T68" s="11" t="n">
        <v>3.674497122938956</v>
      </c>
      <c r="U68" s="11" t="n">
        <v>0.8950276243093923</v>
      </c>
      <c r="V68" s="11" t="n">
        <v>3.426402392728231</v>
      </c>
      <c r="W68" s="12" t="n">
        <v>53.19769024848938</v>
      </c>
    </row>
    <row r="69">
      <c r="A69" s="4" t="n">
        <v>68</v>
      </c>
      <c r="B69" s="4" t="inlineStr">
        <is>
          <t>hardness_shoreA</t>
        </is>
      </c>
      <c r="C69" s="4" t="inlineStr">
        <is>
          <t>Exp2_BO</t>
        </is>
      </c>
      <c r="D69" s="4" t="n">
        <v>1</v>
      </c>
      <c r="E69" s="4" t="n">
        <v>25</v>
      </c>
      <c r="F69" s="4" t="inlineStr">
        <is>
          <t>GP</t>
        </is>
      </c>
      <c r="G69" s="4" t="inlineStr">
        <is>
          <t>matern12</t>
        </is>
      </c>
      <c r="H69" s="4" t="b">
        <v>1</v>
      </c>
      <c r="I69" s="4" t="b">
        <v>1</v>
      </c>
      <c r="J69" s="4" t="inlineStr">
        <is>
          <t>std</t>
        </is>
      </c>
      <c r="K69" s="4" t="inlineStr">
        <is>
          <t>log</t>
        </is>
      </c>
      <c r="L69" s="4" t="inlineStr">
        <is>
          <t>compact</t>
        </is>
      </c>
      <c r="M69" s="11" t="n">
        <v>-0.1195867884758627</v>
      </c>
      <c r="N69" s="11" t="n">
        <v>-0.1408000257478385</v>
      </c>
      <c r="O69" s="11" t="n">
        <v>-2.097737692606356</v>
      </c>
      <c r="P69" s="4" t="n">
        <v>1</v>
      </c>
      <c r="Q69" s="11" t="n">
        <v>0.6955715873553562</v>
      </c>
      <c r="R69" s="11" t="n">
        <v>0</v>
      </c>
      <c r="S69" s="11" t="n">
        <v>5.019532971150912</v>
      </c>
      <c r="T69" s="11" t="n">
        <v>3.305591750835238</v>
      </c>
      <c r="U69" s="11" t="n">
        <v>0.9171270718232044</v>
      </c>
      <c r="V69" s="11" t="n">
        <v>3.348031646686078</v>
      </c>
      <c r="W69" s="12" t="n">
        <v>42.80763053894043</v>
      </c>
    </row>
    <row r="70">
      <c r="A70" s="4" t="n">
        <v>69</v>
      </c>
      <c r="B70" s="4" t="inlineStr">
        <is>
          <t>hardness_shoreA</t>
        </is>
      </c>
      <c r="C70" s="4" t="inlineStr">
        <is>
          <t>Exp2_BO</t>
        </is>
      </c>
      <c r="D70" s="4" t="n">
        <v>1</v>
      </c>
      <c r="E70" s="4" t="n">
        <v>26</v>
      </c>
      <c r="F70" s="4" t="inlineStr">
        <is>
          <t>GP</t>
        </is>
      </c>
      <c r="G70" s="4" t="inlineStr">
        <is>
          <t>matern32</t>
        </is>
      </c>
      <c r="H70" s="4" t="b">
        <v>1</v>
      </c>
      <c r="I70" s="4" t="b">
        <v>1</v>
      </c>
      <c r="J70" s="4" t="inlineStr">
        <is>
          <t>log1p</t>
        </is>
      </c>
      <c r="K70" s="4" t="inlineStr">
        <is>
          <t>log</t>
        </is>
      </c>
      <c r="L70" s="4" t="inlineStr">
        <is>
          <t>full_agg</t>
        </is>
      </c>
      <c r="M70" s="11" t="n">
        <v>-0.8753008417002488</v>
      </c>
      <c r="N70" s="11" t="n">
        <v>0</v>
      </c>
      <c r="O70" s="11" t="n">
        <v>-2.589468646077373</v>
      </c>
      <c r="P70" s="4" t="n">
        <v>1</v>
      </c>
      <c r="Q70" s="11" t="n">
        <v>0.7105668104801093</v>
      </c>
      <c r="R70" s="11" t="n">
        <v>0</v>
      </c>
      <c r="S70" s="11" t="n">
        <v>4.89434844439462</v>
      </c>
      <c r="T70" s="11" t="n">
        <v>3.171575433934859</v>
      </c>
      <c r="U70" s="11" t="n">
        <v>0.9060773480662984</v>
      </c>
      <c r="V70" s="11" t="n">
        <v>3.449882923702488</v>
      </c>
      <c r="W70" s="12" t="n">
        <v>80.21737933158875</v>
      </c>
    </row>
    <row r="71">
      <c r="A71" s="4" t="n">
        <v>70</v>
      </c>
      <c r="B71" s="4" t="inlineStr">
        <is>
          <t>hardness_shoreA</t>
        </is>
      </c>
      <c r="C71" s="4" t="inlineStr">
        <is>
          <t>Exp2_BO</t>
        </is>
      </c>
      <c r="D71" s="4" t="n">
        <v>1</v>
      </c>
      <c r="E71" s="4" t="n">
        <v>27</v>
      </c>
      <c r="F71" s="4" t="inlineStr">
        <is>
          <t>GP</t>
        </is>
      </c>
      <c r="G71" s="4" t="inlineStr">
        <is>
          <t>rq</t>
        </is>
      </c>
      <c r="H71" s="4" t="b">
        <v>0</v>
      </c>
      <c r="I71" s="4" t="b">
        <v>0</v>
      </c>
      <c r="J71" s="4" t="inlineStr">
        <is>
          <t>log1p</t>
        </is>
      </c>
      <c r="K71" s="4" t="inlineStr">
        <is>
          <t>log</t>
        </is>
      </c>
      <c r="L71" s="4" t="inlineStr">
        <is>
          <t>full_cure6</t>
        </is>
      </c>
      <c r="M71" s="11" t="n">
        <v>-0.8563516695536921</v>
      </c>
      <c r="N71" s="11" t="n">
        <v>-0.1883556483281618</v>
      </c>
      <c r="O71" s="11" t="n">
        <v>-5.658282343546057</v>
      </c>
      <c r="P71" s="4" t="n">
        <v>1</v>
      </c>
      <c r="Q71" s="11" t="n">
        <v>0.6873164687622386</v>
      </c>
      <c r="R71" s="11" t="n">
        <v>0</v>
      </c>
      <c r="S71" s="11" t="n">
        <v>5.08713454041742</v>
      </c>
      <c r="T71" s="11" t="n">
        <v>3.458338917356545</v>
      </c>
      <c r="U71" s="11" t="n">
        <v>0.9613259668508288</v>
      </c>
      <c r="V71" s="11" t="n">
        <v>3.283560154968902</v>
      </c>
      <c r="W71" s="12" t="n">
        <v>4.773362636566162</v>
      </c>
    </row>
    <row r="72">
      <c r="A72" s="4" t="n">
        <v>71</v>
      </c>
      <c r="B72" s="4" t="inlineStr">
        <is>
          <t>hardness_shoreA</t>
        </is>
      </c>
      <c r="C72" s="4" t="inlineStr">
        <is>
          <t>Exp2_BO</t>
        </is>
      </c>
      <c r="D72" s="4" t="n">
        <v>1</v>
      </c>
      <c r="E72" s="4" t="n">
        <v>28</v>
      </c>
      <c r="F72" s="4" t="inlineStr">
        <is>
          <t>GP</t>
        </is>
      </c>
      <c r="G72" s="4" t="inlineStr">
        <is>
          <t>matern32</t>
        </is>
      </c>
      <c r="H72" s="4" t="b">
        <v>1</v>
      </c>
      <c r="I72" s="4" t="b">
        <v>0</v>
      </c>
      <c r="J72" s="4" t="inlineStr">
        <is>
          <t>log1p</t>
        </is>
      </c>
      <c r="K72" s="4" t="inlineStr">
        <is>
          <t>none</t>
        </is>
      </c>
      <c r="L72" s="4" t="inlineStr">
        <is>
          <t>full</t>
        </is>
      </c>
      <c r="M72" s="11" t="n">
        <v>0.0957533865921429</v>
      </c>
      <c r="N72" s="11" t="n">
        <v>-0.285766086502603</v>
      </c>
      <c r="O72" s="11" t="n">
        <v>-5.960128860154105</v>
      </c>
      <c r="P72" s="4" t="n">
        <v>1</v>
      </c>
      <c r="Q72" s="11" t="n">
        <v>0.636055926076675</v>
      </c>
      <c r="R72" s="11" t="n">
        <v>0</v>
      </c>
      <c r="S72" s="11" t="n">
        <v>5.488302567091289</v>
      </c>
      <c r="T72" s="11" t="n">
        <v>3.644205366527092</v>
      </c>
      <c r="U72" s="11" t="n">
        <v>0.9060773480662984</v>
      </c>
      <c r="V72" s="11" t="n">
        <v>3.38036891678777</v>
      </c>
      <c r="W72" s="12" t="n">
        <v>39.40956211090088</v>
      </c>
    </row>
    <row r="73">
      <c r="A73" s="4" t="n">
        <v>72</v>
      </c>
      <c r="B73" s="4" t="inlineStr">
        <is>
          <t>hardness_shoreA</t>
        </is>
      </c>
      <c r="C73" s="4" t="inlineStr">
        <is>
          <t>Exp2_BO</t>
        </is>
      </c>
      <c r="D73" s="4" t="n">
        <v>1</v>
      </c>
      <c r="E73" s="4" t="n">
        <v>29</v>
      </c>
      <c r="F73" s="4" t="inlineStr">
        <is>
          <t>GP</t>
        </is>
      </c>
      <c r="G73" s="4" t="inlineStr">
        <is>
          <t>rbf</t>
        </is>
      </c>
      <c r="H73" s="4" t="b">
        <v>1</v>
      </c>
      <c r="I73" s="4" t="b">
        <v>1</v>
      </c>
      <c r="J73" s="4" t="inlineStr">
        <is>
          <t>log1p</t>
        </is>
      </c>
      <c r="K73" s="4" t="inlineStr">
        <is>
          <t>none</t>
        </is>
      </c>
      <c r="L73" s="4" t="inlineStr">
        <is>
          <t>compact</t>
        </is>
      </c>
      <c r="M73" s="11" t="n">
        <v>-0.2838169055442059</v>
      </c>
      <c r="N73" s="11" t="n">
        <v>-2.98066952365179</v>
      </c>
      <c r="O73" s="11" t="n">
        <v>-4.768951057213581</v>
      </c>
      <c r="P73" s="4" t="n">
        <v>1</v>
      </c>
      <c r="Q73" s="11" t="n">
        <v>0.6673092707287533</v>
      </c>
      <c r="R73" s="11" t="n">
        <v>0</v>
      </c>
      <c r="S73" s="11" t="n">
        <v>5.247362522807832</v>
      </c>
      <c r="T73" s="11" t="n">
        <v>3.450282480070596</v>
      </c>
      <c r="U73" s="11" t="n">
        <v>0.9171270718232044</v>
      </c>
      <c r="V73" s="11" t="n">
        <v>3.482176737896713</v>
      </c>
      <c r="W73" s="12" t="n">
        <v>22.86970829963684</v>
      </c>
    </row>
    <row r="74">
      <c r="A74" s="4" t="n">
        <v>73</v>
      </c>
      <c r="B74" s="4" t="inlineStr">
        <is>
          <t>hardness_shoreA</t>
        </is>
      </c>
      <c r="C74" s="4" t="inlineStr">
        <is>
          <t>Exp2_BO</t>
        </is>
      </c>
      <c r="D74" s="4" t="n">
        <v>2</v>
      </c>
      <c r="E74" s="4" t="n">
        <v>0</v>
      </c>
      <c r="F74" s="4" t="inlineStr">
        <is>
          <t>GP</t>
        </is>
      </c>
      <c r="G74" s="4" t="inlineStr">
        <is>
          <t>rq</t>
        </is>
      </c>
      <c r="H74" s="4" t="b">
        <v>1</v>
      </c>
      <c r="I74" s="4" t="b">
        <v>0</v>
      </c>
      <c r="J74" s="4" t="inlineStr">
        <is>
          <t>std</t>
        </is>
      </c>
      <c r="K74" s="4" t="inlineStr">
        <is>
          <t>none</t>
        </is>
      </c>
      <c r="L74" s="4" t="inlineStr">
        <is>
          <t>compact</t>
        </is>
      </c>
      <c r="M74" s="11" t="n">
        <v>-0.8161681157298062</v>
      </c>
      <c r="N74" s="11" t="n">
        <v>-1.199698422103038</v>
      </c>
      <c r="O74" s="11" t="n">
        <v>-3.085757892752821</v>
      </c>
      <c r="P74" s="4" t="n">
        <v>1</v>
      </c>
      <c r="Q74" s="11" t="n">
        <v>0.676911326649325</v>
      </c>
      <c r="R74" s="11" t="n">
        <v>0</v>
      </c>
      <c r="S74" s="11" t="n">
        <v>5.171083924028809</v>
      </c>
      <c r="T74" s="11" t="n">
        <v>3.397677257621531</v>
      </c>
      <c r="U74" s="11" t="n">
        <v>0.9337016574585636</v>
      </c>
      <c r="V74" s="11" t="n">
        <v>3.246357015778486</v>
      </c>
      <c r="W74" s="12" t="n">
        <v>2.810604810714722</v>
      </c>
    </row>
    <row r="75">
      <c r="A75" s="4" t="n">
        <v>74</v>
      </c>
      <c r="B75" s="4" t="inlineStr">
        <is>
          <t>hardness_shoreA</t>
        </is>
      </c>
      <c r="C75" s="4" t="inlineStr">
        <is>
          <t>Exp2_BO</t>
        </is>
      </c>
      <c r="D75" s="4" t="n">
        <v>2</v>
      </c>
      <c r="E75" s="4" t="n">
        <v>1</v>
      </c>
      <c r="F75" s="4" t="inlineStr">
        <is>
          <t>GP</t>
        </is>
      </c>
      <c r="G75" s="4" t="inlineStr">
        <is>
          <t>rq</t>
        </is>
      </c>
      <c r="H75" s="4" t="b">
        <v>1</v>
      </c>
      <c r="I75" s="4" t="b">
        <v>1</v>
      </c>
      <c r="J75" s="4" t="inlineStr">
        <is>
          <t>std</t>
        </is>
      </c>
      <c r="K75" s="4" t="inlineStr">
        <is>
          <t>log</t>
        </is>
      </c>
      <c r="L75" s="4" t="inlineStr">
        <is>
          <t>full_agg</t>
        </is>
      </c>
      <c r="M75" s="11" t="n">
        <v>0.3148660297511851</v>
      </c>
      <c r="N75" s="11" t="n">
        <v>-1.313203011658716</v>
      </c>
      <c r="O75" s="11" t="n">
        <v>-5.399750946778656</v>
      </c>
      <c r="P75" s="4" t="n">
        <v>1</v>
      </c>
      <c r="Q75" s="11" t="n">
        <v>0.7019542844579223</v>
      </c>
      <c r="R75" s="11" t="n">
        <v>0</v>
      </c>
      <c r="S75" s="11" t="n">
        <v>4.96663404583213</v>
      </c>
      <c r="T75" s="11" t="n">
        <v>3.292793762669488</v>
      </c>
      <c r="U75" s="11" t="n">
        <v>0.9337016574585636</v>
      </c>
      <c r="V75" s="11" t="n">
        <v>3.237066274461261</v>
      </c>
      <c r="W75" s="12" t="n">
        <v>7.703259229660034</v>
      </c>
    </row>
    <row r="76">
      <c r="A76" s="4" t="n">
        <v>75</v>
      </c>
      <c r="B76" s="4" t="inlineStr">
        <is>
          <t>hardness_shoreA</t>
        </is>
      </c>
      <c r="C76" s="4" t="inlineStr">
        <is>
          <t>Exp2_BO</t>
        </is>
      </c>
      <c r="D76" s="4" t="n">
        <v>2</v>
      </c>
      <c r="E76" s="4" t="n">
        <v>2</v>
      </c>
      <c r="F76" s="4" t="inlineStr">
        <is>
          <t>GP</t>
        </is>
      </c>
      <c r="G76" s="4" t="inlineStr">
        <is>
          <t>matern52</t>
        </is>
      </c>
      <c r="H76" s="4" t="b">
        <v>1</v>
      </c>
      <c r="I76" s="4" t="b">
        <v>1</v>
      </c>
      <c r="J76" s="4" t="inlineStr">
        <is>
          <t>log1p</t>
        </is>
      </c>
      <c r="K76" s="4" t="inlineStr">
        <is>
          <t>log</t>
        </is>
      </c>
      <c r="L76" s="4" t="inlineStr">
        <is>
          <t>full_agg</t>
        </is>
      </c>
      <c r="M76" s="11" t="n">
        <v>0.2663687985482328</v>
      </c>
      <c r="N76" s="11" t="n">
        <v>-0.0976921425189702</v>
      </c>
      <c r="O76" s="11" t="n">
        <v>-3.267740710761499</v>
      </c>
      <c r="P76" s="4" t="n">
        <v>1</v>
      </c>
      <c r="Q76" s="11" t="n">
        <v>0.7096463944705562</v>
      </c>
      <c r="R76" s="11" t="n">
        <v>0</v>
      </c>
      <c r="S76" s="11" t="n">
        <v>4.902124437428259</v>
      </c>
      <c r="T76" s="11" t="n">
        <v>3.182263417262019</v>
      </c>
      <c r="U76" s="11" t="n">
        <v>0.9116022099447514</v>
      </c>
      <c r="V76" s="11" t="n">
        <v>3.416369551013029</v>
      </c>
      <c r="W76" s="12" t="n">
        <v>59.07442736625672</v>
      </c>
    </row>
    <row r="77">
      <c r="A77" s="4" t="n">
        <v>76</v>
      </c>
      <c r="B77" s="4" t="inlineStr">
        <is>
          <t>hardness_shoreA</t>
        </is>
      </c>
      <c r="C77" s="4" t="inlineStr">
        <is>
          <t>Exp2_BO</t>
        </is>
      </c>
      <c r="D77" s="4" t="n">
        <v>2</v>
      </c>
      <c r="E77" s="4" t="n">
        <v>3</v>
      </c>
      <c r="F77" s="4" t="inlineStr">
        <is>
          <t>GP</t>
        </is>
      </c>
      <c r="G77" s="4" t="inlineStr">
        <is>
          <t>matern12</t>
        </is>
      </c>
      <c r="H77" s="4" t="b">
        <v>1</v>
      </c>
      <c r="I77" s="4" t="b">
        <v>0</v>
      </c>
      <c r="J77" s="4" t="inlineStr">
        <is>
          <t>std</t>
        </is>
      </c>
      <c r="K77" s="4" t="inlineStr">
        <is>
          <t>none</t>
        </is>
      </c>
      <c r="L77" s="4" t="inlineStr">
        <is>
          <t>full_agg</t>
        </is>
      </c>
      <c r="M77" s="11" t="n">
        <v>0.0221319471391541</v>
      </c>
      <c r="N77" s="11" t="n">
        <v>-0.3263717714982626</v>
      </c>
      <c r="O77" s="11" t="n">
        <v>-2.897744230109242</v>
      </c>
      <c r="P77" s="4" t="n">
        <v>1</v>
      </c>
      <c r="Q77" s="11" t="n">
        <v>0.7019992512774704</v>
      </c>
      <c r="R77" s="11" t="n">
        <v>0</v>
      </c>
      <c r="S77" s="11" t="n">
        <v>4.96625936814075</v>
      </c>
      <c r="T77" s="11" t="n">
        <v>3.268888789293217</v>
      </c>
      <c r="U77" s="11" t="n">
        <v>0.9337016574585636</v>
      </c>
      <c r="V77" s="11" t="n">
        <v>3.225566232084826</v>
      </c>
      <c r="W77" s="12" t="n">
        <v>59.87917542457581</v>
      </c>
    </row>
    <row r="78">
      <c r="A78" s="4" t="n">
        <v>77</v>
      </c>
      <c r="B78" s="4" t="inlineStr">
        <is>
          <t>hardness_shoreA</t>
        </is>
      </c>
      <c r="C78" s="4" t="inlineStr">
        <is>
          <t>Exp2_BO</t>
        </is>
      </c>
      <c r="D78" s="4" t="n">
        <v>2</v>
      </c>
      <c r="E78" s="4" t="n">
        <v>4</v>
      </c>
      <c r="F78" s="4" t="inlineStr">
        <is>
          <t>GP</t>
        </is>
      </c>
      <c r="G78" s="4" t="inlineStr">
        <is>
          <t>rq</t>
        </is>
      </c>
      <c r="H78" s="4" t="b">
        <v>1</v>
      </c>
      <c r="I78" s="4" t="b">
        <v>1</v>
      </c>
      <c r="J78" s="4" t="inlineStr">
        <is>
          <t>log1p</t>
        </is>
      </c>
      <c r="K78" s="4" t="inlineStr">
        <is>
          <t>none</t>
        </is>
      </c>
      <c r="L78" s="4" t="inlineStr">
        <is>
          <t>full_agg</t>
        </is>
      </c>
      <c r="M78" s="11" t="n">
        <v>0.3875176844044601</v>
      </c>
      <c r="N78" s="11" t="n">
        <v>-2.678378074639236</v>
      </c>
      <c r="O78" s="11" t="n">
        <v>-5.581825766268234</v>
      </c>
      <c r="P78" s="4" t="n">
        <v>1</v>
      </c>
      <c r="Q78" s="11" t="n">
        <v>0.6665887986453858</v>
      </c>
      <c r="R78" s="11" t="n">
        <v>0</v>
      </c>
      <c r="S78" s="11" t="n">
        <v>5.253041270805864</v>
      </c>
      <c r="T78" s="11" t="n">
        <v>3.556425848689596</v>
      </c>
      <c r="U78" s="11" t="n">
        <v>0.9171270718232044</v>
      </c>
      <c r="V78" s="11" t="n">
        <v>3.28862060507436</v>
      </c>
      <c r="W78" s="12" t="n">
        <v>9.949756145477297</v>
      </c>
    </row>
    <row r="79">
      <c r="A79" s="4" t="n">
        <v>78</v>
      </c>
      <c r="B79" s="4" t="inlineStr">
        <is>
          <t>hardness_shoreA</t>
        </is>
      </c>
      <c r="C79" s="4" t="inlineStr">
        <is>
          <t>Exp2_BO</t>
        </is>
      </c>
      <c r="D79" s="4" t="n">
        <v>2</v>
      </c>
      <c r="E79" s="4" t="n">
        <v>5</v>
      </c>
      <c r="F79" s="4" t="inlineStr">
        <is>
          <t>GP</t>
        </is>
      </c>
      <c r="G79" s="4" t="inlineStr">
        <is>
          <t>rq</t>
        </is>
      </c>
      <c r="H79" s="4" t="b">
        <v>1</v>
      </c>
      <c r="I79" s="4" t="b">
        <v>0</v>
      </c>
      <c r="J79" s="4" t="inlineStr">
        <is>
          <t>log1p</t>
        </is>
      </c>
      <c r="K79" s="4" t="inlineStr">
        <is>
          <t>log</t>
        </is>
      </c>
      <c r="L79" s="4" t="inlineStr">
        <is>
          <t>full_cure6</t>
        </is>
      </c>
      <c r="M79" s="11" t="n">
        <v>0.6984726472288691</v>
      </c>
      <c r="N79" s="11" t="n">
        <v>-1.066691192383448</v>
      </c>
      <c r="O79" s="11" t="n">
        <v>-4.373830409297854</v>
      </c>
      <c r="P79" s="4" t="n">
        <v>1</v>
      </c>
      <c r="Q79" s="11" t="n">
        <v>0.6793892262670387</v>
      </c>
      <c r="R79" s="11" t="n">
        <v>0</v>
      </c>
      <c r="S79" s="11" t="n">
        <v>5.151216174925918</v>
      </c>
      <c r="T79" s="11" t="n">
        <v>3.504813876091824</v>
      </c>
      <c r="U79" s="11" t="n">
        <v>0.9613259668508288</v>
      </c>
      <c r="V79" s="11" t="n">
        <v>3.288392556162051</v>
      </c>
      <c r="W79" s="12" t="n">
        <v>3.127756595611572</v>
      </c>
    </row>
    <row r="80">
      <c r="A80" s="4" t="n">
        <v>79</v>
      </c>
      <c r="B80" s="4" t="inlineStr">
        <is>
          <t>hardness_shoreA</t>
        </is>
      </c>
      <c r="C80" s="4" t="inlineStr">
        <is>
          <t>Exp2_BO</t>
        </is>
      </c>
      <c r="D80" s="4" t="n">
        <v>2</v>
      </c>
      <c r="E80" s="4" t="n">
        <v>6</v>
      </c>
      <c r="F80" s="4" t="inlineStr">
        <is>
          <t>GP</t>
        </is>
      </c>
      <c r="G80" s="4" t="inlineStr">
        <is>
          <t>matern32</t>
        </is>
      </c>
      <c r="H80" s="4" t="b">
        <v>0</v>
      </c>
      <c r="I80" s="4" t="b">
        <v>1</v>
      </c>
      <c r="J80" s="4" t="inlineStr">
        <is>
          <t>log1p</t>
        </is>
      </c>
      <c r="K80" s="4" t="inlineStr">
        <is>
          <t>none</t>
        </is>
      </c>
      <c r="L80" s="4" t="inlineStr">
        <is>
          <t>compact</t>
        </is>
      </c>
      <c r="M80" s="11" t="n">
        <v>-0.12362766768175</v>
      </c>
      <c r="N80" s="11" t="n">
        <v>-0.3232796701000713</v>
      </c>
      <c r="O80" s="11" t="n">
        <v>-3.545132246389651</v>
      </c>
      <c r="P80" s="4" t="n">
        <v>1</v>
      </c>
      <c r="Q80" s="11" t="n">
        <v>0.6285089174027073</v>
      </c>
      <c r="R80" s="11" t="n">
        <v>0</v>
      </c>
      <c r="S80" s="11" t="n">
        <v>5.544915296633349</v>
      </c>
      <c r="T80" s="11" t="n">
        <v>3.81384698080746</v>
      </c>
      <c r="U80" s="11" t="n">
        <v>0.9171270718232044</v>
      </c>
      <c r="V80" s="11" t="n">
        <v>3.349213667463298</v>
      </c>
      <c r="W80" s="12" t="n">
        <v>8.314773797988892</v>
      </c>
    </row>
    <row r="81">
      <c r="A81" s="4" t="n">
        <v>80</v>
      </c>
      <c r="B81" s="4" t="inlineStr">
        <is>
          <t>hardness_shoreA</t>
        </is>
      </c>
      <c r="C81" s="4" t="inlineStr">
        <is>
          <t>Exp2_BO</t>
        </is>
      </c>
      <c r="D81" s="4" t="n">
        <v>2</v>
      </c>
      <c r="E81" s="4" t="n">
        <v>7</v>
      </c>
      <c r="F81" s="4" t="inlineStr">
        <is>
          <t>GP</t>
        </is>
      </c>
      <c r="G81" s="4" t="inlineStr">
        <is>
          <t>rbf</t>
        </is>
      </c>
      <c r="H81" s="4" t="b">
        <v>0</v>
      </c>
      <c r="I81" s="4" t="b">
        <v>0</v>
      </c>
      <c r="J81" s="4" t="inlineStr">
        <is>
          <t>std</t>
        </is>
      </c>
      <c r="K81" s="4" t="inlineStr">
        <is>
          <t>none</t>
        </is>
      </c>
      <c r="L81" s="4" t="inlineStr">
        <is>
          <t>full_cure6</t>
        </is>
      </c>
      <c r="M81" s="11" t="n">
        <v>-0.3219492507013799</v>
      </c>
      <c r="N81" s="11" t="n">
        <v>-1.431514488228708</v>
      </c>
      <c r="O81" s="11" t="n">
        <v>-5.135106435923943</v>
      </c>
      <c r="P81" s="4" t="n">
        <v>1</v>
      </c>
      <c r="Q81" s="11" t="n">
        <v>0.628742035225182</v>
      </c>
      <c r="R81" s="11" t="n">
        <v>0</v>
      </c>
      <c r="S81" s="11" t="n">
        <v>5.543175252942199</v>
      </c>
      <c r="T81" s="11" t="n">
        <v>3.50395506470326</v>
      </c>
      <c r="U81" s="11" t="n">
        <v>0.9447513812154696</v>
      </c>
      <c r="V81" s="11" t="n">
        <v>3.195568359140558</v>
      </c>
      <c r="W81" s="12" t="n">
        <v>2.890389204025269</v>
      </c>
    </row>
    <row r="82">
      <c r="A82" s="4" t="n">
        <v>81</v>
      </c>
      <c r="B82" s="4" t="inlineStr">
        <is>
          <t>hardness_shoreA</t>
        </is>
      </c>
      <c r="C82" s="4" t="inlineStr">
        <is>
          <t>Exp2_BO</t>
        </is>
      </c>
      <c r="D82" s="4" t="n">
        <v>2</v>
      </c>
      <c r="E82" s="4" t="n">
        <v>8</v>
      </c>
      <c r="F82" s="4" t="inlineStr">
        <is>
          <t>GP</t>
        </is>
      </c>
      <c r="G82" s="4" t="inlineStr">
        <is>
          <t>matern52</t>
        </is>
      </c>
      <c r="H82" s="4" t="b">
        <v>1</v>
      </c>
      <c r="I82" s="4" t="b">
        <v>1</v>
      </c>
      <c r="J82" s="4" t="inlineStr">
        <is>
          <t>log1p</t>
        </is>
      </c>
      <c r="K82" s="4" t="inlineStr">
        <is>
          <t>log</t>
        </is>
      </c>
      <c r="L82" s="4" t="inlineStr">
        <is>
          <t>compact</t>
        </is>
      </c>
      <c r="M82" s="11" t="n">
        <v>0.2663687985482328</v>
      </c>
      <c r="N82" s="11" t="n">
        <v>-0.0976921425189702</v>
      </c>
      <c r="O82" s="11" t="n">
        <v>-3.267740710761499</v>
      </c>
      <c r="P82" s="4" t="n">
        <v>1</v>
      </c>
      <c r="Q82" s="11" t="n">
        <v>0.6897891710169766</v>
      </c>
      <c r="R82" s="11" t="n">
        <v>0</v>
      </c>
      <c r="S82" s="11" t="n">
        <v>5.066980078734683</v>
      </c>
      <c r="T82" s="11" t="n">
        <v>3.323111573048362</v>
      </c>
      <c r="U82" s="11" t="n">
        <v>0.9171270718232044</v>
      </c>
      <c r="V82" s="11" t="n">
        <v>3.425221842945684</v>
      </c>
      <c r="W82" s="12" t="n">
        <v>43.17792773246765</v>
      </c>
    </row>
    <row r="83">
      <c r="A83" s="4" t="n">
        <v>82</v>
      </c>
      <c r="B83" s="4" t="inlineStr">
        <is>
          <t>hardness_shoreA</t>
        </is>
      </c>
      <c r="C83" s="4" t="inlineStr">
        <is>
          <t>Exp2_BO</t>
        </is>
      </c>
      <c r="D83" s="4" t="n">
        <v>2</v>
      </c>
      <c r="E83" s="4" t="n">
        <v>9</v>
      </c>
      <c r="F83" s="4" t="inlineStr">
        <is>
          <t>GP</t>
        </is>
      </c>
      <c r="G83" s="4" t="inlineStr">
        <is>
          <t>matern12</t>
        </is>
      </c>
      <c r="H83" s="4" t="b">
        <v>1</v>
      </c>
      <c r="I83" s="4" t="b">
        <v>0</v>
      </c>
      <c r="J83" s="4" t="inlineStr">
        <is>
          <t>std</t>
        </is>
      </c>
      <c r="K83" s="4" t="inlineStr">
        <is>
          <t>none</t>
        </is>
      </c>
      <c r="L83" s="4" t="inlineStr">
        <is>
          <t>full</t>
        </is>
      </c>
      <c r="M83" s="11" t="n">
        <v>0.5604552372749474</v>
      </c>
      <c r="N83" s="11" t="n">
        <v>-1.183313615498069</v>
      </c>
      <c r="O83" s="11" t="n">
        <v>-3.590150874823954</v>
      </c>
      <c r="P83" s="4" t="n">
        <v>1</v>
      </c>
      <c r="Q83" s="11" t="n">
        <v>0.6768989406513877</v>
      </c>
      <c r="R83" s="11" t="n">
        <v>0</v>
      </c>
      <c r="S83" s="11" t="n">
        <v>5.17118304298014</v>
      </c>
      <c r="T83" s="11" t="n">
        <v>3.402871429561411</v>
      </c>
      <c r="U83" s="11" t="n">
        <v>0.9116022099447514</v>
      </c>
      <c r="V83" s="11" t="n">
        <v>3.308139165280716</v>
      </c>
      <c r="W83" s="12" t="n">
        <v>38.78583002090454</v>
      </c>
    </row>
    <row r="84">
      <c r="A84" s="4" t="n">
        <v>83</v>
      </c>
      <c r="B84" s="4" t="inlineStr">
        <is>
          <t>hardness_shoreA</t>
        </is>
      </c>
      <c r="C84" s="4" t="inlineStr">
        <is>
          <t>Exp2_BO</t>
        </is>
      </c>
      <c r="D84" s="4" t="n">
        <v>2</v>
      </c>
      <c r="E84" s="4" t="n">
        <v>10</v>
      </c>
      <c r="F84" s="4" t="inlineStr">
        <is>
          <t>GP</t>
        </is>
      </c>
      <c r="G84" s="4" t="inlineStr">
        <is>
          <t>matern12</t>
        </is>
      </c>
      <c r="H84" s="4" t="b">
        <v>1</v>
      </c>
      <c r="I84" s="4" t="b">
        <v>0</v>
      </c>
      <c r="J84" s="4" t="inlineStr">
        <is>
          <t>std</t>
        </is>
      </c>
      <c r="K84" s="4" t="inlineStr">
        <is>
          <t>log</t>
        </is>
      </c>
      <c r="L84" s="4" t="inlineStr">
        <is>
          <t>full_agg</t>
        </is>
      </c>
      <c r="M84" s="11" t="n">
        <v>0.4237273130693371</v>
      </c>
      <c r="N84" s="11" t="n">
        <v>-0.6942788038355698</v>
      </c>
      <c r="O84" s="11" t="n">
        <v>-4.327488576131381</v>
      </c>
      <c r="P84" s="4" t="n">
        <v>1</v>
      </c>
      <c r="Q84" s="11" t="n">
        <v>0.7015964354338575</v>
      </c>
      <c r="R84" s="11" t="n">
        <v>0</v>
      </c>
      <c r="S84" s="11" t="n">
        <v>4.969614749617745</v>
      </c>
      <c r="T84" s="11" t="n">
        <v>3.275974489492605</v>
      </c>
      <c r="U84" s="11" t="n">
        <v>0.9226519337016574</v>
      </c>
      <c r="V84" s="11" t="n">
        <v>3.320856662356326</v>
      </c>
      <c r="W84" s="12" t="n">
        <v>70.09123396873474</v>
      </c>
    </row>
    <row r="85">
      <c r="A85" s="4" t="n">
        <v>84</v>
      </c>
      <c r="B85" s="4" t="inlineStr">
        <is>
          <t>hardness_shoreA</t>
        </is>
      </c>
      <c r="C85" s="4" t="inlineStr">
        <is>
          <t>Exp2_BO</t>
        </is>
      </c>
      <c r="D85" s="4" t="n">
        <v>2</v>
      </c>
      <c r="E85" s="4" t="n">
        <v>11</v>
      </c>
      <c r="F85" s="4" t="inlineStr">
        <is>
          <t>GP</t>
        </is>
      </c>
      <c r="G85" s="4" t="inlineStr">
        <is>
          <t>matern52</t>
        </is>
      </c>
      <c r="H85" s="4" t="b">
        <v>0</v>
      </c>
      <c r="I85" s="4" t="b">
        <v>1</v>
      </c>
      <c r="J85" s="4" t="inlineStr">
        <is>
          <t>log1p</t>
        </is>
      </c>
      <c r="K85" s="4" t="inlineStr">
        <is>
          <t>none</t>
        </is>
      </c>
      <c r="L85" s="4" t="inlineStr">
        <is>
          <t>full_agg</t>
        </is>
      </c>
      <c r="M85" s="11" t="n">
        <v>0.0238790733779072</v>
      </c>
      <c r="N85" s="11" t="n">
        <v>-2.936849395427939</v>
      </c>
      <c r="O85" s="11" t="n">
        <v>-3.052108158878392</v>
      </c>
      <c r="P85" s="4" t="n">
        <v>1</v>
      </c>
      <c r="Q85" s="11" t="n">
        <v>0.6591374946051478</v>
      </c>
      <c r="R85" s="11" t="n">
        <v>0</v>
      </c>
      <c r="S85" s="11" t="n">
        <v>5.31141622112006</v>
      </c>
      <c r="T85" s="11" t="n">
        <v>3.59448191121684</v>
      </c>
      <c r="U85" s="11" t="n">
        <v>0.9226519337016574</v>
      </c>
      <c r="V85" s="11" t="n">
        <v>3.305365577712191</v>
      </c>
      <c r="W85" s="12" t="n">
        <v>6.175475358963013</v>
      </c>
    </row>
    <row r="86">
      <c r="A86" s="4" t="n">
        <v>85</v>
      </c>
      <c r="B86" s="4" t="inlineStr">
        <is>
          <t>hardness_shoreA</t>
        </is>
      </c>
      <c r="C86" s="4" t="inlineStr">
        <is>
          <t>Exp2_BO</t>
        </is>
      </c>
      <c r="D86" s="4" t="n">
        <v>2</v>
      </c>
      <c r="E86" s="4" t="n">
        <v>12</v>
      </c>
      <c r="F86" s="4" t="inlineStr">
        <is>
          <t>GP</t>
        </is>
      </c>
      <c r="G86" s="4" t="inlineStr">
        <is>
          <t>rq</t>
        </is>
      </c>
      <c r="H86" s="4" t="b">
        <v>0</v>
      </c>
      <c r="I86" s="4" t="b">
        <v>0</v>
      </c>
      <c r="J86" s="4" t="inlineStr">
        <is>
          <t>log1p</t>
        </is>
      </c>
      <c r="K86" s="4" t="inlineStr">
        <is>
          <t>log</t>
        </is>
      </c>
      <c r="L86" s="4" t="inlineStr">
        <is>
          <t>full_agg</t>
        </is>
      </c>
      <c r="M86" s="11" t="n">
        <v>-0.556306279517722</v>
      </c>
      <c r="N86" s="11" t="n">
        <v>-0.0055598481176604</v>
      </c>
      <c r="O86" s="11" t="n">
        <v>-5.505340675480214</v>
      </c>
      <c r="P86" s="4" t="n">
        <v>1</v>
      </c>
      <c r="Q86" s="11" t="n">
        <v>0.6925736879369708</v>
      </c>
      <c r="R86" s="11" t="n">
        <v>0</v>
      </c>
      <c r="S86" s="11" t="n">
        <v>5.044187682597335</v>
      </c>
      <c r="T86" s="11" t="n">
        <v>3.407334638569347</v>
      </c>
      <c r="U86" s="11" t="n">
        <v>0.9337016574585636</v>
      </c>
      <c r="V86" s="11" t="n">
        <v>3.284751429329278</v>
      </c>
      <c r="W86" s="12" t="n">
        <v>3.46739649772644</v>
      </c>
    </row>
    <row r="87">
      <c r="A87" s="4" t="n">
        <v>86</v>
      </c>
      <c r="B87" s="4" t="inlineStr">
        <is>
          <t>hardness_shoreA</t>
        </is>
      </c>
      <c r="C87" s="4" t="inlineStr">
        <is>
          <t>Exp2_BO</t>
        </is>
      </c>
      <c r="D87" s="4" t="n">
        <v>2</v>
      </c>
      <c r="E87" s="4" t="n">
        <v>13</v>
      </c>
      <c r="F87" s="4" t="inlineStr">
        <is>
          <t>GP</t>
        </is>
      </c>
      <c r="G87" s="4" t="inlineStr">
        <is>
          <t>rbf</t>
        </is>
      </c>
      <c r="H87" s="4" t="b">
        <v>0</v>
      </c>
      <c r="I87" s="4" t="b">
        <v>1</v>
      </c>
      <c r="J87" s="4" t="inlineStr">
        <is>
          <t>std</t>
        </is>
      </c>
      <c r="K87" s="4" t="inlineStr">
        <is>
          <t>log</t>
        </is>
      </c>
      <c r="L87" s="4" t="inlineStr">
        <is>
          <t>full_cure6</t>
        </is>
      </c>
      <c r="M87" s="11" t="n">
        <v>-0.4635302372905596</v>
      </c>
      <c r="N87" s="11" t="n">
        <v>-2.996476046035617</v>
      </c>
      <c r="O87" s="11" t="n">
        <v>-2.65378432297639</v>
      </c>
      <c r="P87" s="4" t="n">
        <v>1</v>
      </c>
      <c r="Q87" s="11" t="n">
        <v>0.6898991054827985</v>
      </c>
      <c r="R87" s="11" t="n">
        <v>0</v>
      </c>
      <c r="S87" s="11" t="n">
        <v>5.066082165031415</v>
      </c>
      <c r="T87" s="11" t="n">
        <v>3.273284462866798</v>
      </c>
      <c r="U87" s="11" t="n">
        <v>0.9392265193370166</v>
      </c>
      <c r="V87" s="11" t="n">
        <v>3.272129137699958</v>
      </c>
      <c r="W87" s="12" t="n">
        <v>6.301943063735962</v>
      </c>
    </row>
    <row r="88">
      <c r="A88" s="4" t="n">
        <v>87</v>
      </c>
      <c r="B88" s="4" t="inlineStr">
        <is>
          <t>hardness_shoreA</t>
        </is>
      </c>
      <c r="C88" s="4" t="inlineStr">
        <is>
          <t>Exp2_BO</t>
        </is>
      </c>
      <c r="D88" s="4" t="n">
        <v>2</v>
      </c>
      <c r="E88" s="4" t="n">
        <v>14</v>
      </c>
      <c r="F88" s="4" t="inlineStr">
        <is>
          <t>GP</t>
        </is>
      </c>
      <c r="G88" s="4" t="inlineStr">
        <is>
          <t>rbf</t>
        </is>
      </c>
      <c r="H88" s="4" t="b">
        <v>0</v>
      </c>
      <c r="I88" s="4" t="b">
        <v>1</v>
      </c>
      <c r="J88" s="4" t="inlineStr">
        <is>
          <t>log1p</t>
        </is>
      </c>
      <c r="K88" s="4" t="inlineStr">
        <is>
          <t>log</t>
        </is>
      </c>
      <c r="L88" s="4" t="inlineStr">
        <is>
          <t>compact</t>
        </is>
      </c>
      <c r="M88" s="11" t="n">
        <v>0.3114632336356016</v>
      </c>
      <c r="N88" s="11" t="n">
        <v>-0.008447354458739099</v>
      </c>
      <c r="O88" s="11" t="n">
        <v>-3.007507618264808</v>
      </c>
      <c r="P88" s="4" t="n">
        <v>1</v>
      </c>
      <c r="Q88" s="11" t="n">
        <v>0.6376441797269846</v>
      </c>
      <c r="R88" s="11" t="n">
        <v>0</v>
      </c>
      <c r="S88" s="11" t="n">
        <v>5.476313984124407</v>
      </c>
      <c r="T88" s="11" t="n">
        <v>3.810859091138283</v>
      </c>
      <c r="U88" s="11" t="n">
        <v>0.9226519337016574</v>
      </c>
      <c r="V88" s="11" t="n">
        <v>3.370356409560872</v>
      </c>
      <c r="W88" s="12" t="n">
        <v>5.869919061660767</v>
      </c>
    </row>
    <row r="89">
      <c r="A89" s="4" t="n">
        <v>88</v>
      </c>
      <c r="B89" s="4" t="inlineStr">
        <is>
          <t>hardness_shoreA</t>
        </is>
      </c>
      <c r="C89" s="4" t="inlineStr">
        <is>
          <t>Exp2_BO</t>
        </is>
      </c>
      <c r="D89" s="4" t="n">
        <v>2</v>
      </c>
      <c r="E89" s="4" t="n">
        <v>15</v>
      </c>
      <c r="F89" s="4" t="inlineStr">
        <is>
          <t>GP</t>
        </is>
      </c>
      <c r="G89" s="4" t="inlineStr">
        <is>
          <t>matern32</t>
        </is>
      </c>
      <c r="H89" s="4" t="b">
        <v>1</v>
      </c>
      <c r="I89" s="4" t="b">
        <v>1</v>
      </c>
      <c r="J89" s="4" t="inlineStr">
        <is>
          <t>log1p</t>
        </is>
      </c>
      <c r="K89" s="4" t="inlineStr">
        <is>
          <t>log</t>
        </is>
      </c>
      <c r="L89" s="4" t="inlineStr">
        <is>
          <t>compact</t>
        </is>
      </c>
      <c r="M89" s="11" t="n">
        <v>0.5775069480466664</v>
      </c>
      <c r="N89" s="11" t="n">
        <v>-2.975671072258048</v>
      </c>
      <c r="O89" s="11" t="n">
        <v>-2.880471886367616</v>
      </c>
      <c r="P89" s="4" t="n">
        <v>1</v>
      </c>
      <c r="Q89" s="11" t="n">
        <v>0.6905841164232838</v>
      </c>
      <c r="R89" s="11" t="n">
        <v>0</v>
      </c>
      <c r="S89" s="11" t="n">
        <v>5.06048359958182</v>
      </c>
      <c r="T89" s="11" t="n">
        <v>3.349393549823493</v>
      </c>
      <c r="U89" s="11" t="n">
        <v>0.9281767955801103</v>
      </c>
      <c r="V89" s="11" t="n">
        <v>3.471710298668128</v>
      </c>
      <c r="W89" s="12" t="n">
        <v>39.57510566711426</v>
      </c>
    </row>
    <row r="90">
      <c r="A90" s="4" t="n">
        <v>89</v>
      </c>
      <c r="B90" s="4" t="inlineStr">
        <is>
          <t>hardness_shoreA</t>
        </is>
      </c>
      <c r="C90" s="4" t="inlineStr">
        <is>
          <t>Exp2_BO</t>
        </is>
      </c>
      <c r="D90" s="4" t="n">
        <v>2</v>
      </c>
      <c r="E90" s="4" t="n">
        <v>16</v>
      </c>
      <c r="F90" s="4" t="inlineStr">
        <is>
          <t>GP</t>
        </is>
      </c>
      <c r="G90" s="4" t="inlineStr">
        <is>
          <t>matern32</t>
        </is>
      </c>
      <c r="H90" s="4" t="b">
        <v>0</v>
      </c>
      <c r="I90" s="4" t="b">
        <v>1</v>
      </c>
      <c r="J90" s="4" t="inlineStr">
        <is>
          <t>std</t>
        </is>
      </c>
      <c r="K90" s="4" t="inlineStr">
        <is>
          <t>none</t>
        </is>
      </c>
      <c r="L90" s="4" t="inlineStr">
        <is>
          <t>full_agg</t>
        </is>
      </c>
      <c r="M90" s="11" t="n">
        <v>0.1897625306330022</v>
      </c>
      <c r="N90" s="11" t="n">
        <v>-1.077473595845776</v>
      </c>
      <c r="O90" s="11" t="n">
        <v>-3.948803936798742</v>
      </c>
      <c r="P90" s="4" t="n">
        <v>1</v>
      </c>
      <c r="Q90" s="11" t="n">
        <v>0.7139121418734375</v>
      </c>
      <c r="R90" s="11" t="n">
        <v>0</v>
      </c>
      <c r="S90" s="11" t="n">
        <v>4.865981268823556</v>
      </c>
      <c r="T90" s="11" t="n">
        <v>3.220783969303906</v>
      </c>
      <c r="U90" s="11" t="n">
        <v>0.9337016574585636</v>
      </c>
      <c r="V90" s="11" t="n">
        <v>3.17318756271204</v>
      </c>
      <c r="W90" s="12" t="n">
        <v>3.489488124847412</v>
      </c>
    </row>
    <row r="91">
      <c r="A91" s="4" t="n">
        <v>90</v>
      </c>
      <c r="B91" s="4" t="inlineStr">
        <is>
          <t>hardness_shoreA</t>
        </is>
      </c>
      <c r="C91" s="4" t="inlineStr">
        <is>
          <t>Exp2_BO</t>
        </is>
      </c>
      <c r="D91" s="4" t="n">
        <v>2</v>
      </c>
      <c r="E91" s="4" t="n">
        <v>17</v>
      </c>
      <c r="F91" s="4" t="inlineStr">
        <is>
          <t>GP</t>
        </is>
      </c>
      <c r="G91" s="4" t="inlineStr">
        <is>
          <t>rq</t>
        </is>
      </c>
      <c r="H91" s="4" t="b">
        <v>0</v>
      </c>
      <c r="I91" s="4" t="b">
        <v>0</v>
      </c>
      <c r="J91" s="4" t="inlineStr">
        <is>
          <t>std</t>
        </is>
      </c>
      <c r="K91" s="4" t="inlineStr">
        <is>
          <t>none</t>
        </is>
      </c>
      <c r="L91" s="4" t="inlineStr">
        <is>
          <t>full_agg</t>
        </is>
      </c>
      <c r="M91" s="11" t="n">
        <v>-0.6647617294564545</v>
      </c>
      <c r="N91" s="11" t="n">
        <v>-0.4051917618402947</v>
      </c>
      <c r="O91" s="11" t="n">
        <v>-2.725102135064584</v>
      </c>
      <c r="P91" s="4" t="n">
        <v>1</v>
      </c>
      <c r="Q91" s="11" t="n">
        <v>0.7144161341085526</v>
      </c>
      <c r="R91" s="11" t="n">
        <v>0</v>
      </c>
      <c r="S91" s="11" t="n">
        <v>4.861693254241053</v>
      </c>
      <c r="T91" s="11" t="n">
        <v>3.176482723454972</v>
      </c>
      <c r="U91" s="11" t="n">
        <v>0.9337016574585636</v>
      </c>
      <c r="V91" s="11" t="n">
        <v>3.150917382034762</v>
      </c>
      <c r="W91" s="12" t="n">
        <v>2.209055662155152</v>
      </c>
    </row>
    <row r="92">
      <c r="A92" s="4" t="n">
        <v>91</v>
      </c>
      <c r="B92" s="4" t="inlineStr">
        <is>
          <t>hardness_shoreA</t>
        </is>
      </c>
      <c r="C92" s="4" t="inlineStr">
        <is>
          <t>Exp2_BO</t>
        </is>
      </c>
      <c r="D92" s="4" t="n">
        <v>2</v>
      </c>
      <c r="E92" s="4" t="n">
        <v>18</v>
      </c>
      <c r="F92" s="4" t="inlineStr">
        <is>
          <t>GP</t>
        </is>
      </c>
      <c r="G92" s="4" t="inlineStr">
        <is>
          <t>rbf</t>
        </is>
      </c>
      <c r="H92" s="4" t="b">
        <v>0</v>
      </c>
      <c r="I92" s="4" t="b">
        <v>1</v>
      </c>
      <c r="J92" s="4" t="inlineStr">
        <is>
          <t>std</t>
        </is>
      </c>
      <c r="K92" s="4" t="inlineStr">
        <is>
          <t>log</t>
        </is>
      </c>
      <c r="L92" s="4" t="inlineStr">
        <is>
          <t>compact</t>
        </is>
      </c>
      <c r="M92" s="11" t="n">
        <v>-0.1228841006468621</v>
      </c>
      <c r="N92" s="11" t="n">
        <v>-1.683163201532735</v>
      </c>
      <c r="O92" s="11" t="n">
        <v>-3.269507322609156</v>
      </c>
      <c r="P92" s="4" t="n">
        <v>1</v>
      </c>
      <c r="Q92" s="11" t="n">
        <v>0.6435787974137075</v>
      </c>
      <c r="R92" s="11" t="n">
        <v>0</v>
      </c>
      <c r="S92" s="11" t="n">
        <v>5.431283659637653</v>
      </c>
      <c r="T92" s="11" t="n">
        <v>3.639526055770289</v>
      </c>
      <c r="U92" s="11" t="n">
        <v>0.9226519337016574</v>
      </c>
      <c r="V92" s="11" t="n">
        <v>3.301627019964514</v>
      </c>
      <c r="W92" s="12" t="n">
        <v>4.507725238800049</v>
      </c>
    </row>
    <row r="93">
      <c r="A93" s="4" t="n">
        <v>92</v>
      </c>
      <c r="B93" s="4" t="inlineStr">
        <is>
          <t>hardness_shoreA</t>
        </is>
      </c>
      <c r="C93" s="4" t="inlineStr">
        <is>
          <t>Exp2_BO</t>
        </is>
      </c>
      <c r="D93" s="4" t="n">
        <v>2</v>
      </c>
      <c r="E93" s="4" t="n">
        <v>19</v>
      </c>
      <c r="F93" s="4" t="inlineStr">
        <is>
          <t>GP</t>
        </is>
      </c>
      <c r="G93" s="4" t="inlineStr">
        <is>
          <t>matern52</t>
        </is>
      </c>
      <c r="H93" s="4" t="b">
        <v>0</v>
      </c>
      <c r="I93" s="4" t="b">
        <v>1</v>
      </c>
      <c r="J93" s="4" t="inlineStr">
        <is>
          <t>std</t>
        </is>
      </c>
      <c r="K93" s="4" t="inlineStr">
        <is>
          <t>none</t>
        </is>
      </c>
      <c r="L93" s="4" t="inlineStr">
        <is>
          <t>full</t>
        </is>
      </c>
      <c r="M93" s="11" t="n">
        <v>0.1526630450389745</v>
      </c>
      <c r="N93" s="11" t="n">
        <v>-0.0813305999984512</v>
      </c>
      <c r="O93" s="11" t="n">
        <v>-3.451161965259556</v>
      </c>
      <c r="P93" s="4" t="n">
        <v>1</v>
      </c>
      <c r="Q93" s="11" t="n">
        <v>0.7140755062365669</v>
      </c>
      <c r="R93" s="11" t="n">
        <v>0</v>
      </c>
      <c r="S93" s="11" t="n">
        <v>4.864591763078268</v>
      </c>
      <c r="T93" s="11" t="n">
        <v>3.262483254018735</v>
      </c>
      <c r="U93" s="11" t="n">
        <v>0.9337016574585636</v>
      </c>
      <c r="V93" s="11" t="n">
        <v>3.169146247762812</v>
      </c>
      <c r="W93" s="12" t="n">
        <v>4.69270396232605</v>
      </c>
    </row>
    <row r="94">
      <c r="A94" s="4" t="n">
        <v>93</v>
      </c>
      <c r="B94" s="4" t="inlineStr">
        <is>
          <t>hardness_shoreA</t>
        </is>
      </c>
      <c r="C94" s="4" t="inlineStr">
        <is>
          <t>Exp2_BO</t>
        </is>
      </c>
      <c r="D94" s="4" t="n">
        <v>2</v>
      </c>
      <c r="E94" s="4" t="n">
        <v>20</v>
      </c>
      <c r="F94" s="4" t="inlineStr">
        <is>
          <t>GP</t>
        </is>
      </c>
      <c r="G94" s="4" t="inlineStr">
        <is>
          <t>rq</t>
        </is>
      </c>
      <c r="H94" s="4" t="b">
        <v>0</v>
      </c>
      <c r="I94" s="4" t="b">
        <v>1</v>
      </c>
      <c r="J94" s="4" t="inlineStr">
        <is>
          <t>log1p</t>
        </is>
      </c>
      <c r="K94" s="4" t="inlineStr">
        <is>
          <t>none</t>
        </is>
      </c>
      <c r="L94" s="4" t="inlineStr">
        <is>
          <t>full</t>
        </is>
      </c>
      <c r="M94" s="11" t="n">
        <v>0.3573847095249025</v>
      </c>
      <c r="N94" s="11" t="n">
        <v>-1.078260318453221</v>
      </c>
      <c r="O94" s="11" t="n">
        <v>-2.767852062690533</v>
      </c>
      <c r="P94" s="4" t="n">
        <v>1</v>
      </c>
      <c r="Q94" s="11" t="n">
        <v>0.6417926580190222</v>
      </c>
      <c r="R94" s="11" t="n">
        <v>0</v>
      </c>
      <c r="S94" s="11" t="n">
        <v>5.444875592810782</v>
      </c>
      <c r="T94" s="11" t="n">
        <v>3.728024497244736</v>
      </c>
      <c r="U94" s="11" t="n">
        <v>0.9171270718232044</v>
      </c>
      <c r="V94" s="11" t="n">
        <v>3.272540007913816</v>
      </c>
      <c r="W94" s="12" t="n">
        <v>8.2421715259552</v>
      </c>
    </row>
    <row r="95">
      <c r="A95" s="4" t="n">
        <v>94</v>
      </c>
      <c r="B95" s="4" t="inlineStr">
        <is>
          <t>hardness_shoreA</t>
        </is>
      </c>
      <c r="C95" s="4" t="inlineStr">
        <is>
          <t>Exp2_BO</t>
        </is>
      </c>
      <c r="D95" s="4" t="n">
        <v>2</v>
      </c>
      <c r="E95" s="4" t="n">
        <v>21</v>
      </c>
      <c r="F95" s="4" t="inlineStr">
        <is>
          <t>GP</t>
        </is>
      </c>
      <c r="G95" s="4" t="inlineStr">
        <is>
          <t>matern52</t>
        </is>
      </c>
      <c r="H95" s="4" t="b">
        <v>0</v>
      </c>
      <c r="I95" s="4" t="b">
        <v>0</v>
      </c>
      <c r="J95" s="4" t="inlineStr">
        <is>
          <t>std</t>
        </is>
      </c>
      <c r="K95" s="4" t="inlineStr">
        <is>
          <t>none</t>
        </is>
      </c>
      <c r="L95" s="4" t="inlineStr">
        <is>
          <t>compact</t>
        </is>
      </c>
      <c r="M95" s="11" t="n">
        <v>-0.8727237355365078</v>
      </c>
      <c r="N95" s="11" t="n">
        <v>-1.44255411679512</v>
      </c>
      <c r="O95" s="11" t="n">
        <v>-2.093122978441594</v>
      </c>
      <c r="P95" s="4" t="n">
        <v>1</v>
      </c>
      <c r="Q95" s="11" t="n">
        <v>0.6044106279415371</v>
      </c>
      <c r="R95" s="11" t="n">
        <v>0</v>
      </c>
      <c r="S95" s="11" t="n">
        <v>5.721936413990004</v>
      </c>
      <c r="T95" s="11" t="n">
        <v>3.603697315889482</v>
      </c>
      <c r="U95" s="11" t="n">
        <v>0.9281767955801103</v>
      </c>
      <c r="V95" s="11" t="n">
        <v>3.165448941533086</v>
      </c>
      <c r="W95" s="12" t="n">
        <v>1.830881595611572</v>
      </c>
    </row>
    <row r="96">
      <c r="A96" s="4" t="n">
        <v>95</v>
      </c>
      <c r="B96" s="4" t="inlineStr">
        <is>
          <t>hardness_shoreA</t>
        </is>
      </c>
      <c r="C96" s="4" t="inlineStr">
        <is>
          <t>Exp2_BO</t>
        </is>
      </c>
      <c r="D96" s="4" t="n">
        <v>2</v>
      </c>
      <c r="E96" s="4" t="n">
        <v>22</v>
      </c>
      <c r="F96" s="4" t="inlineStr">
        <is>
          <t>GP</t>
        </is>
      </c>
      <c r="G96" s="4" t="inlineStr">
        <is>
          <t>matern52</t>
        </is>
      </c>
      <c r="H96" s="4" t="b">
        <v>0</v>
      </c>
      <c r="I96" s="4" t="b">
        <v>0</v>
      </c>
      <c r="J96" s="4" t="inlineStr">
        <is>
          <t>std</t>
        </is>
      </c>
      <c r="K96" s="4" t="inlineStr">
        <is>
          <t>log</t>
        </is>
      </c>
      <c r="L96" s="4" t="inlineStr">
        <is>
          <t>full_agg</t>
        </is>
      </c>
      <c r="M96" s="11" t="n">
        <v>-0.822456990182775</v>
      </c>
      <c r="N96" s="11" t="n">
        <v>-0.7079795662838153</v>
      </c>
      <c r="O96" s="11" t="n">
        <v>-3.348530082432197</v>
      </c>
      <c r="P96" s="4" t="n">
        <v>1</v>
      </c>
      <c r="Q96" s="11" t="n">
        <v>0.6509447558171111</v>
      </c>
      <c r="R96" s="11" t="n">
        <v>0</v>
      </c>
      <c r="S96" s="11" t="n">
        <v>5.374868003589937</v>
      </c>
      <c r="T96" s="11" t="n">
        <v>3.377262972827732</v>
      </c>
      <c r="U96" s="11" t="n">
        <v>0.9226519337016574</v>
      </c>
      <c r="V96" s="11" t="n">
        <v>3.236997082118208</v>
      </c>
      <c r="W96" s="12" t="n">
        <v>2.904669046401977</v>
      </c>
    </row>
    <row r="97">
      <c r="A97" s="4" t="n">
        <v>96</v>
      </c>
      <c r="B97" s="4" t="inlineStr">
        <is>
          <t>hardness_shoreA</t>
        </is>
      </c>
      <c r="C97" s="4" t="inlineStr">
        <is>
          <t>Exp2_BO</t>
        </is>
      </c>
      <c r="D97" s="4" t="n">
        <v>2</v>
      </c>
      <c r="E97" s="4" t="n">
        <v>23</v>
      </c>
      <c r="F97" s="4" t="inlineStr">
        <is>
          <t>GP</t>
        </is>
      </c>
      <c r="G97" s="4" t="inlineStr">
        <is>
          <t>matern32</t>
        </is>
      </c>
      <c r="H97" s="4" t="b">
        <v>1</v>
      </c>
      <c r="I97" s="4" t="b">
        <v>1</v>
      </c>
      <c r="J97" s="4" t="inlineStr">
        <is>
          <t>std</t>
        </is>
      </c>
      <c r="K97" s="4" t="inlineStr">
        <is>
          <t>none</t>
        </is>
      </c>
      <c r="L97" s="4" t="inlineStr">
        <is>
          <t>full_agg</t>
        </is>
      </c>
      <c r="M97" s="11" t="n">
        <v>-0.9365711948871682</v>
      </c>
      <c r="N97" s="11" t="n">
        <v>-0.3392678046923487</v>
      </c>
      <c r="O97" s="11" t="n">
        <v>-2.292108783010718</v>
      </c>
      <c r="P97" s="4" t="n">
        <v>1</v>
      </c>
      <c r="Q97" s="11" t="n">
        <v>0.6250224724301849</v>
      </c>
      <c r="R97" s="11" t="n">
        <v>0</v>
      </c>
      <c r="S97" s="11" t="n">
        <v>5.570874056809626</v>
      </c>
      <c r="T97" s="11" t="n">
        <v>3.506211966825492</v>
      </c>
      <c r="U97" s="11" t="n">
        <v>0.9116022099447514</v>
      </c>
      <c r="V97" s="11" t="n">
        <v>3.318425765470837</v>
      </c>
      <c r="W97" s="12" t="n">
        <v>50.60169005393982</v>
      </c>
    </row>
    <row r="98">
      <c r="A98" s="4" t="n">
        <v>97</v>
      </c>
      <c r="B98" s="4" t="inlineStr">
        <is>
          <t>hardness_shoreA</t>
        </is>
      </c>
      <c r="C98" s="4" t="inlineStr">
        <is>
          <t>Exp2_BO</t>
        </is>
      </c>
      <c r="D98" s="4" t="n">
        <v>2</v>
      </c>
      <c r="E98" s="4" t="n">
        <v>24</v>
      </c>
      <c r="F98" s="4" t="inlineStr">
        <is>
          <t>GP</t>
        </is>
      </c>
      <c r="G98" s="4" t="inlineStr">
        <is>
          <t>rq</t>
        </is>
      </c>
      <c r="H98" s="4" t="b">
        <v>0</v>
      </c>
      <c r="I98" s="4" t="b">
        <v>0</v>
      </c>
      <c r="J98" s="4" t="inlineStr">
        <is>
          <t>std</t>
        </is>
      </c>
      <c r="K98" s="4" t="inlineStr">
        <is>
          <t>log</t>
        </is>
      </c>
      <c r="L98" s="4" t="inlineStr">
        <is>
          <t>full_cure6</t>
        </is>
      </c>
      <c r="M98" s="11" t="n">
        <v>0.7973624004388089</v>
      </c>
      <c r="N98" s="11" t="n">
        <v>-2.531235112736677</v>
      </c>
      <c r="O98" s="11" t="n">
        <v>-3.726526998719424</v>
      </c>
      <c r="P98" s="4" t="n">
        <v>1</v>
      </c>
      <c r="Q98" s="11" t="n">
        <v>0.6963583345844695</v>
      </c>
      <c r="R98" s="11" t="n">
        <v>0</v>
      </c>
      <c r="S98" s="11" t="n">
        <v>5.013042679421329</v>
      </c>
      <c r="T98" s="11" t="n">
        <v>3.250927566280992</v>
      </c>
      <c r="U98" s="11" t="n">
        <v>0.9447513812154696</v>
      </c>
      <c r="V98" s="11" t="n">
        <v>3.27826127706952</v>
      </c>
      <c r="W98" s="12" t="n">
        <v>4.287589550018311</v>
      </c>
    </row>
    <row r="99">
      <c r="A99" s="4" t="n">
        <v>98</v>
      </c>
      <c r="B99" s="4" t="inlineStr">
        <is>
          <t>hardness_shoreA</t>
        </is>
      </c>
      <c r="C99" s="4" t="inlineStr">
        <is>
          <t>Exp2_BO</t>
        </is>
      </c>
      <c r="D99" s="4" t="n">
        <v>2</v>
      </c>
      <c r="E99" s="4" t="n">
        <v>25</v>
      </c>
      <c r="F99" s="4" t="inlineStr">
        <is>
          <t>GP</t>
        </is>
      </c>
      <c r="G99" s="4" t="inlineStr">
        <is>
          <t>matern12</t>
        </is>
      </c>
      <c r="H99" s="4" t="b">
        <v>0</v>
      </c>
      <c r="I99" s="4" t="b">
        <v>1</v>
      </c>
      <c r="J99" s="4" t="inlineStr">
        <is>
          <t>std</t>
        </is>
      </c>
      <c r="K99" s="4" t="inlineStr">
        <is>
          <t>none</t>
        </is>
      </c>
      <c r="L99" s="4" t="inlineStr">
        <is>
          <t>full</t>
        </is>
      </c>
      <c r="M99" s="11" t="n">
        <v>0.1991911134110582</v>
      </c>
      <c r="N99" s="11" t="n">
        <v>-0.0185130770370416</v>
      </c>
      <c r="O99" s="11" t="n">
        <v>-3.558808376892994</v>
      </c>
      <c r="P99" s="4" t="n">
        <v>1</v>
      </c>
      <c r="Q99" s="11" t="n">
        <v>0.6923397856984519</v>
      </c>
      <c r="R99" s="11" t="n">
        <v>0</v>
      </c>
      <c r="S99" s="11" t="n">
        <v>5.046106227645131</v>
      </c>
      <c r="T99" s="11" t="n">
        <v>3.328512306824647</v>
      </c>
      <c r="U99" s="11" t="n">
        <v>0.9281767955801103</v>
      </c>
      <c r="V99" s="11" t="n">
        <v>3.262358166798509</v>
      </c>
      <c r="W99" s="12" t="n">
        <v>4.796079158782959</v>
      </c>
    </row>
    <row r="100">
      <c r="A100" s="4" t="n">
        <v>99</v>
      </c>
      <c r="B100" s="4" t="inlineStr">
        <is>
          <t>hardness_shoreA</t>
        </is>
      </c>
      <c r="C100" s="4" t="inlineStr">
        <is>
          <t>Exp2_BO</t>
        </is>
      </c>
      <c r="D100" s="4" t="n">
        <v>2</v>
      </c>
      <c r="E100" s="4" t="n">
        <v>26</v>
      </c>
      <c r="F100" s="4" t="inlineStr">
        <is>
          <t>GP</t>
        </is>
      </c>
      <c r="G100" s="4" t="inlineStr">
        <is>
          <t>matern12</t>
        </is>
      </c>
      <c r="H100" s="4" t="b">
        <v>1</v>
      </c>
      <c r="I100" s="4" t="b">
        <v>1</v>
      </c>
      <c r="J100" s="4" t="inlineStr">
        <is>
          <t>log1p</t>
        </is>
      </c>
      <c r="K100" s="4" t="inlineStr">
        <is>
          <t>none</t>
        </is>
      </c>
      <c r="L100" s="4" t="inlineStr">
        <is>
          <t>full_cure6</t>
        </is>
      </c>
      <c r="M100" s="11" t="n">
        <v>-0.9896259695743608</v>
      </c>
      <c r="N100" s="11" t="n">
        <v>-1.138339700626212</v>
      </c>
      <c r="O100" s="11" t="n">
        <v>-5.713510316606047</v>
      </c>
      <c r="P100" s="4" t="n">
        <v>1</v>
      </c>
      <c r="Q100" s="11" t="n">
        <v>0.6455779779884208</v>
      </c>
      <c r="R100" s="11" t="n">
        <v>0</v>
      </c>
      <c r="S100" s="11" t="n">
        <v>5.416030098033996</v>
      </c>
      <c r="T100" s="11" t="n">
        <v>3.644871727799961</v>
      </c>
      <c r="U100" s="11" t="n">
        <v>0.9171270718232044</v>
      </c>
      <c r="V100" s="11" t="n">
        <v>3.447387891238062</v>
      </c>
      <c r="W100" s="12" t="n">
        <v>53.88459277153015</v>
      </c>
    </row>
    <row r="101">
      <c r="A101" s="4" t="n">
        <v>100</v>
      </c>
      <c r="B101" s="4" t="inlineStr">
        <is>
          <t>hardness_shoreA</t>
        </is>
      </c>
      <c r="C101" s="4" t="inlineStr">
        <is>
          <t>Exp2_BO</t>
        </is>
      </c>
      <c r="D101" s="4" t="n">
        <v>2</v>
      </c>
      <c r="E101" s="4" t="n">
        <v>27</v>
      </c>
      <c r="F101" s="4" t="inlineStr">
        <is>
          <t>GP</t>
        </is>
      </c>
      <c r="G101" s="4" t="inlineStr">
        <is>
          <t>rq</t>
        </is>
      </c>
      <c r="H101" s="4" t="b">
        <v>0</v>
      </c>
      <c r="I101" s="4" t="b">
        <v>0</v>
      </c>
      <c r="J101" s="4" t="inlineStr">
        <is>
          <t>std</t>
        </is>
      </c>
      <c r="K101" s="4" t="inlineStr">
        <is>
          <t>none</t>
        </is>
      </c>
      <c r="L101" s="4" t="inlineStr">
        <is>
          <t>full</t>
        </is>
      </c>
      <c r="M101" s="11" t="n">
        <v>-0.5809552135254517</v>
      </c>
      <c r="N101" s="11" t="n">
        <v>-1.08157900436634</v>
      </c>
      <c r="O101" s="11" t="n">
        <v>-5.48542993596514</v>
      </c>
      <c r="P101" s="4" t="n">
        <v>1</v>
      </c>
      <c r="Q101" s="11" t="n">
        <v>0.709058612310453</v>
      </c>
      <c r="R101" s="11" t="n">
        <v>0</v>
      </c>
      <c r="S101" s="11" t="n">
        <v>4.907083777466006</v>
      </c>
      <c r="T101" s="11" t="n">
        <v>3.206313328692961</v>
      </c>
      <c r="U101" s="11" t="n">
        <v>0.9337016574585636</v>
      </c>
      <c r="V101" s="11" t="n">
        <v>3.166908851799099</v>
      </c>
      <c r="W101" s="12" t="n">
        <v>4.629172563552856</v>
      </c>
    </row>
    <row r="102">
      <c r="A102" s="4" t="n">
        <v>101</v>
      </c>
      <c r="B102" s="4" t="inlineStr">
        <is>
          <t>hardness_shoreA</t>
        </is>
      </c>
      <c r="C102" s="4" t="inlineStr">
        <is>
          <t>Exp2_BO</t>
        </is>
      </c>
      <c r="D102" s="4" t="n">
        <v>2</v>
      </c>
      <c r="E102" s="4" t="n">
        <v>28</v>
      </c>
      <c r="F102" s="4" t="inlineStr">
        <is>
          <t>GP</t>
        </is>
      </c>
      <c r="G102" s="4" t="inlineStr">
        <is>
          <t>matern12</t>
        </is>
      </c>
      <c r="H102" s="4" t="b">
        <v>1</v>
      </c>
      <c r="I102" s="4" t="b">
        <v>0</v>
      </c>
      <c r="J102" s="4" t="inlineStr">
        <is>
          <t>std</t>
        </is>
      </c>
      <c r="K102" s="4" t="inlineStr">
        <is>
          <t>log</t>
        </is>
      </c>
      <c r="L102" s="4" t="inlineStr">
        <is>
          <t>full_agg</t>
        </is>
      </c>
      <c r="M102" s="11" t="n">
        <v>-0.7024168268390367</v>
      </c>
      <c r="N102" s="11" t="n">
        <v>-2.753355203971832</v>
      </c>
      <c r="O102" s="11" t="n">
        <v>-3.31876000369374</v>
      </c>
      <c r="P102" s="4" t="n">
        <v>1</v>
      </c>
      <c r="Q102" s="11" t="n">
        <v>0.6630635254347723</v>
      </c>
      <c r="R102" s="11" t="n">
        <v>0</v>
      </c>
      <c r="S102" s="11" t="n">
        <v>5.280739368955953</v>
      </c>
      <c r="T102" s="11" t="n">
        <v>3.435715406518935</v>
      </c>
      <c r="U102" s="11" t="n">
        <v>0.9171270718232044</v>
      </c>
      <c r="V102" s="11" t="n">
        <v>3.341174965239484</v>
      </c>
      <c r="W102" s="12" t="n">
        <v>61.1873152256012</v>
      </c>
    </row>
    <row r="103">
      <c r="A103" s="4" t="n">
        <v>102</v>
      </c>
      <c r="B103" s="4" t="inlineStr">
        <is>
          <t>hardness_shoreA</t>
        </is>
      </c>
      <c r="C103" s="4" t="inlineStr">
        <is>
          <t>Exp2_BO</t>
        </is>
      </c>
      <c r="D103" s="4" t="n">
        <v>2</v>
      </c>
      <c r="E103" s="4" t="n">
        <v>29</v>
      </c>
      <c r="F103" s="4" t="inlineStr">
        <is>
          <t>GP</t>
        </is>
      </c>
      <c r="G103" s="4" t="inlineStr">
        <is>
          <t>rq</t>
        </is>
      </c>
      <c r="H103" s="4" t="b">
        <v>0</v>
      </c>
      <c r="I103" s="4" t="b">
        <v>0</v>
      </c>
      <c r="J103" s="4" t="inlineStr">
        <is>
          <t>std</t>
        </is>
      </c>
      <c r="K103" s="4" t="inlineStr">
        <is>
          <t>log</t>
        </is>
      </c>
      <c r="L103" s="4" t="inlineStr">
        <is>
          <t>full_agg</t>
        </is>
      </c>
      <c r="M103" s="11" t="n">
        <v>-0.9727127641814723</v>
      </c>
      <c r="N103" s="11" t="n">
        <v>-2.485330524380798</v>
      </c>
      <c r="O103" s="11" t="n">
        <v>-2.313000501697766</v>
      </c>
      <c r="P103" s="4" t="n">
        <v>1</v>
      </c>
      <c r="Q103" s="11" t="n">
        <v>0.7066332687421438</v>
      </c>
      <c r="R103" s="11" t="n">
        <v>0</v>
      </c>
      <c r="S103" s="11" t="n">
        <v>4.927494527552026</v>
      </c>
      <c r="T103" s="11" t="n">
        <v>3.214865307988988</v>
      </c>
      <c r="U103" s="11" t="n">
        <v>0.9337016574585636</v>
      </c>
      <c r="V103" s="11" t="n">
        <v>3.235329228799332</v>
      </c>
      <c r="W103" s="12" t="n">
        <v>3.069510459899902</v>
      </c>
    </row>
    <row r="104">
      <c r="A104" s="4" t="n">
        <v>103</v>
      </c>
      <c r="B104" s="4" t="inlineStr">
        <is>
          <t>hardness_shoreA</t>
        </is>
      </c>
      <c r="C104" s="4" t="inlineStr">
        <is>
          <t>Exp3_robust</t>
        </is>
      </c>
      <c r="D104" s="4" t="n"/>
      <c r="E104" s="4" t="n"/>
      <c r="F104" s="4" t="inlineStr">
        <is>
          <t>GP</t>
        </is>
      </c>
      <c r="G104" s="4" t="inlineStr">
        <is>
          <t>matern32</t>
        </is>
      </c>
      <c r="H104" s="4" t="b">
        <v>1</v>
      </c>
      <c r="I104" s="4" t="b">
        <v>1</v>
      </c>
      <c r="J104" s="4" t="inlineStr">
        <is>
          <t>log1p</t>
        </is>
      </c>
      <c r="K104" s="4" t="inlineStr">
        <is>
          <t>log</t>
        </is>
      </c>
      <c r="L104" s="4" t="inlineStr">
        <is>
          <t>full_agg</t>
        </is>
      </c>
      <c r="M104" s="11" t="n">
        <v>-0.8753008417002488</v>
      </c>
      <c r="N104" s="11" t="n">
        <v>-1.076015492581875</v>
      </c>
      <c r="O104" s="11" t="n">
        <v>-2.589468646077373</v>
      </c>
      <c r="P104" s="4" t="n">
        <v>3</v>
      </c>
      <c r="Q104" s="11" t="n">
        <v>0.7358239839450663</v>
      </c>
      <c r="R104" s="11" t="n">
        <v>0.0176811479527651</v>
      </c>
      <c r="S104" s="11" t="n">
        <v>4.673180554805653</v>
      </c>
      <c r="T104" s="11" t="n">
        <v>3.156992084354308</v>
      </c>
      <c r="U104" s="11" t="n">
        <v>0.9270718232044201</v>
      </c>
      <c r="V104" s="11" t="n">
        <v>3.279546809148181</v>
      </c>
      <c r="W104" s="12" t="n">
        <v>501.8711767196655</v>
      </c>
    </row>
    <row r="105">
      <c r="A105" s="4" t="n">
        <v>104</v>
      </c>
      <c r="B105" s="4" t="inlineStr">
        <is>
          <t>hardness_shoreA</t>
        </is>
      </c>
      <c r="C105" s="4" t="inlineStr">
        <is>
          <t>Exp3_robust</t>
        </is>
      </c>
      <c r="D105" s="4" t="n"/>
      <c r="E105" s="4" t="n"/>
      <c r="F105" s="4" t="inlineStr">
        <is>
          <t>GP</t>
        </is>
      </c>
      <c r="G105" s="4" t="inlineStr">
        <is>
          <t>matern12</t>
        </is>
      </c>
      <c r="H105" s="4" t="b">
        <v>1</v>
      </c>
      <c r="I105" s="4" t="b">
        <v>1</v>
      </c>
      <c r="J105" s="4" t="inlineStr">
        <is>
          <t>std</t>
        </is>
      </c>
      <c r="K105" s="4" t="inlineStr">
        <is>
          <t>none</t>
        </is>
      </c>
      <c r="L105" s="4" t="inlineStr">
        <is>
          <t>compact</t>
        </is>
      </c>
      <c r="M105" s="11" t="n">
        <v>0.3243457292944576</v>
      </c>
      <c r="N105" s="11" t="n">
        <v>-0.2601533749779472</v>
      </c>
      <c r="O105" s="11" t="n">
        <v>-4.177397732801003</v>
      </c>
      <c r="P105" s="4" t="n">
        <v>3</v>
      </c>
      <c r="Q105" s="11" t="n">
        <v>0.6948290683978366</v>
      </c>
      <c r="R105" s="11" t="n">
        <v>0.0387247986053148</v>
      </c>
      <c r="S105" s="11" t="n">
        <v>5.015808611892842</v>
      </c>
      <c r="T105" s="11" t="n">
        <v>3.189058449633257</v>
      </c>
      <c r="U105" s="11" t="n">
        <v>0.9281767955801103</v>
      </c>
      <c r="V105" s="11" t="n">
        <v>3.156100226328954</v>
      </c>
      <c r="W105" s="12" t="n">
        <v>374.1475009918213</v>
      </c>
    </row>
    <row r="106">
      <c r="A106" s="4" t="n">
        <v>105</v>
      </c>
      <c r="B106" s="4" t="inlineStr">
        <is>
          <t>hardness_shoreA</t>
        </is>
      </c>
      <c r="C106" s="4" t="inlineStr">
        <is>
          <t>Exp3_robust</t>
        </is>
      </c>
      <c r="D106" s="4" t="n"/>
      <c r="E106" s="4" t="n"/>
      <c r="F106" s="4" t="inlineStr">
        <is>
          <t>GP</t>
        </is>
      </c>
      <c r="G106" s="4" t="inlineStr">
        <is>
          <t>matern32</t>
        </is>
      </c>
      <c r="H106" s="4" t="b">
        <v>1</v>
      </c>
      <c r="I106" s="4" t="b">
        <v>0</v>
      </c>
      <c r="J106" s="4" t="inlineStr">
        <is>
          <t>log1p</t>
        </is>
      </c>
      <c r="K106" s="4" t="inlineStr">
        <is>
          <t>log</t>
        </is>
      </c>
      <c r="L106" s="4" t="inlineStr">
        <is>
          <t>compact</t>
        </is>
      </c>
      <c r="M106" s="11" t="n">
        <v>0.9871485435642632</v>
      </c>
      <c r="N106" s="11" t="n">
        <v>-0.055820741419482</v>
      </c>
      <c r="O106" s="11" t="n">
        <v>-5.48408401238787</v>
      </c>
      <c r="P106" s="4" t="n">
        <v>3</v>
      </c>
      <c r="Q106" s="11" t="n">
        <v>0.7121767823171609</v>
      </c>
      <c r="R106" s="11" t="n">
        <v>0.0086840921745013</v>
      </c>
      <c r="S106" s="11" t="n">
        <v>4.88016278217743</v>
      </c>
      <c r="T106" s="11" t="n">
        <v>3.370759771460668</v>
      </c>
      <c r="U106" s="11" t="n">
        <v>0.9248618784530386</v>
      </c>
      <c r="V106" s="11" t="n">
        <v>3.194767519675698</v>
      </c>
      <c r="W106" s="12" t="n">
        <v>252.6468749046326</v>
      </c>
    </row>
    <row r="107">
      <c r="A107" s="4" t="n">
        <v>106</v>
      </c>
      <c r="B107" s="4" t="inlineStr">
        <is>
          <t>tensile_MPa</t>
        </is>
      </c>
      <c r="C107" s="4" t="inlineStr">
        <is>
          <t>Exp0_baseline</t>
        </is>
      </c>
      <c r="D107" s="4" t="n"/>
      <c r="E107" s="4" t="n"/>
      <c r="F107" s="4" t="inlineStr">
        <is>
          <t>GP_sklearn_default</t>
        </is>
      </c>
      <c r="G107" s="4" t="n"/>
      <c r="H107" s="4" t="n"/>
      <c r="I107" s="4" t="n"/>
      <c r="J107" s="4" t="n"/>
      <c r="K107" s="4" t="n"/>
      <c r="L107" s="4" t="n"/>
      <c r="M107" s="11" t="n"/>
      <c r="N107" s="11" t="n"/>
      <c r="O107" s="11" t="n"/>
      <c r="P107" s="4" t="n"/>
      <c r="Q107" s="11" t="n">
        <v>-171.8767249962465</v>
      </c>
      <c r="R107" s="11" t="n"/>
      <c r="S107" s="11" t="n">
        <v>65.90180690977425</v>
      </c>
      <c r="T107" s="11" t="n">
        <v>15.37416122006718</v>
      </c>
      <c r="U107" s="11" t="n"/>
      <c r="V107" s="11" t="n"/>
      <c r="W107" s="12" t="n"/>
    </row>
    <row r="108">
      <c r="A108" s="4" t="n">
        <v>107</v>
      </c>
      <c r="B108" s="4" t="inlineStr">
        <is>
          <t>tensile_MPa</t>
        </is>
      </c>
      <c r="C108" s="4" t="inlineStr">
        <is>
          <t>Exp0_baseline</t>
        </is>
      </c>
      <c r="D108" s="4" t="n"/>
      <c r="E108" s="4" t="n"/>
      <c r="F108" s="4" t="inlineStr">
        <is>
          <t>Ridge</t>
        </is>
      </c>
      <c r="G108" s="4" t="n"/>
      <c r="H108" s="4" t="n"/>
      <c r="I108" s="4" t="n"/>
      <c r="J108" s="4" t="n"/>
      <c r="K108" s="4" t="n"/>
      <c r="L108" s="4" t="n"/>
      <c r="M108" s="11" t="n"/>
      <c r="N108" s="11" t="n"/>
      <c r="O108" s="11" t="n"/>
      <c r="P108" s="4" t="n"/>
      <c r="Q108" s="11" t="n">
        <v>-0.06655757724409769</v>
      </c>
      <c r="R108" s="11" t="n"/>
      <c r="S108" s="11" t="n">
        <v>5.02918029645561</v>
      </c>
      <c r="T108" s="11" t="n">
        <v>3.169537384225287</v>
      </c>
      <c r="U108" s="11" t="n"/>
      <c r="V108" s="11" t="n"/>
      <c r="W108" s="12" t="n"/>
    </row>
    <row r="109">
      <c r="A109" s="4" t="n">
        <v>108</v>
      </c>
      <c r="B109" s="4" t="inlineStr">
        <is>
          <t>tensile_MPa</t>
        </is>
      </c>
      <c r="C109" s="4" t="inlineStr">
        <is>
          <t>Exp0_baseline</t>
        </is>
      </c>
      <c r="D109" s="4" t="n"/>
      <c r="E109" s="4" t="n"/>
      <c r="F109" s="4" t="inlineStr">
        <is>
          <t>RandomForest</t>
        </is>
      </c>
      <c r="G109" s="4" t="n"/>
      <c r="H109" s="4" t="n"/>
      <c r="I109" s="4" t="n"/>
      <c r="J109" s="4" t="n"/>
      <c r="K109" s="4" t="n"/>
      <c r="L109" s="4" t="n"/>
      <c r="M109" s="11" t="n"/>
      <c r="N109" s="11" t="n"/>
      <c r="O109" s="11" t="n"/>
      <c r="P109" s="4" t="n"/>
      <c r="Q109" s="11" t="n">
        <v>0.6167610888386544</v>
      </c>
      <c r="R109" s="11" t="n"/>
      <c r="S109" s="11" t="n">
        <v>3.140133446959513</v>
      </c>
      <c r="T109" s="11" t="n">
        <v>2.34599490551336</v>
      </c>
      <c r="U109" s="11" t="n"/>
      <c r="V109" s="11" t="n"/>
      <c r="W109" s="12" t="n"/>
    </row>
    <row r="110">
      <c r="A110" s="4" t="n">
        <v>109</v>
      </c>
      <c r="B110" s="4" t="inlineStr">
        <is>
          <t>tensile_MPa</t>
        </is>
      </c>
      <c r="C110" s="4" t="inlineStr">
        <is>
          <t>Exp1_kernel_screen</t>
        </is>
      </c>
      <c r="D110" s="4" t="n"/>
      <c r="E110" s="4" t="n"/>
      <c r="F110" s="4" t="inlineStr">
        <is>
          <t>GP</t>
        </is>
      </c>
      <c r="G110" s="4" t="inlineStr">
        <is>
          <t>rbf</t>
        </is>
      </c>
      <c r="H110" s="4" t="b">
        <v>1</v>
      </c>
      <c r="I110" s="4" t="b">
        <v>0</v>
      </c>
      <c r="J110" s="4" t="inlineStr">
        <is>
          <t>log1p</t>
        </is>
      </c>
      <c r="K110" s="4" t="inlineStr">
        <is>
          <t>none</t>
        </is>
      </c>
      <c r="L110" s="4" t="inlineStr">
        <is>
          <t>full</t>
        </is>
      </c>
      <c r="M110" s="11" t="n">
        <v>0</v>
      </c>
      <c r="N110" s="11" t="n">
        <v>-1</v>
      </c>
      <c r="O110" s="11" t="n">
        <v>-4</v>
      </c>
      <c r="P110" s="4" t="n">
        <v>1</v>
      </c>
      <c r="Q110" s="11" t="n">
        <v>0.6219104192441383</v>
      </c>
      <c r="R110" s="11" t="n">
        <v>0</v>
      </c>
      <c r="S110" s="11" t="n">
        <v>3.11899987302373</v>
      </c>
      <c r="T110" s="11" t="n">
        <v>2.377391602508834</v>
      </c>
      <c r="U110" s="11" t="n">
        <v>0.9</v>
      </c>
      <c r="V110" s="11" t="n">
        <v>2.592587908749325</v>
      </c>
      <c r="W110" s="12" t="n">
        <v>43.50214600563049</v>
      </c>
    </row>
    <row r="111">
      <c r="A111" s="4" t="n">
        <v>110</v>
      </c>
      <c r="B111" s="4" t="inlineStr">
        <is>
          <t>tensile_MPa</t>
        </is>
      </c>
      <c r="C111" s="4" t="inlineStr">
        <is>
          <t>Exp1_kernel_screen</t>
        </is>
      </c>
      <c r="D111" s="4" t="n"/>
      <c r="E111" s="4" t="n"/>
      <c r="F111" s="4" t="inlineStr">
        <is>
          <t>GP</t>
        </is>
      </c>
      <c r="G111" s="4" t="inlineStr">
        <is>
          <t>rbf</t>
        </is>
      </c>
      <c r="H111" s="4" t="b">
        <v>0</v>
      </c>
      <c r="I111" s="4" t="b">
        <v>0</v>
      </c>
      <c r="J111" s="4" t="inlineStr">
        <is>
          <t>log1p</t>
        </is>
      </c>
      <c r="K111" s="4" t="inlineStr">
        <is>
          <t>none</t>
        </is>
      </c>
      <c r="L111" s="4" t="inlineStr">
        <is>
          <t>full</t>
        </is>
      </c>
      <c r="M111" s="11" t="n">
        <v>0</v>
      </c>
      <c r="N111" s="11" t="n">
        <v>-1</v>
      </c>
      <c r="O111" s="11" t="n">
        <v>-4</v>
      </c>
      <c r="P111" s="4" t="n">
        <v>1</v>
      </c>
      <c r="Q111" s="11" t="n">
        <v>0.6739299387122608</v>
      </c>
      <c r="R111" s="11" t="n">
        <v>0</v>
      </c>
      <c r="S111" s="11" t="n">
        <v>2.896499547065213</v>
      </c>
      <c r="T111" s="11" t="n">
        <v>2.30599808129901</v>
      </c>
      <c r="U111" s="11" t="n">
        <v>0.938095238095238</v>
      </c>
      <c r="V111" s="11" t="n">
        <v>2.50565440235491</v>
      </c>
      <c r="W111" s="12" t="n">
        <v>1.321484565734863</v>
      </c>
    </row>
    <row r="112">
      <c r="A112" s="4" t="n">
        <v>111</v>
      </c>
      <c r="B112" s="4" t="inlineStr">
        <is>
          <t>tensile_MPa</t>
        </is>
      </c>
      <c r="C112" s="4" t="inlineStr">
        <is>
          <t>Exp1_kernel_screen</t>
        </is>
      </c>
      <c r="D112" s="4" t="n"/>
      <c r="E112" s="4" t="n"/>
      <c r="F112" s="4" t="inlineStr">
        <is>
          <t>GP</t>
        </is>
      </c>
      <c r="G112" s="4" t="inlineStr">
        <is>
          <t>matern12</t>
        </is>
      </c>
      <c r="H112" s="4" t="b">
        <v>1</v>
      </c>
      <c r="I112" s="4" t="b">
        <v>0</v>
      </c>
      <c r="J112" s="4" t="inlineStr">
        <is>
          <t>log1p</t>
        </is>
      </c>
      <c r="K112" s="4" t="inlineStr">
        <is>
          <t>none</t>
        </is>
      </c>
      <c r="L112" s="4" t="inlineStr">
        <is>
          <t>full</t>
        </is>
      </c>
      <c r="M112" s="11" t="n">
        <v>0</v>
      </c>
      <c r="N112" s="11" t="n">
        <v>-1</v>
      </c>
      <c r="O112" s="11" t="n">
        <v>-4</v>
      </c>
      <c r="P112" s="4" t="n">
        <v>1</v>
      </c>
      <c r="Q112" s="11" t="n">
        <v>0.6122249467662149</v>
      </c>
      <c r="R112" s="11" t="n">
        <v>0</v>
      </c>
      <c r="S112" s="11" t="n">
        <v>3.158696763683362</v>
      </c>
      <c r="T112" s="11" t="n">
        <v>2.371431305897925</v>
      </c>
      <c r="U112" s="11" t="n">
        <v>0.9095238095238096</v>
      </c>
      <c r="V112" s="11" t="n">
        <v>2.604995824312748</v>
      </c>
      <c r="W112" s="12" t="n">
        <v>45.39700150489807</v>
      </c>
    </row>
    <row r="113">
      <c r="A113" s="4" t="n">
        <v>112</v>
      </c>
      <c r="B113" s="4" t="inlineStr">
        <is>
          <t>tensile_MPa</t>
        </is>
      </c>
      <c r="C113" s="4" t="inlineStr">
        <is>
          <t>Exp1_kernel_screen</t>
        </is>
      </c>
      <c r="D113" s="4" t="n"/>
      <c r="E113" s="4" t="n"/>
      <c r="F113" s="4" t="inlineStr">
        <is>
          <t>GP</t>
        </is>
      </c>
      <c r="G113" s="4" t="inlineStr">
        <is>
          <t>matern12</t>
        </is>
      </c>
      <c r="H113" s="4" t="b">
        <v>0</v>
      </c>
      <c r="I113" s="4" t="b">
        <v>0</v>
      </c>
      <c r="J113" s="4" t="inlineStr">
        <is>
          <t>log1p</t>
        </is>
      </c>
      <c r="K113" s="4" t="inlineStr">
        <is>
          <t>none</t>
        </is>
      </c>
      <c r="L113" s="4" t="inlineStr">
        <is>
          <t>full</t>
        </is>
      </c>
      <c r="M113" s="11" t="n">
        <v>0</v>
      </c>
      <c r="N113" s="11" t="n">
        <v>-1</v>
      </c>
      <c r="O113" s="11" t="n">
        <v>-4</v>
      </c>
      <c r="P113" s="4" t="n">
        <v>1</v>
      </c>
      <c r="Q113" s="11" t="n">
        <v>0.6756353945336613</v>
      </c>
      <c r="R113" s="11" t="n">
        <v>0</v>
      </c>
      <c r="S113" s="11" t="n">
        <v>2.888914784126465</v>
      </c>
      <c r="T113" s="11" t="n">
        <v>2.222528989322941</v>
      </c>
      <c r="U113" s="11" t="n">
        <v>0.9333333333333332</v>
      </c>
      <c r="V113" s="11" t="n">
        <v>2.511682228893884</v>
      </c>
      <c r="W113" s="12" t="n">
        <v>1.497950077056885</v>
      </c>
    </row>
    <row r="114">
      <c r="A114" s="4" t="n">
        <v>113</v>
      </c>
      <c r="B114" s="4" t="inlineStr">
        <is>
          <t>tensile_MPa</t>
        </is>
      </c>
      <c r="C114" s="4" t="inlineStr">
        <is>
          <t>Exp1_kernel_screen</t>
        </is>
      </c>
      <c r="D114" s="4" t="n"/>
      <c r="E114" s="4" t="n"/>
      <c r="F114" s="4" t="inlineStr">
        <is>
          <t>GP</t>
        </is>
      </c>
      <c r="G114" s="4" t="inlineStr">
        <is>
          <t>matern32</t>
        </is>
      </c>
      <c r="H114" s="4" t="b">
        <v>1</v>
      </c>
      <c r="I114" s="4" t="b">
        <v>0</v>
      </c>
      <c r="J114" s="4" t="inlineStr">
        <is>
          <t>log1p</t>
        </is>
      </c>
      <c r="K114" s="4" t="inlineStr">
        <is>
          <t>none</t>
        </is>
      </c>
      <c r="L114" s="4" t="inlineStr">
        <is>
          <t>full</t>
        </is>
      </c>
      <c r="M114" s="11" t="n">
        <v>0</v>
      </c>
      <c r="N114" s="11" t="n">
        <v>-1</v>
      </c>
      <c r="O114" s="11" t="n">
        <v>-4</v>
      </c>
      <c r="P114" s="4" t="n">
        <v>1</v>
      </c>
      <c r="Q114" s="11" t="n">
        <v>0.6362325907751273</v>
      </c>
      <c r="R114" s="11" t="n">
        <v>0</v>
      </c>
      <c r="S114" s="11" t="n">
        <v>3.059355151512042</v>
      </c>
      <c r="T114" s="11" t="n">
        <v>2.333966341630285</v>
      </c>
      <c r="U114" s="11" t="n">
        <v>0.9285714285714286</v>
      </c>
      <c r="V114" s="11" t="n">
        <v>2.566832626157799</v>
      </c>
      <c r="W114" s="12" t="n">
        <v>47.23545265197754</v>
      </c>
    </row>
    <row r="115">
      <c r="A115" s="4" t="n">
        <v>114</v>
      </c>
      <c r="B115" s="4" t="inlineStr">
        <is>
          <t>tensile_MPa</t>
        </is>
      </c>
      <c r="C115" s="4" t="inlineStr">
        <is>
          <t>Exp1_kernel_screen</t>
        </is>
      </c>
      <c r="D115" s="4" t="n"/>
      <c r="E115" s="4" t="n"/>
      <c r="F115" s="4" t="inlineStr">
        <is>
          <t>GP</t>
        </is>
      </c>
      <c r="G115" s="4" t="inlineStr">
        <is>
          <t>matern32</t>
        </is>
      </c>
      <c r="H115" s="4" t="b">
        <v>0</v>
      </c>
      <c r="I115" s="4" t="b">
        <v>0</v>
      </c>
      <c r="J115" s="4" t="inlineStr">
        <is>
          <t>log1p</t>
        </is>
      </c>
      <c r="K115" s="4" t="inlineStr">
        <is>
          <t>none</t>
        </is>
      </c>
      <c r="L115" s="4" t="inlineStr">
        <is>
          <t>full</t>
        </is>
      </c>
      <c r="M115" s="11" t="n">
        <v>0</v>
      </c>
      <c r="N115" s="11" t="n">
        <v>-1</v>
      </c>
      <c r="O115" s="11" t="n">
        <v>-4</v>
      </c>
      <c r="P115" s="4" t="n">
        <v>1</v>
      </c>
      <c r="Q115" s="11" t="n">
        <v>0.6756425823684553</v>
      </c>
      <c r="R115" s="11" t="n">
        <v>0</v>
      </c>
      <c r="S115" s="11" t="n">
        <v>2.88888277515124</v>
      </c>
      <c r="T115" s="11" t="n">
        <v>2.278536260196891</v>
      </c>
      <c r="U115" s="11" t="n">
        <v>0.9333333333333332</v>
      </c>
      <c r="V115" s="11" t="n">
        <v>2.506311320253891</v>
      </c>
      <c r="W115" s="12" t="n">
        <v>1.782415390014648</v>
      </c>
    </row>
    <row r="116">
      <c r="A116" s="4" t="n">
        <v>115</v>
      </c>
      <c r="B116" s="4" t="inlineStr">
        <is>
          <t>tensile_MPa</t>
        </is>
      </c>
      <c r="C116" s="4" t="inlineStr">
        <is>
          <t>Exp1_kernel_screen</t>
        </is>
      </c>
      <c r="D116" s="4" t="n"/>
      <c r="E116" s="4" t="n"/>
      <c r="F116" s="4" t="inlineStr">
        <is>
          <t>GP</t>
        </is>
      </c>
      <c r="G116" s="4" t="inlineStr">
        <is>
          <t>matern52</t>
        </is>
      </c>
      <c r="H116" s="4" t="b">
        <v>1</v>
      </c>
      <c r="I116" s="4" t="b">
        <v>0</v>
      </c>
      <c r="J116" s="4" t="inlineStr">
        <is>
          <t>log1p</t>
        </is>
      </c>
      <c r="K116" s="4" t="inlineStr">
        <is>
          <t>none</t>
        </is>
      </c>
      <c r="L116" s="4" t="inlineStr">
        <is>
          <t>full</t>
        </is>
      </c>
      <c r="M116" s="11" t="n">
        <v>0</v>
      </c>
      <c r="N116" s="11" t="n">
        <v>-1</v>
      </c>
      <c r="O116" s="11" t="n">
        <v>-4</v>
      </c>
      <c r="P116" s="4" t="n">
        <v>1</v>
      </c>
      <c r="Q116" s="11" t="n">
        <v>0.6284081801309822</v>
      </c>
      <c r="R116" s="11" t="n">
        <v>0</v>
      </c>
      <c r="S116" s="11" t="n">
        <v>3.092082514426644</v>
      </c>
      <c r="T116" s="11" t="n">
        <v>2.32751408285822</v>
      </c>
      <c r="U116" s="11" t="n">
        <v>0.9047619047619048</v>
      </c>
      <c r="V116" s="11" t="n">
        <v>2.583890292605008</v>
      </c>
      <c r="W116" s="12" t="n">
        <v>48.3803288936615</v>
      </c>
    </row>
    <row r="117">
      <c r="A117" s="4" t="n">
        <v>116</v>
      </c>
      <c r="B117" s="4" t="inlineStr">
        <is>
          <t>tensile_MPa</t>
        </is>
      </c>
      <c r="C117" s="4" t="inlineStr">
        <is>
          <t>Exp1_kernel_screen</t>
        </is>
      </c>
      <c r="D117" s="4" t="n"/>
      <c r="E117" s="4" t="n"/>
      <c r="F117" s="4" t="inlineStr">
        <is>
          <t>GP</t>
        </is>
      </c>
      <c r="G117" s="4" t="inlineStr">
        <is>
          <t>matern52</t>
        </is>
      </c>
      <c r="H117" s="4" t="b">
        <v>0</v>
      </c>
      <c r="I117" s="4" t="b">
        <v>0</v>
      </c>
      <c r="J117" s="4" t="inlineStr">
        <is>
          <t>log1p</t>
        </is>
      </c>
      <c r="K117" s="4" t="inlineStr">
        <is>
          <t>none</t>
        </is>
      </c>
      <c r="L117" s="4" t="inlineStr">
        <is>
          <t>full</t>
        </is>
      </c>
      <c r="M117" s="11" t="n">
        <v>0</v>
      </c>
      <c r="N117" s="11" t="n">
        <v>-1</v>
      </c>
      <c r="O117" s="11" t="n">
        <v>-4</v>
      </c>
      <c r="P117" s="4" t="n">
        <v>1</v>
      </c>
      <c r="Q117" s="11" t="n">
        <v>0.6751243555534266</v>
      </c>
      <c r="R117" s="11" t="n">
        <v>0</v>
      </c>
      <c r="S117" s="11" t="n">
        <v>2.891189642416385</v>
      </c>
      <c r="T117" s="11" t="n">
        <v>2.291451880657585</v>
      </c>
      <c r="U117" s="11" t="n">
        <v>0.938095238095238</v>
      </c>
      <c r="V117" s="11" t="n">
        <v>2.506281031658649</v>
      </c>
      <c r="W117" s="12" t="n">
        <v>1.737598657608032</v>
      </c>
    </row>
    <row r="118">
      <c r="A118" s="4" t="n">
        <v>117</v>
      </c>
      <c r="B118" s="4" t="inlineStr">
        <is>
          <t>tensile_MPa</t>
        </is>
      </c>
      <c r="C118" s="4" t="inlineStr">
        <is>
          <t>Exp1_kernel_screen</t>
        </is>
      </c>
      <c r="D118" s="4" t="n"/>
      <c r="E118" s="4" t="n"/>
      <c r="F118" s="4" t="inlineStr">
        <is>
          <t>GP</t>
        </is>
      </c>
      <c r="G118" s="4" t="inlineStr">
        <is>
          <t>rq</t>
        </is>
      </c>
      <c r="H118" s="4" t="b">
        <v>0</v>
      </c>
      <c r="I118" s="4" t="b">
        <v>0</v>
      </c>
      <c r="J118" s="4" t="inlineStr">
        <is>
          <t>log1p</t>
        </is>
      </c>
      <c r="K118" s="4" t="inlineStr">
        <is>
          <t>none</t>
        </is>
      </c>
      <c r="L118" s="4" t="inlineStr">
        <is>
          <t>full</t>
        </is>
      </c>
      <c r="M118" s="11" t="n">
        <v>0</v>
      </c>
      <c r="N118" s="11" t="n">
        <v>-1</v>
      </c>
      <c r="O118" s="11" t="n">
        <v>-4</v>
      </c>
      <c r="P118" s="4" t="n">
        <v>1</v>
      </c>
      <c r="Q118" s="11" t="n">
        <v>0.673650441616902</v>
      </c>
      <c r="R118" s="11" t="n">
        <v>0</v>
      </c>
      <c r="S118" s="11" t="n">
        <v>2.897740675732684</v>
      </c>
      <c r="T118" s="11" t="n">
        <v>2.305701336422798</v>
      </c>
      <c r="U118" s="11" t="n">
        <v>0.938095238095238</v>
      </c>
      <c r="V118" s="11" t="n">
        <v>2.506021193612412</v>
      </c>
      <c r="W118" s="12" t="n">
        <v>4.550157785415649</v>
      </c>
    </row>
    <row r="119">
      <c r="A119" s="4" t="n">
        <v>118</v>
      </c>
      <c r="B119" s="4" t="inlineStr">
        <is>
          <t>tensile_MPa</t>
        </is>
      </c>
      <c r="C119" s="4" t="inlineStr">
        <is>
          <t>Exp2_BO</t>
        </is>
      </c>
      <c r="D119" s="4" t="n">
        <v>0</v>
      </c>
      <c r="E119" s="4" t="n">
        <v>0</v>
      </c>
      <c r="F119" s="4" t="inlineStr">
        <is>
          <t>GP</t>
        </is>
      </c>
      <c r="G119" s="4" t="inlineStr">
        <is>
          <t>rq</t>
        </is>
      </c>
      <c r="H119" s="4" t="b">
        <v>0</v>
      </c>
      <c r="I119" s="4" t="b">
        <v>1</v>
      </c>
      <c r="J119" s="4" t="inlineStr">
        <is>
          <t>std</t>
        </is>
      </c>
      <c r="K119" s="4" t="inlineStr">
        <is>
          <t>none</t>
        </is>
      </c>
      <c r="L119" s="4" t="inlineStr">
        <is>
          <t>full</t>
        </is>
      </c>
      <c r="M119" s="11" t="n">
        <v>-0.9669447289429418</v>
      </c>
      <c r="N119" s="11" t="n">
        <v>-0.5601892823991825</v>
      </c>
      <c r="O119" s="11" t="n">
        <v>-2.348977690889113</v>
      </c>
      <c r="P119" s="4" t="n">
        <v>1</v>
      </c>
      <c r="Q119" s="11" t="n">
        <v>0.06476280448417419</v>
      </c>
      <c r="R119" s="11" t="n">
        <v>0</v>
      </c>
      <c r="S119" s="11" t="n">
        <v>4.905450388667651</v>
      </c>
      <c r="T119" s="11" t="n">
        <v>2.813446323059544</v>
      </c>
      <c r="U119" s="11" t="n">
        <v>0.919047619047619</v>
      </c>
      <c r="V119" s="11" t="n">
        <v>2.606022023437337</v>
      </c>
      <c r="W119" s="12" t="n">
        <v>7.470299482345581</v>
      </c>
    </row>
    <row r="120">
      <c r="A120" s="4" t="n">
        <v>119</v>
      </c>
      <c r="B120" s="4" t="inlineStr">
        <is>
          <t>tensile_MPa</t>
        </is>
      </c>
      <c r="C120" s="4" t="inlineStr">
        <is>
          <t>Exp2_BO</t>
        </is>
      </c>
      <c r="D120" s="4" t="n">
        <v>0</v>
      </c>
      <c r="E120" s="4" t="n">
        <v>1</v>
      </c>
      <c r="F120" s="4" t="inlineStr">
        <is>
          <t>GP</t>
        </is>
      </c>
      <c r="G120" s="4" t="inlineStr">
        <is>
          <t>matern32</t>
        </is>
      </c>
      <c r="H120" s="4" t="b">
        <v>0</v>
      </c>
      <c r="I120" s="4" t="b">
        <v>1</v>
      </c>
      <c r="J120" s="4" t="inlineStr">
        <is>
          <t>log1p</t>
        </is>
      </c>
      <c r="K120" s="4" t="inlineStr">
        <is>
          <t>log</t>
        </is>
      </c>
      <c r="L120" s="4" t="inlineStr">
        <is>
          <t>full_cure6</t>
        </is>
      </c>
      <c r="M120" s="11" t="n">
        <v>0.8701448475755365</v>
      </c>
      <c r="N120" s="11" t="n">
        <v>-0.5524393376354038</v>
      </c>
      <c r="O120" s="11" t="n">
        <v>-5.989045999319408</v>
      </c>
      <c r="P120" s="4" t="n">
        <v>1</v>
      </c>
      <c r="Q120" s="11" t="n">
        <v>0.6691652408656132</v>
      </c>
      <c r="R120" s="11" t="n">
        <v>0</v>
      </c>
      <c r="S120" s="11" t="n">
        <v>2.917585343102896</v>
      </c>
      <c r="T120" s="11" t="n">
        <v>2.259462385602301</v>
      </c>
      <c r="U120" s="11" t="n">
        <v>0.938095238095238</v>
      </c>
      <c r="V120" s="11" t="n">
        <v>2.498271857065281</v>
      </c>
      <c r="W120" s="12" t="n">
        <v>4.950526714324951</v>
      </c>
    </row>
    <row r="121">
      <c r="A121" s="4" t="n">
        <v>120</v>
      </c>
      <c r="B121" s="4" t="inlineStr">
        <is>
          <t>tensile_MPa</t>
        </is>
      </c>
      <c r="C121" s="4" t="inlineStr">
        <is>
          <t>Exp2_BO</t>
        </is>
      </c>
      <c r="D121" s="4" t="n">
        <v>0</v>
      </c>
      <c r="E121" s="4" t="n">
        <v>2</v>
      </c>
      <c r="F121" s="4" t="inlineStr">
        <is>
          <t>GP</t>
        </is>
      </c>
      <c r="G121" s="4" t="inlineStr">
        <is>
          <t>matern12</t>
        </is>
      </c>
      <c r="H121" s="4" t="b">
        <v>0</v>
      </c>
      <c r="I121" s="4" t="b">
        <v>1</v>
      </c>
      <c r="J121" s="4" t="inlineStr">
        <is>
          <t>std</t>
        </is>
      </c>
      <c r="K121" s="4" t="inlineStr">
        <is>
          <t>log</t>
        </is>
      </c>
      <c r="L121" s="4" t="inlineStr">
        <is>
          <t>full_cure6</t>
        </is>
      </c>
      <c r="M121" s="11" t="n">
        <v>-0.648688758794882</v>
      </c>
      <c r="N121" s="11" t="n">
        <v>-0.4104632329503404</v>
      </c>
      <c r="O121" s="11" t="n">
        <v>-3.834155119003633</v>
      </c>
      <c r="P121" s="4" t="n">
        <v>1</v>
      </c>
      <c r="Q121" s="11" t="n">
        <v>0.6348293146253471</v>
      </c>
      <c r="R121" s="11" t="n">
        <v>0</v>
      </c>
      <c r="S121" s="11" t="n">
        <v>3.065250385210892</v>
      </c>
      <c r="T121" s="11" t="n">
        <v>2.358017298257061</v>
      </c>
      <c r="U121" s="11" t="n">
        <v>0.938095238095238</v>
      </c>
      <c r="V121" s="11" t="n">
        <v>2.559681474990279</v>
      </c>
      <c r="W121" s="12" t="n">
        <v>4.1762855052948</v>
      </c>
    </row>
    <row r="122">
      <c r="A122" s="4" t="n">
        <v>121</v>
      </c>
      <c r="B122" s="4" t="inlineStr">
        <is>
          <t>tensile_MPa</t>
        </is>
      </c>
      <c r="C122" s="4" t="inlineStr">
        <is>
          <t>Exp2_BO</t>
        </is>
      </c>
      <c r="D122" s="4" t="n">
        <v>0</v>
      </c>
      <c r="E122" s="4" t="n">
        <v>3</v>
      </c>
      <c r="F122" s="4" t="inlineStr">
        <is>
          <t>GP</t>
        </is>
      </c>
      <c r="G122" s="4" t="inlineStr">
        <is>
          <t>rbf</t>
        </is>
      </c>
      <c r="H122" s="4" t="b">
        <v>1</v>
      </c>
      <c r="I122" s="4" t="b">
        <v>0</v>
      </c>
      <c r="J122" s="4" t="inlineStr">
        <is>
          <t>std</t>
        </is>
      </c>
      <c r="K122" s="4" t="inlineStr">
        <is>
          <t>none</t>
        </is>
      </c>
      <c r="L122" s="4" t="inlineStr">
        <is>
          <t>full</t>
        </is>
      </c>
      <c r="M122" s="11" t="n">
        <v>-0.7514334470008721</v>
      </c>
      <c r="N122" s="11" t="n">
        <v>-0.9881267559191088</v>
      </c>
      <c r="O122" s="11" t="n">
        <v>-3.411241953703</v>
      </c>
      <c r="P122" s="4" t="n">
        <v>1</v>
      </c>
      <c r="Q122" s="11" t="n">
        <v>0.526234008175489</v>
      </c>
      <c r="R122" s="11" t="n">
        <v>0</v>
      </c>
      <c r="S122" s="11" t="n">
        <v>3.491402702345865</v>
      </c>
      <c r="T122" s="11" t="n">
        <v>2.527293179288016</v>
      </c>
      <c r="U122" s="11" t="n">
        <v>0.8857142857142857</v>
      </c>
      <c r="V122" s="11" t="n">
        <v>2.626845869703721</v>
      </c>
      <c r="W122" s="12" t="n">
        <v>28.2738037109375</v>
      </c>
    </row>
    <row r="123">
      <c r="A123" s="4" t="n">
        <v>122</v>
      </c>
      <c r="B123" s="4" t="inlineStr">
        <is>
          <t>tensile_MPa</t>
        </is>
      </c>
      <c r="C123" s="4" t="inlineStr">
        <is>
          <t>Exp2_BO</t>
        </is>
      </c>
      <c r="D123" s="4" t="n">
        <v>0</v>
      </c>
      <c r="E123" s="4" t="n">
        <v>4</v>
      </c>
      <c r="F123" s="4" t="inlineStr">
        <is>
          <t>GP</t>
        </is>
      </c>
      <c r="G123" s="4" t="inlineStr">
        <is>
          <t>matern12</t>
        </is>
      </c>
      <c r="H123" s="4" t="b">
        <v>0</v>
      </c>
      <c r="I123" s="4" t="b">
        <v>1</v>
      </c>
      <c r="J123" s="4" t="inlineStr">
        <is>
          <t>std</t>
        </is>
      </c>
      <c r="K123" s="4" t="inlineStr">
        <is>
          <t>none</t>
        </is>
      </c>
      <c r="L123" s="4" t="inlineStr">
        <is>
          <t>compact</t>
        </is>
      </c>
      <c r="M123" s="11" t="n">
        <v>0.9616706775524602</v>
      </c>
      <c r="N123" s="11" t="n">
        <v>-0.943374046557916</v>
      </c>
      <c r="O123" s="11" t="n">
        <v>-3.398162894928735</v>
      </c>
      <c r="P123" s="4" t="n">
        <v>1</v>
      </c>
      <c r="Q123" s="11" t="n">
        <v>0.4629804824502056</v>
      </c>
      <c r="R123" s="11" t="n">
        <v>0</v>
      </c>
      <c r="S123" s="11" t="n">
        <v>3.717175254937317</v>
      </c>
      <c r="T123" s="11" t="n">
        <v>2.711266574597689</v>
      </c>
      <c r="U123" s="11" t="n">
        <v>0.9333333333333332</v>
      </c>
      <c r="V123" s="11" t="n">
        <v>2.654532894276742</v>
      </c>
      <c r="W123" s="12" t="n">
        <v>7.429749250411987</v>
      </c>
    </row>
    <row r="124">
      <c r="A124" s="4" t="n">
        <v>123</v>
      </c>
      <c r="B124" s="4" t="inlineStr">
        <is>
          <t>tensile_MPa</t>
        </is>
      </c>
      <c r="C124" s="4" t="inlineStr">
        <is>
          <t>Exp2_BO</t>
        </is>
      </c>
      <c r="D124" s="4" t="n">
        <v>0</v>
      </c>
      <c r="E124" s="4" t="n">
        <v>5</v>
      </c>
      <c r="F124" s="4" t="inlineStr">
        <is>
          <t>GP</t>
        </is>
      </c>
      <c r="G124" s="4" t="inlineStr">
        <is>
          <t>rq</t>
        </is>
      </c>
      <c r="H124" s="4" t="b">
        <v>0</v>
      </c>
      <c r="I124" s="4" t="b">
        <v>1</v>
      </c>
      <c r="J124" s="4" t="inlineStr">
        <is>
          <t>std</t>
        </is>
      </c>
      <c r="K124" s="4" t="inlineStr">
        <is>
          <t>log</t>
        </is>
      </c>
      <c r="L124" s="4" t="inlineStr">
        <is>
          <t>full</t>
        </is>
      </c>
      <c r="M124" s="11" t="n">
        <v>0.4429766803881634</v>
      </c>
      <c r="N124" s="11" t="n">
        <v>-1.423937032572822</v>
      </c>
      <c r="O124" s="11" t="n">
        <v>-4.759032497764178</v>
      </c>
      <c r="P124" s="4" t="n">
        <v>1</v>
      </c>
      <c r="Q124" s="11" t="n">
        <v>0.5698299652175026</v>
      </c>
      <c r="R124" s="11" t="n">
        <v>0</v>
      </c>
      <c r="S124" s="11" t="n">
        <v>3.32688722715908</v>
      </c>
      <c r="T124" s="11" t="n">
        <v>2.52391262529439</v>
      </c>
      <c r="U124" s="11" t="n">
        <v>0.9476190476190476</v>
      </c>
      <c r="V124" s="11" t="n">
        <v>2.581242051078505</v>
      </c>
      <c r="W124" s="12" t="n">
        <v>7.681209564208984</v>
      </c>
    </row>
    <row r="125">
      <c r="A125" s="4" t="n">
        <v>124</v>
      </c>
      <c r="B125" s="4" t="inlineStr">
        <is>
          <t>tensile_MPa</t>
        </is>
      </c>
      <c r="C125" s="4" t="inlineStr">
        <is>
          <t>Exp2_BO</t>
        </is>
      </c>
      <c r="D125" s="4" t="n">
        <v>0</v>
      </c>
      <c r="E125" s="4" t="n">
        <v>6</v>
      </c>
      <c r="F125" s="4" t="inlineStr">
        <is>
          <t>GP</t>
        </is>
      </c>
      <c r="G125" s="4" t="inlineStr">
        <is>
          <t>matern32</t>
        </is>
      </c>
      <c r="H125" s="4" t="b">
        <v>1</v>
      </c>
      <c r="I125" s="4" t="b">
        <v>1</v>
      </c>
      <c r="J125" s="4" t="inlineStr">
        <is>
          <t>log1p</t>
        </is>
      </c>
      <c r="K125" s="4" t="inlineStr">
        <is>
          <t>none</t>
        </is>
      </c>
      <c r="L125" s="4" t="inlineStr">
        <is>
          <t>compact</t>
        </is>
      </c>
      <c r="M125" s="11" t="n">
        <v>-0.2844096065818595</v>
      </c>
      <c r="N125" s="11" t="n">
        <v>-1.285410507810717</v>
      </c>
      <c r="O125" s="11" t="n">
        <v>-4.712522435696231</v>
      </c>
      <c r="P125" s="4" t="n">
        <v>1</v>
      </c>
      <c r="Q125" s="11" t="n">
        <v>0.5877613765927459</v>
      </c>
      <c r="R125" s="11" t="n">
        <v>0</v>
      </c>
      <c r="S125" s="11" t="n">
        <v>3.256809393378016</v>
      </c>
      <c r="T125" s="11" t="n">
        <v>2.380597866458026</v>
      </c>
      <c r="U125" s="11" t="n">
        <v>0.9285714285714286</v>
      </c>
      <c r="V125" s="11" t="n">
        <v>2.582168360309601</v>
      </c>
      <c r="W125" s="12" t="n">
        <v>33.30149602890015</v>
      </c>
    </row>
    <row r="126">
      <c r="A126" s="4" t="n">
        <v>125</v>
      </c>
      <c r="B126" s="4" t="inlineStr">
        <is>
          <t>tensile_MPa</t>
        </is>
      </c>
      <c r="C126" s="4" t="inlineStr">
        <is>
          <t>Exp2_BO</t>
        </is>
      </c>
      <c r="D126" s="4" t="n">
        <v>0</v>
      </c>
      <c r="E126" s="4" t="n">
        <v>7</v>
      </c>
      <c r="F126" s="4" t="inlineStr">
        <is>
          <t>GP</t>
        </is>
      </c>
      <c r="G126" s="4" t="inlineStr">
        <is>
          <t>matern52</t>
        </is>
      </c>
      <c r="H126" s="4" t="b">
        <v>0</v>
      </c>
      <c r="I126" s="4" t="b">
        <v>1</v>
      </c>
      <c r="J126" s="4" t="inlineStr">
        <is>
          <t>std</t>
        </is>
      </c>
      <c r="K126" s="4" t="inlineStr">
        <is>
          <t>log</t>
        </is>
      </c>
      <c r="L126" s="4" t="inlineStr">
        <is>
          <t>full_agg</t>
        </is>
      </c>
      <c r="M126" s="11" t="n">
        <v>0.7805487040095846</v>
      </c>
      <c r="N126" s="11" t="n">
        <v>-2.318527219399861</v>
      </c>
      <c r="O126" s="11" t="n">
        <v>-3.50725142125583</v>
      </c>
      <c r="P126" s="4" t="n">
        <v>1</v>
      </c>
      <c r="Q126" s="11" t="n">
        <v>0.5508338343625567</v>
      </c>
      <c r="R126" s="11" t="n">
        <v>0</v>
      </c>
      <c r="S126" s="11" t="n">
        <v>3.39955067815624</v>
      </c>
      <c r="T126" s="11" t="n">
        <v>2.537435737322087</v>
      </c>
      <c r="U126" s="11" t="n">
        <v>0.9523809523809524</v>
      </c>
      <c r="V126" s="11" t="n">
        <v>2.571929391264785</v>
      </c>
      <c r="W126" s="12" t="n">
        <v>8.217965364456177</v>
      </c>
    </row>
    <row r="127">
      <c r="A127" s="4" t="n">
        <v>126</v>
      </c>
      <c r="B127" s="4" t="inlineStr">
        <is>
          <t>tensile_MPa</t>
        </is>
      </c>
      <c r="C127" s="4" t="inlineStr">
        <is>
          <t>Exp2_BO</t>
        </is>
      </c>
      <c r="D127" s="4" t="n">
        <v>0</v>
      </c>
      <c r="E127" s="4" t="n">
        <v>8</v>
      </c>
      <c r="F127" s="4" t="inlineStr">
        <is>
          <t>GP</t>
        </is>
      </c>
      <c r="G127" s="4" t="inlineStr">
        <is>
          <t>matern32</t>
        </is>
      </c>
      <c r="H127" s="4" t="b">
        <v>0</v>
      </c>
      <c r="I127" s="4" t="b">
        <v>1</v>
      </c>
      <c r="J127" s="4" t="inlineStr">
        <is>
          <t>log1p</t>
        </is>
      </c>
      <c r="K127" s="4" t="inlineStr">
        <is>
          <t>log</t>
        </is>
      </c>
      <c r="L127" s="4" t="inlineStr">
        <is>
          <t>compact</t>
        </is>
      </c>
      <c r="M127" s="11" t="n">
        <v>0.8701448475755365</v>
      </c>
      <c r="N127" s="11" t="n">
        <v>-0.5524393376354038</v>
      </c>
      <c r="O127" s="11" t="n">
        <v>-5.989045999319408</v>
      </c>
      <c r="P127" s="4" t="n">
        <v>1</v>
      </c>
      <c r="Q127" s="11" t="n">
        <v>0.5134990905555217</v>
      </c>
      <c r="R127" s="11" t="n">
        <v>0</v>
      </c>
      <c r="S127" s="11" t="n">
        <v>3.538016309636667</v>
      </c>
      <c r="T127" s="11" t="n">
        <v>2.753804187635959</v>
      </c>
      <c r="U127" s="11" t="n">
        <v>0.919047619047619</v>
      </c>
      <c r="V127" s="11" t="n">
        <v>2.802799891588548</v>
      </c>
      <c r="W127" s="12" t="n">
        <v>5.486409902572632</v>
      </c>
    </row>
    <row r="128">
      <c r="A128" s="4" t="n">
        <v>127</v>
      </c>
      <c r="B128" s="4" t="inlineStr">
        <is>
          <t>tensile_MPa</t>
        </is>
      </c>
      <c r="C128" s="4" t="inlineStr">
        <is>
          <t>Exp2_BO</t>
        </is>
      </c>
      <c r="D128" s="4" t="n">
        <v>0</v>
      </c>
      <c r="E128" s="4" t="n">
        <v>9</v>
      </c>
      <c r="F128" s="4" t="inlineStr">
        <is>
          <t>GP</t>
        </is>
      </c>
      <c r="G128" s="4" t="inlineStr">
        <is>
          <t>matern32</t>
        </is>
      </c>
      <c r="H128" s="4" t="b">
        <v>1</v>
      </c>
      <c r="I128" s="4" t="b">
        <v>1</v>
      </c>
      <c r="J128" s="4" t="inlineStr">
        <is>
          <t>log1p</t>
        </is>
      </c>
      <c r="K128" s="4" t="inlineStr">
        <is>
          <t>none</t>
        </is>
      </c>
      <c r="L128" s="4" t="inlineStr">
        <is>
          <t>full</t>
        </is>
      </c>
      <c r="M128" s="11" t="n">
        <v>-0.5109659705863066</v>
      </c>
      <c r="N128" s="11" t="n">
        <v>-1.890327182811968</v>
      </c>
      <c r="O128" s="11" t="n">
        <v>-4.813546770099746</v>
      </c>
      <c r="P128" s="4" t="n">
        <v>1</v>
      </c>
      <c r="Q128" s="11" t="n">
        <v>0.6093816845067163</v>
      </c>
      <c r="R128" s="11" t="n">
        <v>0</v>
      </c>
      <c r="S128" s="11" t="n">
        <v>3.170255785556299</v>
      </c>
      <c r="T128" s="11" t="n">
        <v>2.377805086872163</v>
      </c>
      <c r="U128" s="11" t="n">
        <v>0.9047619047619048</v>
      </c>
      <c r="V128" s="11" t="n">
        <v>2.595769181722778</v>
      </c>
      <c r="W128" s="12" t="n">
        <v>69.74566769599915</v>
      </c>
    </row>
    <row r="129">
      <c r="A129" s="4" t="n">
        <v>128</v>
      </c>
      <c r="B129" s="4" t="inlineStr">
        <is>
          <t>tensile_MPa</t>
        </is>
      </c>
      <c r="C129" s="4" t="inlineStr">
        <is>
          <t>Exp2_BO</t>
        </is>
      </c>
      <c r="D129" s="4" t="n">
        <v>0</v>
      </c>
      <c r="E129" s="4" t="n">
        <v>10</v>
      </c>
      <c r="F129" s="4" t="inlineStr">
        <is>
          <t>GP</t>
        </is>
      </c>
      <c r="G129" s="4" t="inlineStr">
        <is>
          <t>matern52</t>
        </is>
      </c>
      <c r="H129" s="4" t="b">
        <v>0</v>
      </c>
      <c r="I129" s="4" t="b">
        <v>0</v>
      </c>
      <c r="J129" s="4" t="inlineStr">
        <is>
          <t>std</t>
        </is>
      </c>
      <c r="K129" s="4" t="inlineStr">
        <is>
          <t>log</t>
        </is>
      </c>
      <c r="L129" s="4" t="inlineStr">
        <is>
          <t>full_cure6</t>
        </is>
      </c>
      <c r="M129" s="11" t="n">
        <v>-0.2903498430464992</v>
      </c>
      <c r="N129" s="11" t="n">
        <v>-2.907898583087891</v>
      </c>
      <c r="O129" s="11" t="n">
        <v>-5.071480379531362</v>
      </c>
      <c r="P129" s="4" t="n">
        <v>1</v>
      </c>
      <c r="Q129" s="11" t="n">
        <v>0.5737926599388568</v>
      </c>
      <c r="R129" s="11" t="n">
        <v>0</v>
      </c>
      <c r="S129" s="11" t="n">
        <v>3.311528253666605</v>
      </c>
      <c r="T129" s="11" t="n">
        <v>2.485868717187868</v>
      </c>
      <c r="U129" s="11" t="n">
        <v>0.9285714285714286</v>
      </c>
      <c r="V129" s="11" t="n">
        <v>2.566357317893144</v>
      </c>
      <c r="W129" s="12" t="n">
        <v>1.822029829025269</v>
      </c>
    </row>
    <row r="130">
      <c r="A130" s="4" t="n">
        <v>129</v>
      </c>
      <c r="B130" s="4" t="inlineStr">
        <is>
          <t>tensile_MPa</t>
        </is>
      </c>
      <c r="C130" s="4" t="inlineStr">
        <is>
          <t>Exp2_BO</t>
        </is>
      </c>
      <c r="D130" s="4" t="n">
        <v>0</v>
      </c>
      <c r="E130" s="4" t="n">
        <v>11</v>
      </c>
      <c r="F130" s="4" t="inlineStr">
        <is>
          <t>GP</t>
        </is>
      </c>
      <c r="G130" s="4" t="inlineStr">
        <is>
          <t>rbf</t>
        </is>
      </c>
      <c r="H130" s="4" t="b">
        <v>1</v>
      </c>
      <c r="I130" s="4" t="b">
        <v>1</v>
      </c>
      <c r="J130" s="4" t="inlineStr">
        <is>
          <t>log1p</t>
        </is>
      </c>
      <c r="K130" s="4" t="inlineStr">
        <is>
          <t>log</t>
        </is>
      </c>
      <c r="L130" s="4" t="inlineStr">
        <is>
          <t>full_cure6</t>
        </is>
      </c>
      <c r="M130" s="11" t="n">
        <v>0.9778902590152008</v>
      </c>
      <c r="N130" s="11" t="n">
        <v>-2.966647705045642</v>
      </c>
      <c r="O130" s="11" t="n">
        <v>-4.553485950962797</v>
      </c>
      <c r="P130" s="4" t="n">
        <v>1</v>
      </c>
      <c r="Q130" s="11" t="n">
        <v>0.5535126033646043</v>
      </c>
      <c r="R130" s="11" t="n">
        <v>0</v>
      </c>
      <c r="S130" s="11" t="n">
        <v>3.389398278022994</v>
      </c>
      <c r="T130" s="11" t="n">
        <v>2.547348307745015</v>
      </c>
      <c r="U130" s="11" t="n">
        <v>0.8904761904761904</v>
      </c>
      <c r="V130" s="11" t="n">
        <v>2.877801993540722</v>
      </c>
      <c r="W130" s="12" t="n">
        <v>23.61402797698974</v>
      </c>
    </row>
    <row r="131">
      <c r="A131" s="4" t="n">
        <v>130</v>
      </c>
      <c r="B131" s="4" t="inlineStr">
        <is>
          <t>tensile_MPa</t>
        </is>
      </c>
      <c r="C131" s="4" t="inlineStr">
        <is>
          <t>Exp2_BO</t>
        </is>
      </c>
      <c r="D131" s="4" t="n">
        <v>0</v>
      </c>
      <c r="E131" s="4" t="n">
        <v>12</v>
      </c>
      <c r="F131" s="4" t="inlineStr">
        <is>
          <t>GP</t>
        </is>
      </c>
      <c r="G131" s="4" t="inlineStr">
        <is>
          <t>matern52</t>
        </is>
      </c>
      <c r="H131" s="4" t="b">
        <v>1</v>
      </c>
      <c r="I131" s="4" t="b">
        <v>0</v>
      </c>
      <c r="J131" s="4" t="inlineStr">
        <is>
          <t>log1p</t>
        </is>
      </c>
      <c r="K131" s="4" t="inlineStr">
        <is>
          <t>log</t>
        </is>
      </c>
      <c r="L131" s="4" t="inlineStr">
        <is>
          <t>full</t>
        </is>
      </c>
      <c r="M131" s="11" t="n">
        <v>-0.4189325677149229</v>
      </c>
      <c r="N131" s="11" t="n">
        <v>-2.093767872082798</v>
      </c>
      <c r="O131" s="11" t="n">
        <v>-3.712824440853271</v>
      </c>
      <c r="P131" s="4" t="n">
        <v>1</v>
      </c>
      <c r="Q131" s="11" t="n">
        <v>0.557248226305646</v>
      </c>
      <c r="R131" s="11" t="n">
        <v>0</v>
      </c>
      <c r="S131" s="11" t="n">
        <v>3.375189468118618</v>
      </c>
      <c r="T131" s="11" t="n">
        <v>2.499685804082567</v>
      </c>
      <c r="U131" s="11" t="n">
        <v>0.8904761904761904</v>
      </c>
      <c r="V131" s="11" t="n">
        <v>2.701402191792021</v>
      </c>
      <c r="W131" s="12" t="n">
        <v>53.13831043243408</v>
      </c>
    </row>
    <row r="132">
      <c r="A132" s="4" t="n">
        <v>131</v>
      </c>
      <c r="B132" s="4" t="inlineStr">
        <is>
          <t>tensile_MPa</t>
        </is>
      </c>
      <c r="C132" s="4" t="inlineStr">
        <is>
          <t>Exp2_BO</t>
        </is>
      </c>
      <c r="D132" s="4" t="n">
        <v>0</v>
      </c>
      <c r="E132" s="4" t="n">
        <v>13</v>
      </c>
      <c r="F132" s="4" t="inlineStr">
        <is>
          <t>GP</t>
        </is>
      </c>
      <c r="G132" s="4" t="inlineStr">
        <is>
          <t>rbf</t>
        </is>
      </c>
      <c r="H132" s="4" t="b">
        <v>1</v>
      </c>
      <c r="I132" s="4" t="b">
        <v>0</v>
      </c>
      <c r="J132" s="4" t="inlineStr">
        <is>
          <t>std</t>
        </is>
      </c>
      <c r="K132" s="4" t="inlineStr">
        <is>
          <t>log</t>
        </is>
      </c>
      <c r="L132" s="4" t="inlineStr">
        <is>
          <t>compact</t>
        </is>
      </c>
      <c r="M132" s="11" t="n">
        <v>-0.8419377648474144</v>
      </c>
      <c r="N132" s="11" t="n">
        <v>-2.193898028104499</v>
      </c>
      <c r="O132" s="11" t="n">
        <v>-3.965854103019547</v>
      </c>
      <c r="P132" s="4" t="n">
        <v>1</v>
      </c>
      <c r="Q132" s="11" t="n">
        <v>0.4901201589261112</v>
      </c>
      <c r="R132" s="11" t="n">
        <v>0</v>
      </c>
      <c r="S132" s="11" t="n">
        <v>3.622029000491838</v>
      </c>
      <c r="T132" s="11" t="n">
        <v>2.541310820406021</v>
      </c>
      <c r="U132" s="11" t="n">
        <v>0.9047619047619048</v>
      </c>
      <c r="V132" s="11" t="n">
        <v>2.779119411705221</v>
      </c>
      <c r="W132" s="12" t="n">
        <v>20.01457691192627</v>
      </c>
    </row>
    <row r="133">
      <c r="A133" s="4" t="n">
        <v>132</v>
      </c>
      <c r="B133" s="4" t="inlineStr">
        <is>
          <t>tensile_MPa</t>
        </is>
      </c>
      <c r="C133" s="4" t="inlineStr">
        <is>
          <t>Exp2_BO</t>
        </is>
      </c>
      <c r="D133" s="4" t="n">
        <v>0</v>
      </c>
      <c r="E133" s="4" t="n">
        <v>14</v>
      </c>
      <c r="F133" s="4" t="inlineStr">
        <is>
          <t>GP</t>
        </is>
      </c>
      <c r="G133" s="4" t="inlineStr">
        <is>
          <t>matern32</t>
        </is>
      </c>
      <c r="H133" s="4" t="b">
        <v>1</v>
      </c>
      <c r="I133" s="4" t="b">
        <v>1</v>
      </c>
      <c r="J133" s="4" t="inlineStr">
        <is>
          <t>log1p</t>
        </is>
      </c>
      <c r="K133" s="4" t="inlineStr">
        <is>
          <t>none</t>
        </is>
      </c>
      <c r="L133" s="4" t="inlineStr">
        <is>
          <t>full_cure6</t>
        </is>
      </c>
      <c r="M133" s="11" t="n">
        <v>-0.3333790681937632</v>
      </c>
      <c r="N133" s="11" t="n">
        <v>-2.982797831036133</v>
      </c>
      <c r="O133" s="11" t="n">
        <v>-5.007783030443895</v>
      </c>
      <c r="P133" s="4" t="n">
        <v>1</v>
      </c>
      <c r="Q133" s="11" t="n">
        <v>0.6126634671821534</v>
      </c>
      <c r="R133" s="11" t="n">
        <v>0</v>
      </c>
      <c r="S133" s="11" t="n">
        <v>3.156910231990313</v>
      </c>
      <c r="T133" s="11" t="n">
        <v>2.312323954025767</v>
      </c>
      <c r="U133" s="11" t="n">
        <v>0.8904761904761904</v>
      </c>
      <c r="V133" s="11" t="n">
        <v>2.577865977775434</v>
      </c>
      <c r="W133" s="12" t="n">
        <v>69.25990676879883</v>
      </c>
    </row>
    <row r="134">
      <c r="A134" s="4" t="n">
        <v>133</v>
      </c>
      <c r="B134" s="4" t="inlineStr">
        <is>
          <t>tensile_MPa</t>
        </is>
      </c>
      <c r="C134" s="4" t="inlineStr">
        <is>
          <t>Exp2_BO</t>
        </is>
      </c>
      <c r="D134" s="4" t="n">
        <v>0</v>
      </c>
      <c r="E134" s="4" t="n">
        <v>15</v>
      </c>
      <c r="F134" s="4" t="inlineStr">
        <is>
          <t>GP</t>
        </is>
      </c>
      <c r="G134" s="4" t="inlineStr">
        <is>
          <t>matern52</t>
        </is>
      </c>
      <c r="H134" s="4" t="b">
        <v>0</v>
      </c>
      <c r="I134" s="4" t="b">
        <v>0</v>
      </c>
      <c r="J134" s="4" t="inlineStr">
        <is>
          <t>log1p</t>
        </is>
      </c>
      <c r="K134" s="4" t="inlineStr">
        <is>
          <t>log</t>
        </is>
      </c>
      <c r="L134" s="4" t="inlineStr">
        <is>
          <t>full_cure6</t>
        </is>
      </c>
      <c r="M134" s="11" t="n">
        <v>-0.1078111965932209</v>
      </c>
      <c r="N134" s="11" t="n">
        <v>-0.07029799341111601</v>
      </c>
      <c r="O134" s="11" t="n">
        <v>-3.061756747393491</v>
      </c>
      <c r="P134" s="4" t="n">
        <v>1</v>
      </c>
      <c r="Q134" s="11" t="n">
        <v>0.6778239543211116</v>
      </c>
      <c r="R134" s="11" t="n">
        <v>0</v>
      </c>
      <c r="S134" s="11" t="n">
        <v>2.8791522149628</v>
      </c>
      <c r="T134" s="11" t="n">
        <v>2.24699340825824</v>
      </c>
      <c r="U134" s="11" t="n">
        <v>0.9523809523809524</v>
      </c>
      <c r="V134" s="11" t="n">
        <v>2.495662513758336</v>
      </c>
      <c r="W134" s="12" t="n">
        <v>2.117370367050171</v>
      </c>
    </row>
    <row r="135">
      <c r="A135" s="4" t="n">
        <v>134</v>
      </c>
      <c r="B135" s="4" t="inlineStr">
        <is>
          <t>tensile_MPa</t>
        </is>
      </c>
      <c r="C135" s="4" t="inlineStr">
        <is>
          <t>Exp2_BO</t>
        </is>
      </c>
      <c r="D135" s="4" t="n">
        <v>0</v>
      </c>
      <c r="E135" s="4" t="n">
        <v>16</v>
      </c>
      <c r="F135" s="4" t="inlineStr">
        <is>
          <t>GP</t>
        </is>
      </c>
      <c r="G135" s="4" t="inlineStr">
        <is>
          <t>matern12</t>
        </is>
      </c>
      <c r="H135" s="4" t="b">
        <v>0</v>
      </c>
      <c r="I135" s="4" t="b">
        <v>0</v>
      </c>
      <c r="J135" s="4" t="inlineStr">
        <is>
          <t>log1p</t>
        </is>
      </c>
      <c r="K135" s="4" t="inlineStr">
        <is>
          <t>log</t>
        </is>
      </c>
      <c r="L135" s="4" t="inlineStr">
        <is>
          <t>full_cure6</t>
        </is>
      </c>
      <c r="M135" s="11" t="n">
        <v>-0.8706622800607371</v>
      </c>
      <c r="N135" s="11" t="n">
        <v>-0.769109837592048</v>
      </c>
      <c r="O135" s="11" t="n">
        <v>-3.150707507283749</v>
      </c>
      <c r="P135" s="4" t="n">
        <v>1</v>
      </c>
      <c r="Q135" s="11" t="n">
        <v>0.6854790017058706</v>
      </c>
      <c r="R135" s="11" t="n">
        <v>0</v>
      </c>
      <c r="S135" s="11" t="n">
        <v>2.844741609128382</v>
      </c>
      <c r="T135" s="11" t="n">
        <v>2.192358494756668</v>
      </c>
      <c r="U135" s="11" t="n">
        <v>0.9428571428571428</v>
      </c>
      <c r="V135" s="11" t="n">
        <v>2.493080724362036</v>
      </c>
      <c r="W135" s="12" t="n">
        <v>2.658055543899536</v>
      </c>
    </row>
    <row r="136">
      <c r="A136" s="4" t="n">
        <v>135</v>
      </c>
      <c r="B136" s="4" t="inlineStr">
        <is>
          <t>tensile_MPa</t>
        </is>
      </c>
      <c r="C136" s="4" t="inlineStr">
        <is>
          <t>Exp2_BO</t>
        </is>
      </c>
      <c r="D136" s="4" t="n">
        <v>0</v>
      </c>
      <c r="E136" s="4" t="n">
        <v>17</v>
      </c>
      <c r="F136" s="4" t="inlineStr">
        <is>
          <t>GP</t>
        </is>
      </c>
      <c r="G136" s="4" t="inlineStr">
        <is>
          <t>rq</t>
        </is>
      </c>
      <c r="H136" s="4" t="b">
        <v>1</v>
      </c>
      <c r="I136" s="4" t="b">
        <v>0</v>
      </c>
      <c r="J136" s="4" t="inlineStr">
        <is>
          <t>log1p</t>
        </is>
      </c>
      <c r="K136" s="4" t="inlineStr">
        <is>
          <t>log</t>
        </is>
      </c>
      <c r="L136" s="4" t="inlineStr">
        <is>
          <t>compact</t>
        </is>
      </c>
      <c r="M136" s="11" t="n">
        <v>-0.3587199109194989</v>
      </c>
      <c r="N136" s="11" t="n">
        <v>-0.0481032996950543</v>
      </c>
      <c r="O136" s="11" t="n">
        <v>-4.845918473543952</v>
      </c>
      <c r="P136" s="4" t="n">
        <v>1</v>
      </c>
      <c r="Q136" s="11" t="n">
        <v>0.5355153845494135</v>
      </c>
      <c r="R136" s="11" t="n">
        <v>0</v>
      </c>
      <c r="S136" s="11" t="n">
        <v>3.457034147241091</v>
      </c>
      <c r="T136" s="11" t="n">
        <v>2.64053152341933</v>
      </c>
      <c r="U136" s="11" t="n">
        <v>0.938095238095238</v>
      </c>
      <c r="V136" s="11" t="n">
        <v>2.681951565151381</v>
      </c>
      <c r="W136" s="12" t="n">
        <v>3.699536085128784</v>
      </c>
    </row>
    <row r="137">
      <c r="A137" s="4" t="n">
        <v>136</v>
      </c>
      <c r="B137" s="4" t="inlineStr">
        <is>
          <t>tensile_MPa</t>
        </is>
      </c>
      <c r="C137" s="4" t="inlineStr">
        <is>
          <t>Exp2_BO</t>
        </is>
      </c>
      <c r="D137" s="4" t="n">
        <v>0</v>
      </c>
      <c r="E137" s="4" t="n">
        <v>18</v>
      </c>
      <c r="F137" s="4" t="inlineStr">
        <is>
          <t>GP</t>
        </is>
      </c>
      <c r="G137" s="4" t="inlineStr">
        <is>
          <t>matern12</t>
        </is>
      </c>
      <c r="H137" s="4" t="b">
        <v>0</v>
      </c>
      <c r="I137" s="4" t="b">
        <v>0</v>
      </c>
      <c r="J137" s="4" t="inlineStr">
        <is>
          <t>log1p</t>
        </is>
      </c>
      <c r="K137" s="4" t="inlineStr">
        <is>
          <t>log</t>
        </is>
      </c>
      <c r="L137" s="4" t="inlineStr">
        <is>
          <t>full_cure6</t>
        </is>
      </c>
      <c r="M137" s="11" t="n">
        <v>-0.8706622800607371</v>
      </c>
      <c r="N137" s="11" t="n">
        <v>0</v>
      </c>
      <c r="O137" s="11" t="n">
        <v>-3.150707507283749</v>
      </c>
      <c r="P137" s="4" t="n">
        <v>1</v>
      </c>
      <c r="Q137" s="11" t="n">
        <v>0.6854790259819021</v>
      </c>
      <c r="R137" s="11" t="n">
        <v>0</v>
      </c>
      <c r="S137" s="11" t="n">
        <v>2.844741499343918</v>
      </c>
      <c r="T137" s="11" t="n">
        <v>2.19235831800497</v>
      </c>
      <c r="U137" s="11" t="n">
        <v>0.9428571428571428</v>
      </c>
      <c r="V137" s="11" t="n">
        <v>2.493080681471693</v>
      </c>
      <c r="W137" s="12" t="n">
        <v>1.77556324005127</v>
      </c>
    </row>
    <row r="138">
      <c r="A138" s="4" t="n">
        <v>137</v>
      </c>
      <c r="B138" s="4" t="inlineStr">
        <is>
          <t>tensile_MPa</t>
        </is>
      </c>
      <c r="C138" s="4" t="inlineStr">
        <is>
          <t>Exp2_BO</t>
        </is>
      </c>
      <c r="D138" s="4" t="n">
        <v>0</v>
      </c>
      <c r="E138" s="4" t="n">
        <v>19</v>
      </c>
      <c r="F138" s="4" t="inlineStr">
        <is>
          <t>GP</t>
        </is>
      </c>
      <c r="G138" s="4" t="inlineStr">
        <is>
          <t>matern32</t>
        </is>
      </c>
      <c r="H138" s="4" t="b">
        <v>0</v>
      </c>
      <c r="I138" s="4" t="b">
        <v>0</v>
      </c>
      <c r="J138" s="4" t="inlineStr">
        <is>
          <t>log1p</t>
        </is>
      </c>
      <c r="K138" s="4" t="inlineStr">
        <is>
          <t>log</t>
        </is>
      </c>
      <c r="L138" s="4" t="inlineStr">
        <is>
          <t>full_cure6</t>
        </is>
      </c>
      <c r="M138" s="11" t="n">
        <v>-0.8924333615998954</v>
      </c>
      <c r="N138" s="11" t="n">
        <v>-0.0504509266623784</v>
      </c>
      <c r="O138" s="11" t="n">
        <v>-2.342622911426092</v>
      </c>
      <c r="P138" s="4" t="n">
        <v>1</v>
      </c>
      <c r="Q138" s="11" t="n">
        <v>0.6822201477782883</v>
      </c>
      <c r="R138" s="11" t="n">
        <v>0</v>
      </c>
      <c r="S138" s="11" t="n">
        <v>2.859441274824315</v>
      </c>
      <c r="T138" s="11" t="n">
        <v>2.224586298051954</v>
      </c>
      <c r="U138" s="11" t="n">
        <v>0.9571428571428572</v>
      </c>
      <c r="V138" s="11" t="n">
        <v>2.491921872549327</v>
      </c>
      <c r="W138" s="12" t="n">
        <v>1.922784328460693</v>
      </c>
    </row>
    <row r="139">
      <c r="A139" s="4" t="n">
        <v>138</v>
      </c>
      <c r="B139" s="4" t="inlineStr">
        <is>
          <t>tensile_MPa</t>
        </is>
      </c>
      <c r="C139" s="4" t="inlineStr">
        <is>
          <t>Exp2_BO</t>
        </is>
      </c>
      <c r="D139" s="4" t="n">
        <v>0</v>
      </c>
      <c r="E139" s="4" t="n">
        <v>20</v>
      </c>
      <c r="F139" s="4" t="inlineStr">
        <is>
          <t>GP</t>
        </is>
      </c>
      <c r="G139" s="4" t="inlineStr">
        <is>
          <t>matern12</t>
        </is>
      </c>
      <c r="H139" s="4" t="b">
        <v>1</v>
      </c>
      <c r="I139" s="4" t="b">
        <v>0</v>
      </c>
      <c r="J139" s="4" t="inlineStr">
        <is>
          <t>log1p</t>
        </is>
      </c>
      <c r="K139" s="4" t="inlineStr">
        <is>
          <t>log</t>
        </is>
      </c>
      <c r="L139" s="4" t="inlineStr">
        <is>
          <t>full_cure6</t>
        </is>
      </c>
      <c r="M139" s="11" t="n">
        <v>-0.8706622800607371</v>
      </c>
      <c r="N139" s="11" t="n">
        <v>0</v>
      </c>
      <c r="O139" s="11" t="n">
        <v>-3.150707507283749</v>
      </c>
      <c r="P139" s="4" t="n">
        <v>1</v>
      </c>
      <c r="Q139" s="11" t="n">
        <v>0.5976154440895203</v>
      </c>
      <c r="R139" s="11" t="n">
        <v>0</v>
      </c>
      <c r="S139" s="11" t="n">
        <v>3.217648904984752</v>
      </c>
      <c r="T139" s="11" t="n">
        <v>2.368693027214196</v>
      </c>
      <c r="U139" s="11" t="n">
        <v>0.9095238095238096</v>
      </c>
      <c r="V139" s="11" t="n">
        <v>2.659875736440106</v>
      </c>
      <c r="W139" s="12" t="n">
        <v>71.53076887130737</v>
      </c>
    </row>
    <row r="140">
      <c r="A140" s="4" t="n">
        <v>139</v>
      </c>
      <c r="B140" s="4" t="inlineStr">
        <is>
          <t>tensile_MPa</t>
        </is>
      </c>
      <c r="C140" s="4" t="inlineStr">
        <is>
          <t>Exp2_BO</t>
        </is>
      </c>
      <c r="D140" s="4" t="n">
        <v>0</v>
      </c>
      <c r="E140" s="4" t="n">
        <v>21</v>
      </c>
      <c r="F140" s="4" t="inlineStr">
        <is>
          <t>GP</t>
        </is>
      </c>
      <c r="G140" s="4" t="inlineStr">
        <is>
          <t>rbf</t>
        </is>
      </c>
      <c r="H140" s="4" t="b">
        <v>0</v>
      </c>
      <c r="I140" s="4" t="b">
        <v>1</v>
      </c>
      <c r="J140" s="4" t="inlineStr">
        <is>
          <t>log1p</t>
        </is>
      </c>
      <c r="K140" s="4" t="inlineStr">
        <is>
          <t>none</t>
        </is>
      </c>
      <c r="L140" s="4" t="inlineStr">
        <is>
          <t>full_agg</t>
        </is>
      </c>
      <c r="M140" s="11" t="n">
        <v>0.1776724655862547</v>
      </c>
      <c r="N140" s="11" t="n">
        <v>-1.852646608332304</v>
      </c>
      <c r="O140" s="11" t="n">
        <v>-5.982258047117517</v>
      </c>
      <c r="P140" s="4" t="n">
        <v>1</v>
      </c>
      <c r="Q140" s="11" t="n">
        <v>0.6119335518484808</v>
      </c>
      <c r="R140" s="11" t="n">
        <v>0</v>
      </c>
      <c r="S140" s="11" t="n">
        <v>3.159883347665648</v>
      </c>
      <c r="T140" s="11" t="n">
        <v>2.442767709595539</v>
      </c>
      <c r="U140" s="11" t="n">
        <v>0.9285714285714286</v>
      </c>
      <c r="V140" s="11" t="n">
        <v>2.522050165701674</v>
      </c>
      <c r="W140" s="12" t="n">
        <v>7.923424482345581</v>
      </c>
    </row>
    <row r="141">
      <c r="A141" s="4" t="n">
        <v>140</v>
      </c>
      <c r="B141" s="4" t="inlineStr">
        <is>
          <t>tensile_MPa</t>
        </is>
      </c>
      <c r="C141" s="4" t="inlineStr">
        <is>
          <t>Exp2_BO</t>
        </is>
      </c>
      <c r="D141" s="4" t="n">
        <v>0</v>
      </c>
      <c r="E141" s="4" t="n">
        <v>22</v>
      </c>
      <c r="F141" s="4" t="inlineStr">
        <is>
          <t>GP</t>
        </is>
      </c>
      <c r="G141" s="4" t="inlineStr">
        <is>
          <t>rq</t>
        </is>
      </c>
      <c r="H141" s="4" t="b">
        <v>0</v>
      </c>
      <c r="I141" s="4" t="b">
        <v>0</v>
      </c>
      <c r="J141" s="4" t="inlineStr">
        <is>
          <t>log1p</t>
        </is>
      </c>
      <c r="K141" s="4" t="inlineStr">
        <is>
          <t>none</t>
        </is>
      </c>
      <c r="L141" s="4" t="inlineStr">
        <is>
          <t>full_cure6</t>
        </is>
      </c>
      <c r="M141" s="11" t="n">
        <v>0.1093768601687341</v>
      </c>
      <c r="N141" s="11" t="n">
        <v>-0.7728029551337663</v>
      </c>
      <c r="O141" s="11" t="n">
        <v>-5.035960449331671</v>
      </c>
      <c r="P141" s="4" t="n">
        <v>1</v>
      </c>
      <c r="Q141" s="11" t="n">
        <v>0.687270576606648</v>
      </c>
      <c r="R141" s="11" t="n">
        <v>0</v>
      </c>
      <c r="S141" s="11" t="n">
        <v>2.836627927995325</v>
      </c>
      <c r="T141" s="11" t="n">
        <v>2.190176786271036</v>
      </c>
      <c r="U141" s="11" t="n">
        <v>0.9428571428571428</v>
      </c>
      <c r="V141" s="11" t="n">
        <v>2.483844571842963</v>
      </c>
      <c r="W141" s="12" t="n">
        <v>8.077919721603394</v>
      </c>
    </row>
    <row r="142">
      <c r="A142" s="4" t="n">
        <v>141</v>
      </c>
      <c r="B142" s="4" t="inlineStr">
        <is>
          <t>tensile_MPa</t>
        </is>
      </c>
      <c r="C142" s="4" t="inlineStr">
        <is>
          <t>Exp2_BO</t>
        </is>
      </c>
      <c r="D142" s="4" t="n">
        <v>0</v>
      </c>
      <c r="E142" s="4" t="n">
        <v>23</v>
      </c>
      <c r="F142" s="4" t="inlineStr">
        <is>
          <t>GP</t>
        </is>
      </c>
      <c r="G142" s="4" t="inlineStr">
        <is>
          <t>matern52</t>
        </is>
      </c>
      <c r="H142" s="4" t="b">
        <v>0</v>
      </c>
      <c r="I142" s="4" t="b">
        <v>0</v>
      </c>
      <c r="J142" s="4" t="inlineStr">
        <is>
          <t>log1p</t>
        </is>
      </c>
      <c r="K142" s="4" t="inlineStr">
        <is>
          <t>none</t>
        </is>
      </c>
      <c r="L142" s="4" t="inlineStr">
        <is>
          <t>full_cure6</t>
        </is>
      </c>
      <c r="M142" s="11" t="n">
        <v>0.9928482856289712</v>
      </c>
      <c r="N142" s="11" t="n">
        <v>-2.960172163483848</v>
      </c>
      <c r="O142" s="11" t="n">
        <v>-2.268721283378206</v>
      </c>
      <c r="P142" s="4" t="n">
        <v>1</v>
      </c>
      <c r="Q142" s="11" t="n">
        <v>0.6917288443243326</v>
      </c>
      <c r="R142" s="11" t="n">
        <v>0</v>
      </c>
      <c r="S142" s="11" t="n">
        <v>2.816335877041416</v>
      </c>
      <c r="T142" s="11" t="n">
        <v>2.175213433645245</v>
      </c>
      <c r="U142" s="11" t="n">
        <v>0.938095238095238</v>
      </c>
      <c r="V142" s="11" t="n">
        <v>2.481263792796438</v>
      </c>
      <c r="W142" s="12" t="n">
        <v>3.90953540802002</v>
      </c>
    </row>
    <row r="143">
      <c r="A143" s="4" t="n">
        <v>142</v>
      </c>
      <c r="B143" s="4" t="inlineStr">
        <is>
          <t>tensile_MPa</t>
        </is>
      </c>
      <c r="C143" s="4" t="inlineStr">
        <is>
          <t>Exp2_BO</t>
        </is>
      </c>
      <c r="D143" s="4" t="n">
        <v>0</v>
      </c>
      <c r="E143" s="4" t="n">
        <v>24</v>
      </c>
      <c r="F143" s="4" t="inlineStr">
        <is>
          <t>GP</t>
        </is>
      </c>
      <c r="G143" s="4" t="inlineStr">
        <is>
          <t>matern12</t>
        </is>
      </c>
      <c r="H143" s="4" t="b">
        <v>0</v>
      </c>
      <c r="I143" s="4" t="b">
        <v>0</v>
      </c>
      <c r="J143" s="4" t="inlineStr">
        <is>
          <t>std</t>
        </is>
      </c>
      <c r="K143" s="4" t="inlineStr">
        <is>
          <t>none</t>
        </is>
      </c>
      <c r="L143" s="4" t="inlineStr">
        <is>
          <t>full_cure6</t>
        </is>
      </c>
      <c r="M143" s="11" t="n">
        <v>0.8044815865350392</v>
      </c>
      <c r="N143" s="11" t="n">
        <v>-2.778915416718545</v>
      </c>
      <c r="O143" s="11" t="n">
        <v>-3.842484090477405</v>
      </c>
      <c r="P143" s="4" t="n">
        <v>1</v>
      </c>
      <c r="Q143" s="11" t="n">
        <v>0.6606980612065819</v>
      </c>
      <c r="R143" s="11" t="n">
        <v>0</v>
      </c>
      <c r="S143" s="11" t="n">
        <v>2.954684901978462</v>
      </c>
      <c r="T143" s="11" t="n">
        <v>2.243526720722171</v>
      </c>
      <c r="U143" s="11" t="n">
        <v>0.938095238095238</v>
      </c>
      <c r="V143" s="11" t="n">
        <v>2.517721817641512</v>
      </c>
      <c r="W143" s="12" t="n">
        <v>2.81536078453064</v>
      </c>
    </row>
    <row r="144">
      <c r="A144" s="4" t="n">
        <v>143</v>
      </c>
      <c r="B144" s="4" t="inlineStr">
        <is>
          <t>tensile_MPa</t>
        </is>
      </c>
      <c r="C144" s="4" t="inlineStr">
        <is>
          <t>Exp2_BO</t>
        </is>
      </c>
      <c r="D144" s="4" t="n">
        <v>0</v>
      </c>
      <c r="E144" s="4" t="n">
        <v>25</v>
      </c>
      <c r="F144" s="4" t="inlineStr">
        <is>
          <t>GP</t>
        </is>
      </c>
      <c r="G144" s="4" t="inlineStr">
        <is>
          <t>matern52</t>
        </is>
      </c>
      <c r="H144" s="4" t="b">
        <v>1</v>
      </c>
      <c r="I144" s="4" t="b">
        <v>1</v>
      </c>
      <c r="J144" s="4" t="inlineStr">
        <is>
          <t>std</t>
        </is>
      </c>
      <c r="K144" s="4" t="inlineStr">
        <is>
          <t>none</t>
        </is>
      </c>
      <c r="L144" s="4" t="inlineStr">
        <is>
          <t>full_cure6</t>
        </is>
      </c>
      <c r="M144" s="11" t="n">
        <v>-0.9987451659738364</v>
      </c>
      <c r="N144" s="11" t="n">
        <v>-1.104323643045761</v>
      </c>
      <c r="O144" s="11" t="n">
        <v>-4.270967821936265</v>
      </c>
      <c r="P144" s="4" t="n">
        <v>1</v>
      </c>
      <c r="Q144" s="11" t="n">
        <v>0.4849330026356647</v>
      </c>
      <c r="R144" s="11" t="n">
        <v>0</v>
      </c>
      <c r="S144" s="11" t="n">
        <v>3.640406357765249</v>
      </c>
      <c r="T144" s="11" t="n">
        <v>2.560507378789515</v>
      </c>
      <c r="U144" s="11" t="n">
        <v>0.9095238095238096</v>
      </c>
      <c r="V144" s="11" t="n">
        <v>2.656615403112623</v>
      </c>
      <c r="W144" s="12" t="n">
        <v>86.25929641723633</v>
      </c>
    </row>
    <row r="145">
      <c r="A145" s="4" t="n">
        <v>144</v>
      </c>
      <c r="B145" s="4" t="inlineStr">
        <is>
          <t>tensile_MPa</t>
        </is>
      </c>
      <c r="C145" s="4" t="inlineStr">
        <is>
          <t>Exp2_BO</t>
        </is>
      </c>
      <c r="D145" s="4" t="n">
        <v>0</v>
      </c>
      <c r="E145" s="4" t="n">
        <v>26</v>
      </c>
      <c r="F145" s="4" t="inlineStr">
        <is>
          <t>GP</t>
        </is>
      </c>
      <c r="G145" s="4" t="inlineStr">
        <is>
          <t>rbf</t>
        </is>
      </c>
      <c r="H145" s="4" t="b">
        <v>0</v>
      </c>
      <c r="I145" s="4" t="b">
        <v>0</v>
      </c>
      <c r="J145" s="4" t="inlineStr">
        <is>
          <t>log1p</t>
        </is>
      </c>
      <c r="K145" s="4" t="inlineStr">
        <is>
          <t>none</t>
        </is>
      </c>
      <c r="L145" s="4" t="inlineStr">
        <is>
          <t>full_cure6</t>
        </is>
      </c>
      <c r="M145" s="11" t="n">
        <v>0.81975597235481</v>
      </c>
      <c r="N145" s="11" t="n">
        <v>-0.2626374512615803</v>
      </c>
      <c r="O145" s="11" t="n">
        <v>-4.569538186238884</v>
      </c>
      <c r="P145" s="4" t="n">
        <v>1</v>
      </c>
      <c r="Q145" s="11" t="n">
        <v>0.6873912545196292</v>
      </c>
      <c r="R145" s="11" t="n">
        <v>0</v>
      </c>
      <c r="S145" s="11" t="n">
        <v>2.83608056765283</v>
      </c>
      <c r="T145" s="11" t="n">
        <v>2.193139480496189</v>
      </c>
      <c r="U145" s="11" t="n">
        <v>0.938095238095238</v>
      </c>
      <c r="V145" s="11" t="n">
        <v>2.483343584410909</v>
      </c>
      <c r="W145" s="12" t="n">
        <v>4.304414510726929</v>
      </c>
    </row>
    <row r="146">
      <c r="A146" s="4" t="n">
        <v>145</v>
      </c>
      <c r="B146" s="4" t="inlineStr">
        <is>
          <t>tensile_MPa</t>
        </is>
      </c>
      <c r="C146" s="4" t="inlineStr">
        <is>
          <t>Exp2_BO</t>
        </is>
      </c>
      <c r="D146" s="4" t="n">
        <v>0</v>
      </c>
      <c r="E146" s="4" t="n">
        <v>27</v>
      </c>
      <c r="F146" s="4" t="inlineStr">
        <is>
          <t>GP</t>
        </is>
      </c>
      <c r="G146" s="4" t="inlineStr">
        <is>
          <t>rq</t>
        </is>
      </c>
      <c r="H146" s="4" t="b">
        <v>0</v>
      </c>
      <c r="I146" s="4" t="b">
        <v>0</v>
      </c>
      <c r="J146" s="4" t="inlineStr">
        <is>
          <t>log1p</t>
        </is>
      </c>
      <c r="K146" s="4" t="inlineStr">
        <is>
          <t>none</t>
        </is>
      </c>
      <c r="L146" s="4" t="inlineStr">
        <is>
          <t>full_cure6</t>
        </is>
      </c>
      <c r="M146" s="11" t="n">
        <v>-0.2080830107168185</v>
      </c>
      <c r="N146" s="11" t="n">
        <v>-2.746982194292847</v>
      </c>
      <c r="O146" s="11" t="n">
        <v>-2.05030203223635</v>
      </c>
      <c r="P146" s="4" t="n">
        <v>1</v>
      </c>
      <c r="Q146" s="11" t="n">
        <v>0.6872706446166901</v>
      </c>
      <c r="R146" s="11" t="n">
        <v>0</v>
      </c>
      <c r="S146" s="11" t="n">
        <v>2.836627619551059</v>
      </c>
      <c r="T146" s="11" t="n">
        <v>2.190176449770119</v>
      </c>
      <c r="U146" s="11" t="n">
        <v>0.9428571428571428</v>
      </c>
      <c r="V146" s="11" t="n">
        <v>2.48384467875848</v>
      </c>
      <c r="W146" s="12" t="n">
        <v>7.248062133789062</v>
      </c>
    </row>
    <row r="147">
      <c r="A147" s="4" t="n">
        <v>146</v>
      </c>
      <c r="B147" s="4" t="inlineStr">
        <is>
          <t>tensile_MPa</t>
        </is>
      </c>
      <c r="C147" s="4" t="inlineStr">
        <is>
          <t>Exp2_BO</t>
        </is>
      </c>
      <c r="D147" s="4" t="n">
        <v>0</v>
      </c>
      <c r="E147" s="4" t="n">
        <v>28</v>
      </c>
      <c r="F147" s="4" t="inlineStr">
        <is>
          <t>GP</t>
        </is>
      </c>
      <c r="G147" s="4" t="inlineStr">
        <is>
          <t>matern52</t>
        </is>
      </c>
      <c r="H147" s="4" t="b">
        <v>1</v>
      </c>
      <c r="I147" s="4" t="b">
        <v>0</v>
      </c>
      <c r="J147" s="4" t="inlineStr">
        <is>
          <t>log1p</t>
        </is>
      </c>
      <c r="K147" s="4" t="inlineStr">
        <is>
          <t>none</t>
        </is>
      </c>
      <c r="L147" s="4" t="inlineStr">
        <is>
          <t>full_cure6</t>
        </is>
      </c>
      <c r="M147" s="11" t="n">
        <v>0.9928482856289712</v>
      </c>
      <c r="N147" s="11" t="n">
        <v>-2.960172163483848</v>
      </c>
      <c r="O147" s="11" t="n">
        <v>-2.268721283378206</v>
      </c>
      <c r="P147" s="4" t="n">
        <v>1</v>
      </c>
      <c r="Q147" s="11" t="n">
        <v>0.6034928553416672</v>
      </c>
      <c r="R147" s="11" t="n">
        <v>0</v>
      </c>
      <c r="S147" s="11" t="n">
        <v>3.194063243107728</v>
      </c>
      <c r="T147" s="11" t="n">
        <v>2.390606790329388</v>
      </c>
      <c r="U147" s="11" t="n">
        <v>0.8904761904761904</v>
      </c>
      <c r="V147" s="11" t="n">
        <v>2.589575827966706</v>
      </c>
      <c r="W147" s="12" t="n">
        <v>73.42135500907898</v>
      </c>
    </row>
    <row r="148">
      <c r="A148" s="4" t="n">
        <v>147</v>
      </c>
      <c r="B148" s="4" t="inlineStr">
        <is>
          <t>tensile_MPa</t>
        </is>
      </c>
      <c r="C148" s="4" t="inlineStr">
        <is>
          <t>Exp2_BO</t>
        </is>
      </c>
      <c r="D148" s="4" t="n">
        <v>0</v>
      </c>
      <c r="E148" s="4" t="n">
        <v>29</v>
      </c>
      <c r="F148" s="4" t="inlineStr">
        <is>
          <t>GP</t>
        </is>
      </c>
      <c r="G148" s="4" t="inlineStr">
        <is>
          <t>matern12</t>
        </is>
      </c>
      <c r="H148" s="4" t="b">
        <v>0</v>
      </c>
      <c r="I148" s="4" t="b">
        <v>0</v>
      </c>
      <c r="J148" s="4" t="inlineStr">
        <is>
          <t>log1p</t>
        </is>
      </c>
      <c r="K148" s="4" t="inlineStr">
        <is>
          <t>none</t>
        </is>
      </c>
      <c r="L148" s="4" t="inlineStr">
        <is>
          <t>full_cure6</t>
        </is>
      </c>
      <c r="M148" s="11" t="n">
        <v>0.9928482856289712</v>
      </c>
      <c r="N148" s="11" t="n">
        <v>-2.960172163483848</v>
      </c>
      <c r="O148" s="11" t="n">
        <v>-2.268721283378206</v>
      </c>
      <c r="P148" s="4" t="n">
        <v>1</v>
      </c>
      <c r="Q148" s="11" t="n">
        <v>0.6957428808811997</v>
      </c>
      <c r="R148" s="11" t="n">
        <v>0</v>
      </c>
      <c r="S148" s="11" t="n">
        <v>2.797939869079242</v>
      </c>
      <c r="T148" s="11" t="n">
        <v>2.139047561966454</v>
      </c>
      <c r="U148" s="11" t="n">
        <v>0.9523809523809524</v>
      </c>
      <c r="V148" s="11" t="n">
        <v>2.482917576110848</v>
      </c>
      <c r="W148" s="12" t="n">
        <v>1.467113971710205</v>
      </c>
    </row>
    <row r="149">
      <c r="A149" s="4" t="n">
        <v>148</v>
      </c>
      <c r="B149" s="4" t="inlineStr">
        <is>
          <t>tensile_MPa</t>
        </is>
      </c>
      <c r="C149" s="4" t="inlineStr">
        <is>
          <t>Exp2_BO</t>
        </is>
      </c>
      <c r="D149" s="4" t="n">
        <v>1</v>
      </c>
      <c r="E149" s="4" t="n">
        <v>0</v>
      </c>
      <c r="F149" s="4" t="inlineStr">
        <is>
          <t>GP</t>
        </is>
      </c>
      <c r="G149" s="4" t="inlineStr">
        <is>
          <t>matern32</t>
        </is>
      </c>
      <c r="H149" s="4" t="b">
        <v>0</v>
      </c>
      <c r="I149" s="4" t="b">
        <v>1</v>
      </c>
      <c r="J149" s="4" t="inlineStr">
        <is>
          <t>log1p</t>
        </is>
      </c>
      <c r="K149" s="4" t="inlineStr">
        <is>
          <t>none</t>
        </is>
      </c>
      <c r="L149" s="4" t="inlineStr">
        <is>
          <t>full</t>
        </is>
      </c>
      <c r="M149" s="11" t="n">
        <v>0.8972988942744877</v>
      </c>
      <c r="N149" s="11" t="n">
        <v>-2.064505643968544</v>
      </c>
      <c r="O149" s="11" t="n">
        <v>-4.306694204109697</v>
      </c>
      <c r="P149" s="4" t="n">
        <v>1</v>
      </c>
      <c r="Q149" s="11" t="n">
        <v>0.2312553267597825</v>
      </c>
      <c r="R149" s="11" t="n">
        <v>0</v>
      </c>
      <c r="S149" s="11" t="n">
        <v>4.447429394326144</v>
      </c>
      <c r="T149" s="11" t="n">
        <v>2.629741336123892</v>
      </c>
      <c r="U149" s="11" t="n">
        <v>0.9142857142857144</v>
      </c>
      <c r="V149" s="11" t="n">
        <v>2.550483078794234</v>
      </c>
      <c r="W149" s="12" t="n">
        <v>3.85463547706604</v>
      </c>
    </row>
    <row r="150">
      <c r="A150" s="4" t="n">
        <v>149</v>
      </c>
      <c r="B150" s="4" t="inlineStr">
        <is>
          <t>tensile_MPa</t>
        </is>
      </c>
      <c r="C150" s="4" t="inlineStr">
        <is>
          <t>Exp2_BO</t>
        </is>
      </c>
      <c r="D150" s="4" t="n">
        <v>1</v>
      </c>
      <c r="E150" s="4" t="n">
        <v>1</v>
      </c>
      <c r="F150" s="4" t="inlineStr">
        <is>
          <t>GP</t>
        </is>
      </c>
      <c r="G150" s="4" t="inlineStr">
        <is>
          <t>matern12</t>
        </is>
      </c>
      <c r="H150" s="4" t="b">
        <v>0</v>
      </c>
      <c r="I150" s="4" t="b">
        <v>0</v>
      </c>
      <c r="J150" s="4" t="inlineStr">
        <is>
          <t>std</t>
        </is>
      </c>
      <c r="K150" s="4" t="inlineStr">
        <is>
          <t>log</t>
        </is>
      </c>
      <c r="L150" s="4" t="inlineStr">
        <is>
          <t>full_cure6</t>
        </is>
      </c>
      <c r="M150" s="11" t="n">
        <v>-0.9448817735138632</v>
      </c>
      <c r="N150" s="11" t="n">
        <v>-0.7394606739755805</v>
      </c>
      <c r="O150" s="11" t="n">
        <v>-3.847426747122887</v>
      </c>
      <c r="P150" s="4" t="n">
        <v>1</v>
      </c>
      <c r="Q150" s="11" t="n">
        <v>0.6313707242165205</v>
      </c>
      <c r="R150" s="11" t="n">
        <v>0</v>
      </c>
      <c r="S150" s="11" t="n">
        <v>3.079731916971466</v>
      </c>
      <c r="T150" s="11" t="n">
        <v>2.369330493470919</v>
      </c>
      <c r="U150" s="11" t="n">
        <v>0.938095238095238</v>
      </c>
      <c r="V150" s="11" t="n">
        <v>2.545318087644131</v>
      </c>
      <c r="W150" s="12" t="n">
        <v>1.867820501327514</v>
      </c>
    </row>
    <row r="151">
      <c r="A151" s="4" t="n">
        <v>150</v>
      </c>
      <c r="B151" s="4" t="inlineStr">
        <is>
          <t>tensile_MPa</t>
        </is>
      </c>
      <c r="C151" s="4" t="inlineStr">
        <is>
          <t>Exp2_BO</t>
        </is>
      </c>
      <c r="D151" s="4" t="n">
        <v>1</v>
      </c>
      <c r="E151" s="4" t="n">
        <v>2</v>
      </c>
      <c r="F151" s="4" t="inlineStr">
        <is>
          <t>GP</t>
        </is>
      </c>
      <c r="G151" s="4" t="inlineStr">
        <is>
          <t>rq</t>
        </is>
      </c>
      <c r="H151" s="4" t="b">
        <v>1</v>
      </c>
      <c r="I151" s="4" t="b">
        <v>0</v>
      </c>
      <c r="J151" s="4" t="inlineStr">
        <is>
          <t>log1p</t>
        </is>
      </c>
      <c r="K151" s="4" t="inlineStr">
        <is>
          <t>none</t>
        </is>
      </c>
      <c r="L151" s="4" t="inlineStr">
        <is>
          <t>full_agg</t>
        </is>
      </c>
      <c r="M151" s="11" t="n">
        <v>-0.0930042210386969</v>
      </c>
      <c r="N151" s="11" t="n">
        <v>-2.597874908258506</v>
      </c>
      <c r="O151" s="11" t="n">
        <v>-4.387548054211483</v>
      </c>
      <c r="P151" s="4" t="n">
        <v>1</v>
      </c>
      <c r="Q151" s="11" t="n">
        <v>0.6709807212867501</v>
      </c>
      <c r="R151" s="11" t="n">
        <v>0</v>
      </c>
      <c r="S151" s="11" t="n">
        <v>2.90956909692524</v>
      </c>
      <c r="T151" s="11" t="n">
        <v>2.331162661796955</v>
      </c>
      <c r="U151" s="11" t="n">
        <v>0.938095238095238</v>
      </c>
      <c r="V151" s="11" t="n">
        <v>2.506659027458907</v>
      </c>
      <c r="W151" s="12" t="n">
        <v>4.980859994888306</v>
      </c>
    </row>
    <row r="152">
      <c r="A152" s="4" t="n">
        <v>151</v>
      </c>
      <c r="B152" s="4" t="inlineStr">
        <is>
          <t>tensile_MPa</t>
        </is>
      </c>
      <c r="C152" s="4" t="inlineStr">
        <is>
          <t>Exp2_BO</t>
        </is>
      </c>
      <c r="D152" s="4" t="n">
        <v>1</v>
      </c>
      <c r="E152" s="4" t="n">
        <v>3</v>
      </c>
      <c r="F152" s="4" t="inlineStr">
        <is>
          <t>GP</t>
        </is>
      </c>
      <c r="G152" s="4" t="inlineStr">
        <is>
          <t>rq</t>
        </is>
      </c>
      <c r="H152" s="4" t="b">
        <v>1</v>
      </c>
      <c r="I152" s="4" t="b">
        <v>1</v>
      </c>
      <c r="J152" s="4" t="inlineStr">
        <is>
          <t>std</t>
        </is>
      </c>
      <c r="K152" s="4" t="inlineStr">
        <is>
          <t>none</t>
        </is>
      </c>
      <c r="L152" s="4" t="inlineStr">
        <is>
          <t>compact</t>
        </is>
      </c>
      <c r="M152" s="11" t="n">
        <v>-0.4391824840279201</v>
      </c>
      <c r="N152" s="11" t="n">
        <v>-1.544427076705095</v>
      </c>
      <c r="O152" s="11" t="n">
        <v>-2.077051200795045</v>
      </c>
      <c r="P152" s="4" t="n">
        <v>1</v>
      </c>
      <c r="Q152" s="11" t="n">
        <v>0.3960479826476289</v>
      </c>
      <c r="R152" s="11" t="n">
        <v>0</v>
      </c>
      <c r="S152" s="11" t="n">
        <v>3.942023604784989</v>
      </c>
      <c r="T152" s="11" t="n">
        <v>2.777101506292204</v>
      </c>
      <c r="U152" s="11" t="n">
        <v>0.9333333333333332</v>
      </c>
      <c r="V152" s="11" t="n">
        <v>2.679563088670843</v>
      </c>
      <c r="W152" s="12" t="n">
        <v>8.027733564376831</v>
      </c>
    </row>
    <row r="153">
      <c r="A153" s="4" t="n">
        <v>152</v>
      </c>
      <c r="B153" s="4" t="inlineStr">
        <is>
          <t>tensile_MPa</t>
        </is>
      </c>
      <c r="C153" s="4" t="inlineStr">
        <is>
          <t>Exp2_BO</t>
        </is>
      </c>
      <c r="D153" s="4" t="n">
        <v>1</v>
      </c>
      <c r="E153" s="4" t="n">
        <v>4</v>
      </c>
      <c r="F153" s="4" t="inlineStr">
        <is>
          <t>GP</t>
        </is>
      </c>
      <c r="G153" s="4" t="inlineStr">
        <is>
          <t>matern52</t>
        </is>
      </c>
      <c r="H153" s="4" t="b">
        <v>0</v>
      </c>
      <c r="I153" s="4" t="b">
        <v>0</v>
      </c>
      <c r="J153" s="4" t="inlineStr">
        <is>
          <t>log1p</t>
        </is>
      </c>
      <c r="K153" s="4" t="inlineStr">
        <is>
          <t>none</t>
        </is>
      </c>
      <c r="L153" s="4" t="inlineStr">
        <is>
          <t>full_cure6</t>
        </is>
      </c>
      <c r="M153" s="11" t="n">
        <v>-0.4462175919092583</v>
      </c>
      <c r="N153" s="11" t="n">
        <v>-2.51804397367462</v>
      </c>
      <c r="O153" s="11" t="n">
        <v>-2.12029834713547</v>
      </c>
      <c r="P153" s="4" t="n">
        <v>1</v>
      </c>
      <c r="Q153" s="11" t="n">
        <v>0.6917286830488267</v>
      </c>
      <c r="R153" s="11" t="n">
        <v>0</v>
      </c>
      <c r="S153" s="11" t="n">
        <v>2.816336613740139</v>
      </c>
      <c r="T153" s="11" t="n">
        <v>2.175213834946884</v>
      </c>
      <c r="U153" s="11" t="n">
        <v>0.938095238095238</v>
      </c>
      <c r="V153" s="11" t="n">
        <v>2.481263717216065</v>
      </c>
      <c r="W153" s="12" t="n">
        <v>1.487754106521606</v>
      </c>
    </row>
    <row r="154">
      <c r="A154" s="4" t="n">
        <v>153</v>
      </c>
      <c r="B154" s="4" t="inlineStr">
        <is>
          <t>tensile_MPa</t>
        </is>
      </c>
      <c r="C154" s="4" t="inlineStr">
        <is>
          <t>Exp2_BO</t>
        </is>
      </c>
      <c r="D154" s="4" t="n">
        <v>1</v>
      </c>
      <c r="E154" s="4" t="n">
        <v>5</v>
      </c>
      <c r="F154" s="4" t="inlineStr">
        <is>
          <t>GP</t>
        </is>
      </c>
      <c r="G154" s="4" t="inlineStr">
        <is>
          <t>matern32</t>
        </is>
      </c>
      <c r="H154" s="4" t="b">
        <v>0</v>
      </c>
      <c r="I154" s="4" t="b">
        <v>0</v>
      </c>
      <c r="J154" s="4" t="inlineStr">
        <is>
          <t>std</t>
        </is>
      </c>
      <c r="K154" s="4" t="inlineStr">
        <is>
          <t>none</t>
        </is>
      </c>
      <c r="L154" s="4" t="inlineStr">
        <is>
          <t>full_cure6</t>
        </is>
      </c>
      <c r="M154" s="11" t="n">
        <v>0.553366228684596</v>
      </c>
      <c r="N154" s="11" t="n">
        <v>-1.160990096840879</v>
      </c>
      <c r="O154" s="11" t="n">
        <v>-2.330809180836389</v>
      </c>
      <c r="P154" s="4" t="n">
        <v>1</v>
      </c>
      <c r="Q154" s="11" t="n">
        <v>0.6505248067749618</v>
      </c>
      <c r="R154" s="11" t="n">
        <v>0</v>
      </c>
      <c r="S154" s="11" t="n">
        <v>2.998652768719653</v>
      </c>
      <c r="T154" s="11" t="n">
        <v>2.260558829970074</v>
      </c>
      <c r="U154" s="11" t="n">
        <v>0.923809523809524</v>
      </c>
      <c r="V154" s="11" t="n">
        <v>2.51257733161178</v>
      </c>
      <c r="W154" s="12" t="n">
        <v>1.71075439453125</v>
      </c>
    </row>
    <row r="155">
      <c r="A155" s="4" t="n">
        <v>154</v>
      </c>
      <c r="B155" s="4" t="inlineStr">
        <is>
          <t>tensile_MPa</t>
        </is>
      </c>
      <c r="C155" s="4" t="inlineStr">
        <is>
          <t>Exp2_BO</t>
        </is>
      </c>
      <c r="D155" s="4" t="n">
        <v>1</v>
      </c>
      <c r="E155" s="4" t="n">
        <v>6</v>
      </c>
      <c r="F155" s="4" t="inlineStr">
        <is>
          <t>GP</t>
        </is>
      </c>
      <c r="G155" s="4" t="inlineStr">
        <is>
          <t>matern32</t>
        </is>
      </c>
      <c r="H155" s="4" t="b">
        <v>1</v>
      </c>
      <c r="I155" s="4" t="b">
        <v>1</v>
      </c>
      <c r="J155" s="4" t="inlineStr">
        <is>
          <t>log1p</t>
        </is>
      </c>
      <c r="K155" s="4" t="inlineStr">
        <is>
          <t>log</t>
        </is>
      </c>
      <c r="L155" s="4" t="inlineStr">
        <is>
          <t>full_agg</t>
        </is>
      </c>
      <c r="M155" s="11" t="n">
        <v>-0.8753008417002488</v>
      </c>
      <c r="N155" s="11" t="n">
        <v>-1.076015492581875</v>
      </c>
      <c r="O155" s="11" t="n">
        <v>-2.589468646077373</v>
      </c>
      <c r="P155" s="4" t="n">
        <v>1</v>
      </c>
      <c r="Q155" s="11" t="n">
        <v>0.6218284035788099</v>
      </c>
      <c r="R155" s="11" t="n">
        <v>0</v>
      </c>
      <c r="S155" s="11" t="n">
        <v>3.119338143359364</v>
      </c>
      <c r="T155" s="11" t="n">
        <v>2.291788374070108</v>
      </c>
      <c r="U155" s="11" t="n">
        <v>0.9142857142857144</v>
      </c>
      <c r="V155" s="11" t="n">
        <v>2.579377573239938</v>
      </c>
      <c r="W155" s="12" t="n">
        <v>83.41557359695435</v>
      </c>
    </row>
    <row r="156">
      <c r="A156" s="4" t="n">
        <v>155</v>
      </c>
      <c r="B156" s="4" t="inlineStr">
        <is>
          <t>tensile_MPa</t>
        </is>
      </c>
      <c r="C156" s="4" t="inlineStr">
        <is>
          <t>Exp2_BO</t>
        </is>
      </c>
      <c r="D156" s="4" t="n">
        <v>1</v>
      </c>
      <c r="E156" s="4" t="n">
        <v>7</v>
      </c>
      <c r="F156" s="4" t="inlineStr">
        <is>
          <t>GP</t>
        </is>
      </c>
      <c r="G156" s="4" t="inlineStr">
        <is>
          <t>matern12</t>
        </is>
      </c>
      <c r="H156" s="4" t="b">
        <v>0</v>
      </c>
      <c r="I156" s="4" t="b">
        <v>1</v>
      </c>
      <c r="J156" s="4" t="inlineStr">
        <is>
          <t>std</t>
        </is>
      </c>
      <c r="K156" s="4" t="inlineStr">
        <is>
          <t>none</t>
        </is>
      </c>
      <c r="L156" s="4" t="inlineStr">
        <is>
          <t>compact</t>
        </is>
      </c>
      <c r="M156" s="11" t="n">
        <v>0.0189917630430187</v>
      </c>
      <c r="N156" s="11" t="n">
        <v>-1.467333346600401</v>
      </c>
      <c r="O156" s="11" t="n">
        <v>-2.987879169191288</v>
      </c>
      <c r="P156" s="4" t="n">
        <v>1</v>
      </c>
      <c r="Q156" s="11" t="n">
        <v>0.4630011587159983</v>
      </c>
      <c r="R156" s="11" t="n">
        <v>0</v>
      </c>
      <c r="S156" s="11" t="n">
        <v>3.717103695114202</v>
      </c>
      <c r="T156" s="11" t="n">
        <v>2.711238795334086</v>
      </c>
      <c r="U156" s="11" t="n">
        <v>0.9333333333333332</v>
      </c>
      <c r="V156" s="11" t="n">
        <v>2.654530685993199</v>
      </c>
      <c r="W156" s="12" t="n">
        <v>7.187166452407837</v>
      </c>
    </row>
    <row r="157">
      <c r="A157" s="4" t="n">
        <v>156</v>
      </c>
      <c r="B157" s="4" t="inlineStr">
        <is>
          <t>tensile_MPa</t>
        </is>
      </c>
      <c r="C157" s="4" t="inlineStr">
        <is>
          <t>Exp2_BO</t>
        </is>
      </c>
      <c r="D157" s="4" t="n">
        <v>1</v>
      </c>
      <c r="E157" s="4" t="n">
        <v>8</v>
      </c>
      <c r="F157" s="4" t="inlineStr">
        <is>
          <t>GP</t>
        </is>
      </c>
      <c r="G157" s="4" t="inlineStr">
        <is>
          <t>rbf</t>
        </is>
      </c>
      <c r="H157" s="4" t="b">
        <v>1</v>
      </c>
      <c r="I157" s="4" t="b">
        <v>0</v>
      </c>
      <c r="J157" s="4" t="inlineStr">
        <is>
          <t>std</t>
        </is>
      </c>
      <c r="K157" s="4" t="inlineStr">
        <is>
          <t>none</t>
        </is>
      </c>
      <c r="L157" s="4" t="inlineStr">
        <is>
          <t>full_cure6</t>
        </is>
      </c>
      <c r="M157" s="11" t="n">
        <v>0.6220293424013135</v>
      </c>
      <c r="N157" s="11" t="n">
        <v>-2.971059388857345</v>
      </c>
      <c r="O157" s="11" t="n">
        <v>-4.666869630078756</v>
      </c>
      <c r="P157" s="4" t="n">
        <v>1</v>
      </c>
      <c r="Q157" s="11" t="n">
        <v>0.5539215168888846</v>
      </c>
      <c r="R157" s="11" t="n">
        <v>0</v>
      </c>
      <c r="S157" s="11" t="n">
        <v>3.387845839718219</v>
      </c>
      <c r="T157" s="11" t="n">
        <v>2.473602774361024</v>
      </c>
      <c r="U157" s="11" t="n">
        <v>0.9285714285714286</v>
      </c>
      <c r="V157" s="11" t="n">
        <v>2.600925932734612</v>
      </c>
      <c r="W157" s="12" t="n">
        <v>29.52190065383911</v>
      </c>
    </row>
    <row r="158">
      <c r="A158" s="4" t="n">
        <v>157</v>
      </c>
      <c r="B158" s="4" t="inlineStr">
        <is>
          <t>tensile_MPa</t>
        </is>
      </c>
      <c r="C158" s="4" t="inlineStr">
        <is>
          <t>Exp2_BO</t>
        </is>
      </c>
      <c r="D158" s="4" t="n">
        <v>1</v>
      </c>
      <c r="E158" s="4" t="n">
        <v>9</v>
      </c>
      <c r="F158" s="4" t="inlineStr">
        <is>
          <t>GP</t>
        </is>
      </c>
      <c r="G158" s="4" t="inlineStr">
        <is>
          <t>matern32</t>
        </is>
      </c>
      <c r="H158" s="4" t="b">
        <v>0</v>
      </c>
      <c r="I158" s="4" t="b">
        <v>0</v>
      </c>
      <c r="J158" s="4" t="inlineStr">
        <is>
          <t>log1p</t>
        </is>
      </c>
      <c r="K158" s="4" t="inlineStr">
        <is>
          <t>none</t>
        </is>
      </c>
      <c r="L158" s="4" t="inlineStr">
        <is>
          <t>full</t>
        </is>
      </c>
      <c r="M158" s="11" t="n">
        <v>-0.9983998518906424</v>
      </c>
      <c r="N158" s="11" t="n">
        <v>-2.066718390593228</v>
      </c>
      <c r="O158" s="11" t="n">
        <v>-2.047641731176868</v>
      </c>
      <c r="P158" s="4" t="n">
        <v>1</v>
      </c>
      <c r="Q158" s="11" t="n">
        <v>0.6756426852929844</v>
      </c>
      <c r="R158" s="11" t="n">
        <v>0</v>
      </c>
      <c r="S158" s="11" t="n">
        <v>2.888882316803586</v>
      </c>
      <c r="T158" s="11" t="n">
        <v>2.278535706962951</v>
      </c>
      <c r="U158" s="11" t="n">
        <v>0.9333333333333332</v>
      </c>
      <c r="V158" s="11" t="n">
        <v>2.506311112036822</v>
      </c>
      <c r="W158" s="12" t="n">
        <v>2.462312936782837</v>
      </c>
    </row>
    <row r="159">
      <c r="A159" s="4" t="n">
        <v>158</v>
      </c>
      <c r="B159" s="4" t="inlineStr">
        <is>
          <t>tensile_MPa</t>
        </is>
      </c>
      <c r="C159" s="4" t="inlineStr">
        <is>
          <t>Exp2_BO</t>
        </is>
      </c>
      <c r="D159" s="4" t="n">
        <v>1</v>
      </c>
      <c r="E159" s="4" t="n">
        <v>10</v>
      </c>
      <c r="F159" s="4" t="inlineStr">
        <is>
          <t>GP</t>
        </is>
      </c>
      <c r="G159" s="4" t="inlineStr">
        <is>
          <t>matern52</t>
        </is>
      </c>
      <c r="H159" s="4" t="b">
        <v>0</v>
      </c>
      <c r="I159" s="4" t="b">
        <v>0</v>
      </c>
      <c r="J159" s="4" t="inlineStr">
        <is>
          <t>std</t>
        </is>
      </c>
      <c r="K159" s="4" t="inlineStr">
        <is>
          <t>none</t>
        </is>
      </c>
      <c r="L159" s="4" t="inlineStr">
        <is>
          <t>compact</t>
        </is>
      </c>
      <c r="M159" s="11" t="n">
        <v>-0.1306109618353741</v>
      </c>
      <c r="N159" s="11" t="n">
        <v>-2.949823802114109</v>
      </c>
      <c r="O159" s="11" t="n">
        <v>-5.697969984373132</v>
      </c>
      <c r="P159" s="4" t="n">
        <v>1</v>
      </c>
      <c r="Q159" s="11" t="n">
        <v>0.4491486769695824</v>
      </c>
      <c r="R159" s="11" t="n">
        <v>0</v>
      </c>
      <c r="S159" s="11" t="n">
        <v>3.764741841367061</v>
      </c>
      <c r="T159" s="11" t="n">
        <v>2.754616940769685</v>
      </c>
      <c r="U159" s="11" t="n">
        <v>0.923809523809524</v>
      </c>
      <c r="V159" s="11" t="n">
        <v>2.710996307351463</v>
      </c>
      <c r="W159" s="12" t="n">
        <v>7.737733602523804</v>
      </c>
    </row>
    <row r="160">
      <c r="A160" s="4" t="n">
        <v>159</v>
      </c>
      <c r="B160" s="4" t="inlineStr">
        <is>
          <t>tensile_MPa</t>
        </is>
      </c>
      <c r="C160" s="4" t="inlineStr">
        <is>
          <t>Exp2_BO</t>
        </is>
      </c>
      <c r="D160" s="4" t="n">
        <v>1</v>
      </c>
      <c r="E160" s="4" t="n">
        <v>11</v>
      </c>
      <c r="F160" s="4" t="inlineStr">
        <is>
          <t>GP</t>
        </is>
      </c>
      <c r="G160" s="4" t="inlineStr">
        <is>
          <t>matern12</t>
        </is>
      </c>
      <c r="H160" s="4" t="b">
        <v>0</v>
      </c>
      <c r="I160" s="4" t="b">
        <v>0</v>
      </c>
      <c r="J160" s="4" t="inlineStr">
        <is>
          <t>log1p</t>
        </is>
      </c>
      <c r="K160" s="4" t="inlineStr">
        <is>
          <t>none</t>
        </is>
      </c>
      <c r="L160" s="4" t="inlineStr">
        <is>
          <t>full</t>
        </is>
      </c>
      <c r="M160" s="11" t="n">
        <v>-0.4814212301414708</v>
      </c>
      <c r="N160" s="11" t="n">
        <v>-2.953541155120665</v>
      </c>
      <c r="O160" s="11" t="n">
        <v>-3.699019858953204</v>
      </c>
      <c r="P160" s="4" t="n">
        <v>1</v>
      </c>
      <c r="Q160" s="11" t="n">
        <v>0.675635429478613</v>
      </c>
      <c r="R160" s="11" t="n">
        <v>0</v>
      </c>
      <c r="S160" s="11" t="n">
        <v>2.888914628509933</v>
      </c>
      <c r="T160" s="11" t="n">
        <v>2.222528857544057</v>
      </c>
      <c r="U160" s="11" t="n">
        <v>0.9333333333333332</v>
      </c>
      <c r="V160" s="11" t="n">
        <v>2.511682188493268</v>
      </c>
      <c r="W160" s="12" t="n">
        <v>2.508529901504517</v>
      </c>
    </row>
    <row r="161">
      <c r="A161" s="4" t="n">
        <v>160</v>
      </c>
      <c r="B161" s="4" t="inlineStr">
        <is>
          <t>tensile_MPa</t>
        </is>
      </c>
      <c r="C161" s="4" t="inlineStr">
        <is>
          <t>Exp2_BO</t>
        </is>
      </c>
      <c r="D161" s="4" t="n">
        <v>1</v>
      </c>
      <c r="E161" s="4" t="n">
        <v>12</v>
      </c>
      <c r="F161" s="4" t="inlineStr">
        <is>
          <t>GP</t>
        </is>
      </c>
      <c r="G161" s="4" t="inlineStr">
        <is>
          <t>rbf</t>
        </is>
      </c>
      <c r="H161" s="4" t="b">
        <v>0</v>
      </c>
      <c r="I161" s="4" t="b">
        <v>1</v>
      </c>
      <c r="J161" s="4" t="inlineStr">
        <is>
          <t>std</t>
        </is>
      </c>
      <c r="K161" s="4" t="inlineStr">
        <is>
          <t>log</t>
        </is>
      </c>
      <c r="L161" s="4" t="inlineStr">
        <is>
          <t>compact</t>
        </is>
      </c>
      <c r="M161" s="11" t="n">
        <v>0.986146604707704</v>
      </c>
      <c r="N161" s="11" t="n">
        <v>-1.646457740466547</v>
      </c>
      <c r="O161" s="11" t="n">
        <v>-4.823044903006509</v>
      </c>
      <c r="P161" s="4" t="n">
        <v>1</v>
      </c>
      <c r="Q161" s="11" t="n">
        <v>0.4415492301823798</v>
      </c>
      <c r="R161" s="11" t="n">
        <v>0</v>
      </c>
      <c r="S161" s="11" t="n">
        <v>3.790621742595798</v>
      </c>
      <c r="T161" s="11" t="n">
        <v>2.741472240121163</v>
      </c>
      <c r="U161" s="11" t="n">
        <v>0.923809523809524</v>
      </c>
      <c r="V161" s="11" t="n">
        <v>2.734540661728333</v>
      </c>
      <c r="W161" s="12" t="n">
        <v>6.288220167160034</v>
      </c>
    </row>
    <row r="162">
      <c r="A162" s="4" t="n">
        <v>161</v>
      </c>
      <c r="B162" s="4" t="inlineStr">
        <is>
          <t>tensile_MPa</t>
        </is>
      </c>
      <c r="C162" s="4" t="inlineStr">
        <is>
          <t>Exp2_BO</t>
        </is>
      </c>
      <c r="D162" s="4" t="n">
        <v>1</v>
      </c>
      <c r="E162" s="4" t="n">
        <v>13</v>
      </c>
      <c r="F162" s="4" t="inlineStr">
        <is>
          <t>GP</t>
        </is>
      </c>
      <c r="G162" s="4" t="inlineStr">
        <is>
          <t>matern52</t>
        </is>
      </c>
      <c r="H162" s="4" t="b">
        <v>0</v>
      </c>
      <c r="I162" s="4" t="b">
        <v>0</v>
      </c>
      <c r="J162" s="4" t="inlineStr">
        <is>
          <t>std</t>
        </is>
      </c>
      <c r="K162" s="4" t="inlineStr">
        <is>
          <t>log</t>
        </is>
      </c>
      <c r="L162" s="4" t="inlineStr">
        <is>
          <t>full_agg</t>
        </is>
      </c>
      <c r="M162" s="11" t="n">
        <v>-0.8664704851773768</v>
      </c>
      <c r="N162" s="11" t="n">
        <v>-0.8568452046175348</v>
      </c>
      <c r="O162" s="11" t="n">
        <v>-2.064591872024814</v>
      </c>
      <c r="P162" s="4" t="n">
        <v>1</v>
      </c>
      <c r="Q162" s="11" t="n">
        <v>0.5359311564513143</v>
      </c>
      <c r="R162" s="11" t="n">
        <v>0</v>
      </c>
      <c r="S162" s="11" t="n">
        <v>3.455486561586093</v>
      </c>
      <c r="T162" s="11" t="n">
        <v>2.589864947569469</v>
      </c>
      <c r="U162" s="11" t="n">
        <v>0.9333333333333332</v>
      </c>
      <c r="V162" s="11" t="n">
        <v>2.599515865033966</v>
      </c>
      <c r="W162" s="12" t="n">
        <v>1.833658933639526</v>
      </c>
    </row>
    <row r="163">
      <c r="A163" s="4" t="n">
        <v>162</v>
      </c>
      <c r="B163" s="4" t="inlineStr">
        <is>
          <t>tensile_MPa</t>
        </is>
      </c>
      <c r="C163" s="4" t="inlineStr">
        <is>
          <t>Exp2_BO</t>
        </is>
      </c>
      <c r="D163" s="4" t="n">
        <v>1</v>
      </c>
      <c r="E163" s="4" t="n">
        <v>14</v>
      </c>
      <c r="F163" s="4" t="inlineStr">
        <is>
          <t>GP</t>
        </is>
      </c>
      <c r="G163" s="4" t="inlineStr">
        <is>
          <t>rq</t>
        </is>
      </c>
      <c r="H163" s="4" t="b">
        <v>0</v>
      </c>
      <c r="I163" s="4" t="b">
        <v>1</v>
      </c>
      <c r="J163" s="4" t="inlineStr">
        <is>
          <t>std</t>
        </is>
      </c>
      <c r="K163" s="4" t="inlineStr">
        <is>
          <t>none</t>
        </is>
      </c>
      <c r="L163" s="4" t="inlineStr">
        <is>
          <t>full_agg</t>
        </is>
      </c>
      <c r="M163" s="11" t="n">
        <v>0.7583616766649894</v>
      </c>
      <c r="N163" s="11" t="n">
        <v>-2.777349699005431</v>
      </c>
      <c r="O163" s="11" t="n">
        <v>-3.229250332218875</v>
      </c>
      <c r="P163" s="4" t="n">
        <v>1</v>
      </c>
      <c r="Q163" s="11" t="n">
        <v>0.6037167094830276</v>
      </c>
      <c r="R163" s="11" t="n">
        <v>0</v>
      </c>
      <c r="S163" s="11" t="n">
        <v>3.193161487314038</v>
      </c>
      <c r="T163" s="11" t="n">
        <v>2.445310575662229</v>
      </c>
      <c r="U163" s="11" t="n">
        <v>0.923809523809524</v>
      </c>
      <c r="V163" s="11" t="n">
        <v>2.583342351228175</v>
      </c>
      <c r="W163" s="12" t="n">
        <v>11.46723198890686</v>
      </c>
    </row>
    <row r="164">
      <c r="A164" s="4" t="n">
        <v>163</v>
      </c>
      <c r="B164" s="4" t="inlineStr">
        <is>
          <t>tensile_MPa</t>
        </is>
      </c>
      <c r="C164" s="4" t="inlineStr">
        <is>
          <t>Exp2_BO</t>
        </is>
      </c>
      <c r="D164" s="4" t="n">
        <v>1</v>
      </c>
      <c r="E164" s="4" t="n">
        <v>15</v>
      </c>
      <c r="F164" s="4" t="inlineStr">
        <is>
          <t>GP</t>
        </is>
      </c>
      <c r="G164" s="4" t="inlineStr">
        <is>
          <t>matern52</t>
        </is>
      </c>
      <c r="H164" s="4" t="b">
        <v>1</v>
      </c>
      <c r="I164" s="4" t="b">
        <v>0</v>
      </c>
      <c r="J164" s="4" t="inlineStr">
        <is>
          <t>std</t>
        </is>
      </c>
      <c r="K164" s="4" t="inlineStr">
        <is>
          <t>log</t>
        </is>
      </c>
      <c r="L164" s="4" t="inlineStr">
        <is>
          <t>full_agg</t>
        </is>
      </c>
      <c r="M164" s="11" t="n">
        <v>0.811767094994533</v>
      </c>
      <c r="N164" s="11" t="n">
        <v>-0.493477720563523</v>
      </c>
      <c r="O164" s="11" t="n">
        <v>-5.39320075967469</v>
      </c>
      <c r="P164" s="4" t="n">
        <v>1</v>
      </c>
      <c r="Q164" s="11" t="n">
        <v>0.4889867983777159</v>
      </c>
      <c r="R164" s="11" t="n">
        <v>0</v>
      </c>
      <c r="S164" s="11" t="n">
        <v>3.62605228773701</v>
      </c>
      <c r="T164" s="11" t="n">
        <v>2.710669615205012</v>
      </c>
      <c r="U164" s="11" t="n">
        <v>0.9095238095238096</v>
      </c>
      <c r="V164" s="11" t="n">
        <v>2.75317488324675</v>
      </c>
      <c r="W164" s="12" t="n">
        <v>63.42031240463257</v>
      </c>
    </row>
    <row r="165">
      <c r="A165" s="4" t="n">
        <v>164</v>
      </c>
      <c r="B165" s="4" t="inlineStr">
        <is>
          <t>tensile_MPa</t>
        </is>
      </c>
      <c r="C165" s="4" t="inlineStr">
        <is>
          <t>Exp2_BO</t>
        </is>
      </c>
      <c r="D165" s="4" t="n">
        <v>1</v>
      </c>
      <c r="E165" s="4" t="n">
        <v>16</v>
      </c>
      <c r="F165" s="4" t="inlineStr">
        <is>
          <t>GP</t>
        </is>
      </c>
      <c r="G165" s="4" t="inlineStr">
        <is>
          <t>rq</t>
        </is>
      </c>
      <c r="H165" s="4" t="b">
        <v>0</v>
      </c>
      <c r="I165" s="4" t="b">
        <v>0</v>
      </c>
      <c r="J165" s="4" t="inlineStr">
        <is>
          <t>log1p</t>
        </is>
      </c>
      <c r="K165" s="4" t="inlineStr">
        <is>
          <t>none</t>
        </is>
      </c>
      <c r="L165" s="4" t="inlineStr">
        <is>
          <t>full_cure6</t>
        </is>
      </c>
      <c r="M165" s="11" t="n">
        <v>0.2032262624586389</v>
      </c>
      <c r="N165" s="11" t="n">
        <v>-2.336522978453393</v>
      </c>
      <c r="O165" s="11" t="n">
        <v>-3.179893698559386</v>
      </c>
      <c r="P165" s="4" t="n">
        <v>1</v>
      </c>
      <c r="Q165" s="11" t="n">
        <v>0.6872707438697431</v>
      </c>
      <c r="R165" s="11" t="n">
        <v>0</v>
      </c>
      <c r="S165" s="11" t="n">
        <v>2.836627169411075</v>
      </c>
      <c r="T165" s="11" t="n">
        <v>2.190175838836207</v>
      </c>
      <c r="U165" s="11" t="n">
        <v>0.9428571428571428</v>
      </c>
      <c r="V165" s="11" t="n">
        <v>2.483844458933814</v>
      </c>
      <c r="W165" s="12" t="n">
        <v>5.328974962234497</v>
      </c>
    </row>
    <row r="166">
      <c r="A166" s="4" t="n">
        <v>165</v>
      </c>
      <c r="B166" s="4" t="inlineStr">
        <is>
          <t>tensile_MPa</t>
        </is>
      </c>
      <c r="C166" s="4" t="inlineStr">
        <is>
          <t>Exp2_BO</t>
        </is>
      </c>
      <c r="D166" s="4" t="n">
        <v>1</v>
      </c>
      <c r="E166" s="4" t="n">
        <v>17</v>
      </c>
      <c r="F166" s="4" t="inlineStr">
        <is>
          <t>GP</t>
        </is>
      </c>
      <c r="G166" s="4" t="inlineStr">
        <is>
          <t>rbf</t>
        </is>
      </c>
      <c r="H166" s="4" t="b">
        <v>0</v>
      </c>
      <c r="I166" s="4" t="b">
        <v>0</v>
      </c>
      <c r="J166" s="4" t="inlineStr">
        <is>
          <t>log1p</t>
        </is>
      </c>
      <c r="K166" s="4" t="inlineStr">
        <is>
          <t>none</t>
        </is>
      </c>
      <c r="L166" s="4" t="inlineStr">
        <is>
          <t>full_agg</t>
        </is>
      </c>
      <c r="M166" s="11" t="n">
        <v>-0.5445365806289042</v>
      </c>
      <c r="N166" s="11" t="n">
        <v>-2.624005982224311</v>
      </c>
      <c r="O166" s="11" t="n">
        <v>-5.480576391751639</v>
      </c>
      <c r="P166" s="4" t="n">
        <v>1</v>
      </c>
      <c r="Q166" s="11" t="n">
        <v>0.6715660370091486</v>
      </c>
      <c r="R166" s="11" t="n">
        <v>0</v>
      </c>
      <c r="S166" s="11" t="n">
        <v>2.906979925519898</v>
      </c>
      <c r="T166" s="11" t="n">
        <v>2.335363507838246</v>
      </c>
      <c r="U166" s="11" t="n">
        <v>0.938095238095238</v>
      </c>
      <c r="V166" s="11" t="n">
        <v>2.505863061083598</v>
      </c>
      <c r="W166" s="12" t="n">
        <v>2.225406885147095</v>
      </c>
    </row>
    <row r="167">
      <c r="A167" s="4" t="n">
        <v>166</v>
      </c>
      <c r="B167" s="4" t="inlineStr">
        <is>
          <t>tensile_MPa</t>
        </is>
      </c>
      <c r="C167" s="4" t="inlineStr">
        <is>
          <t>Exp2_BO</t>
        </is>
      </c>
      <c r="D167" s="4" t="n">
        <v>1</v>
      </c>
      <c r="E167" s="4" t="n">
        <v>18</v>
      </c>
      <c r="F167" s="4" t="inlineStr">
        <is>
          <t>GP</t>
        </is>
      </c>
      <c r="G167" s="4" t="inlineStr">
        <is>
          <t>rbf</t>
        </is>
      </c>
      <c r="H167" s="4" t="b">
        <v>0</v>
      </c>
      <c r="I167" s="4" t="b">
        <v>1</v>
      </c>
      <c r="J167" s="4" t="inlineStr">
        <is>
          <t>log1p</t>
        </is>
      </c>
      <c r="K167" s="4" t="inlineStr">
        <is>
          <t>none</t>
        </is>
      </c>
      <c r="L167" s="4" t="inlineStr">
        <is>
          <t>full_agg</t>
        </is>
      </c>
      <c r="M167" s="11" t="n">
        <v>0.7348086399067362</v>
      </c>
      <c r="N167" s="11" t="n">
        <v>-2.675273480282014</v>
      </c>
      <c r="O167" s="11" t="n">
        <v>-5.907272058649577</v>
      </c>
      <c r="P167" s="4" t="n">
        <v>1</v>
      </c>
      <c r="Q167" s="11" t="n">
        <v>0.6119617438804403</v>
      </c>
      <c r="R167" s="11" t="n">
        <v>0</v>
      </c>
      <c r="S167" s="11" t="n">
        <v>3.159768566871365</v>
      </c>
      <c r="T167" s="11" t="n">
        <v>2.442746907248264</v>
      </c>
      <c r="U167" s="11" t="n">
        <v>0.9285714285714286</v>
      </c>
      <c r="V167" s="11" t="n">
        <v>2.522050843917451</v>
      </c>
      <c r="W167" s="12" t="n">
        <v>4.564719915390015</v>
      </c>
    </row>
    <row r="168">
      <c r="A168" s="4" t="n">
        <v>167</v>
      </c>
      <c r="B168" s="4" t="inlineStr">
        <is>
          <t>tensile_MPa</t>
        </is>
      </c>
      <c r="C168" s="4" t="inlineStr">
        <is>
          <t>Exp2_BO</t>
        </is>
      </c>
      <c r="D168" s="4" t="n">
        <v>1</v>
      </c>
      <c r="E168" s="4" t="n">
        <v>19</v>
      </c>
      <c r="F168" s="4" t="inlineStr">
        <is>
          <t>GP</t>
        </is>
      </c>
      <c r="G168" s="4" t="inlineStr">
        <is>
          <t>matern52</t>
        </is>
      </c>
      <c r="H168" s="4" t="b">
        <v>1</v>
      </c>
      <c r="I168" s="4" t="b">
        <v>0</v>
      </c>
      <c r="J168" s="4" t="inlineStr">
        <is>
          <t>log1p</t>
        </is>
      </c>
      <c r="K168" s="4" t="inlineStr">
        <is>
          <t>none</t>
        </is>
      </c>
      <c r="L168" s="4" t="inlineStr">
        <is>
          <t>full_cure6</t>
        </is>
      </c>
      <c r="M168" s="11" t="n">
        <v>-0.4462175919092583</v>
      </c>
      <c r="N168" s="11" t="n">
        <v>-2.51804397367462</v>
      </c>
      <c r="O168" s="11" t="n">
        <v>-2.12029834713547</v>
      </c>
      <c r="P168" s="4" t="n">
        <v>1</v>
      </c>
      <c r="Q168" s="11" t="n">
        <v>0.639900887051273</v>
      </c>
      <c r="R168" s="11" t="n">
        <v>0</v>
      </c>
      <c r="S168" s="11" t="n">
        <v>3.043890520652997</v>
      </c>
      <c r="T168" s="11" t="n">
        <v>2.233192747946701</v>
      </c>
      <c r="U168" s="11" t="n">
        <v>0.9095238095238096</v>
      </c>
      <c r="V168" s="11" t="n">
        <v>2.581893031226946</v>
      </c>
      <c r="W168" s="12" t="n">
        <v>69.23375129699707</v>
      </c>
    </row>
    <row r="169">
      <c r="A169" s="4" t="n">
        <v>168</v>
      </c>
      <c r="B169" s="4" t="inlineStr">
        <is>
          <t>tensile_MPa</t>
        </is>
      </c>
      <c r="C169" s="4" t="inlineStr">
        <is>
          <t>Exp2_BO</t>
        </is>
      </c>
      <c r="D169" s="4" t="n">
        <v>1</v>
      </c>
      <c r="E169" s="4" t="n">
        <v>20</v>
      </c>
      <c r="F169" s="4" t="inlineStr">
        <is>
          <t>GP</t>
        </is>
      </c>
      <c r="G169" s="4" t="inlineStr">
        <is>
          <t>matern52</t>
        </is>
      </c>
      <c r="H169" s="4" t="b">
        <v>0</v>
      </c>
      <c r="I169" s="4" t="b">
        <v>0</v>
      </c>
      <c r="J169" s="4" t="inlineStr">
        <is>
          <t>log1p</t>
        </is>
      </c>
      <c r="K169" s="4" t="inlineStr">
        <is>
          <t>log</t>
        </is>
      </c>
      <c r="L169" s="4" t="inlineStr">
        <is>
          <t>full_agg</t>
        </is>
      </c>
      <c r="M169" s="11" t="n">
        <v>-0.1969886544183792</v>
      </c>
      <c r="N169" s="11" t="n">
        <v>-2.796306294567438</v>
      </c>
      <c r="O169" s="11" t="n">
        <v>-2.616920025337395</v>
      </c>
      <c r="P169" s="4" t="n">
        <v>1</v>
      </c>
      <c r="Q169" s="11" t="n">
        <v>0.659334518574779</v>
      </c>
      <c r="R169" s="11" t="n">
        <v>0</v>
      </c>
      <c r="S169" s="11" t="n">
        <v>2.960615901533976</v>
      </c>
      <c r="T169" s="11" t="n">
        <v>2.342502944170624</v>
      </c>
      <c r="U169" s="11" t="n">
        <v>0.938095238095238</v>
      </c>
      <c r="V169" s="11" t="n">
        <v>2.528753153121509</v>
      </c>
      <c r="W169" s="12" t="n">
        <v>2.36599588394165</v>
      </c>
    </row>
    <row r="170">
      <c r="A170" s="4" t="n">
        <v>169</v>
      </c>
      <c r="B170" s="4" t="inlineStr">
        <is>
          <t>tensile_MPa</t>
        </is>
      </c>
      <c r="C170" s="4" t="inlineStr">
        <is>
          <t>Exp2_BO</t>
        </is>
      </c>
      <c r="D170" s="4" t="n">
        <v>1</v>
      </c>
      <c r="E170" s="4" t="n">
        <v>21</v>
      </c>
      <c r="F170" s="4" t="inlineStr">
        <is>
          <t>GP</t>
        </is>
      </c>
      <c r="G170" s="4" t="inlineStr">
        <is>
          <t>matern52</t>
        </is>
      </c>
      <c r="H170" s="4" t="b">
        <v>1</v>
      </c>
      <c r="I170" s="4" t="b">
        <v>0</v>
      </c>
      <c r="J170" s="4" t="inlineStr">
        <is>
          <t>log1p</t>
        </is>
      </c>
      <c r="K170" s="4" t="inlineStr">
        <is>
          <t>none</t>
        </is>
      </c>
      <c r="L170" s="4" t="inlineStr">
        <is>
          <t>compact</t>
        </is>
      </c>
      <c r="M170" s="11" t="n">
        <v>0.5188328869186778</v>
      </c>
      <c r="N170" s="11" t="n">
        <v>-0.0320969499134959</v>
      </c>
      <c r="O170" s="11" t="n">
        <v>-2.786038483208741</v>
      </c>
      <c r="P170" s="4" t="n">
        <v>1</v>
      </c>
      <c r="Q170" s="11" t="n">
        <v>0.5979485873261815</v>
      </c>
      <c r="R170" s="11" t="n">
        <v>0</v>
      </c>
      <c r="S170" s="11" t="n">
        <v>3.216316647176657</v>
      </c>
      <c r="T170" s="11" t="n">
        <v>2.351221173583145</v>
      </c>
      <c r="U170" s="11" t="n">
        <v>0.9095238095238096</v>
      </c>
      <c r="V170" s="11" t="n">
        <v>2.631260307929972</v>
      </c>
      <c r="W170" s="12" t="n">
        <v>47.24830412864685</v>
      </c>
    </row>
    <row r="171">
      <c r="A171" s="4" t="n">
        <v>170</v>
      </c>
      <c r="B171" s="4" t="inlineStr">
        <is>
          <t>tensile_MPa</t>
        </is>
      </c>
      <c r="C171" s="4" t="inlineStr">
        <is>
          <t>Exp2_BO</t>
        </is>
      </c>
      <c r="D171" s="4" t="n">
        <v>1</v>
      </c>
      <c r="E171" s="4" t="n">
        <v>22</v>
      </c>
      <c r="F171" s="4" t="inlineStr">
        <is>
          <t>GP</t>
        </is>
      </c>
      <c r="G171" s="4" t="inlineStr">
        <is>
          <t>matern52</t>
        </is>
      </c>
      <c r="H171" s="4" t="b">
        <v>0</v>
      </c>
      <c r="I171" s="4" t="b">
        <v>0</v>
      </c>
      <c r="J171" s="4" t="inlineStr">
        <is>
          <t>log1p</t>
        </is>
      </c>
      <c r="K171" s="4" t="inlineStr">
        <is>
          <t>log</t>
        </is>
      </c>
      <c r="L171" s="4" t="inlineStr">
        <is>
          <t>full_cure6</t>
        </is>
      </c>
      <c r="M171" s="11" t="n">
        <v>0.4415361275990885</v>
      </c>
      <c r="N171" s="11" t="n">
        <v>-0.1665081663304635</v>
      </c>
      <c r="O171" s="11" t="n">
        <v>-2.519328107895302</v>
      </c>
      <c r="P171" s="4" t="n">
        <v>1</v>
      </c>
      <c r="Q171" s="11" t="n">
        <v>0.6778236713773073</v>
      </c>
      <c r="R171" s="11" t="n">
        <v>0</v>
      </c>
      <c r="S171" s="11" t="n">
        <v>2.879153479237586</v>
      </c>
      <c r="T171" s="11" t="n">
        <v>2.246994357861481</v>
      </c>
      <c r="U171" s="11" t="n">
        <v>0.9523809523809524</v>
      </c>
      <c r="V171" s="11" t="n">
        <v>2.495662645968789</v>
      </c>
      <c r="W171" s="12" t="n">
        <v>1.932953596115112</v>
      </c>
    </row>
    <row r="172">
      <c r="A172" s="4" t="n">
        <v>171</v>
      </c>
      <c r="B172" s="4" t="inlineStr">
        <is>
          <t>tensile_MPa</t>
        </is>
      </c>
      <c r="C172" s="4" t="inlineStr">
        <is>
          <t>Exp2_BO</t>
        </is>
      </c>
      <c r="D172" s="4" t="n">
        <v>1</v>
      </c>
      <c r="E172" s="4" t="n">
        <v>23</v>
      </c>
      <c r="F172" s="4" t="inlineStr">
        <is>
          <t>GP</t>
        </is>
      </c>
      <c r="G172" s="4" t="inlineStr">
        <is>
          <t>matern12</t>
        </is>
      </c>
      <c r="H172" s="4" t="b">
        <v>0</v>
      </c>
      <c r="I172" s="4" t="b">
        <v>1</v>
      </c>
      <c r="J172" s="4" t="inlineStr">
        <is>
          <t>log1p</t>
        </is>
      </c>
      <c r="K172" s="4" t="inlineStr">
        <is>
          <t>none</t>
        </is>
      </c>
      <c r="L172" s="4" t="inlineStr">
        <is>
          <t>compact</t>
        </is>
      </c>
      <c r="M172" s="11" t="n">
        <v>-0.6246774255561758</v>
      </c>
      <c r="N172" s="11" t="n">
        <v>-1.079950282656554</v>
      </c>
      <c r="O172" s="11" t="n">
        <v>-4.126664344053967</v>
      </c>
      <c r="P172" s="4" t="n">
        <v>1</v>
      </c>
      <c r="Q172" s="11" t="n">
        <v>0.3031357360631569</v>
      </c>
      <c r="R172" s="11" t="n">
        <v>0</v>
      </c>
      <c r="S172" s="11" t="n">
        <v>4.234402128966613</v>
      </c>
      <c r="T172" s="11" t="n">
        <v>2.897605868983956</v>
      </c>
      <c r="U172" s="11" t="n">
        <v>0.9285714285714286</v>
      </c>
      <c r="V172" s="11" t="n">
        <v>2.721284704730412</v>
      </c>
      <c r="W172" s="12" t="n">
        <v>4.576089143753052</v>
      </c>
    </row>
    <row r="173">
      <c r="A173" s="4" t="n">
        <v>172</v>
      </c>
      <c r="B173" s="4" t="inlineStr">
        <is>
          <t>tensile_MPa</t>
        </is>
      </c>
      <c r="C173" s="4" t="inlineStr">
        <is>
          <t>Exp2_BO</t>
        </is>
      </c>
      <c r="D173" s="4" t="n">
        <v>1</v>
      </c>
      <c r="E173" s="4" t="n">
        <v>24</v>
      </c>
      <c r="F173" s="4" t="inlineStr">
        <is>
          <t>GP</t>
        </is>
      </c>
      <c r="G173" s="4" t="inlineStr">
        <is>
          <t>rbf</t>
        </is>
      </c>
      <c r="H173" s="4" t="b">
        <v>1</v>
      </c>
      <c r="I173" s="4" t="b">
        <v>1</v>
      </c>
      <c r="J173" s="4" t="inlineStr">
        <is>
          <t>std</t>
        </is>
      </c>
      <c r="K173" s="4" t="inlineStr">
        <is>
          <t>log</t>
        </is>
      </c>
      <c r="L173" s="4" t="inlineStr">
        <is>
          <t>full_agg</t>
        </is>
      </c>
      <c r="M173" s="11" t="n">
        <v>-0.6275209085024549</v>
      </c>
      <c r="N173" s="11" t="n">
        <v>-0.0338267234964715</v>
      </c>
      <c r="O173" s="11" t="n">
        <v>-4.942311424536863</v>
      </c>
      <c r="P173" s="4" t="n">
        <v>1</v>
      </c>
      <c r="Q173" s="11" t="n">
        <v>0.4443007583327634</v>
      </c>
      <c r="R173" s="11" t="n">
        <v>0</v>
      </c>
      <c r="S173" s="11" t="n">
        <v>3.781271874986845</v>
      </c>
      <c r="T173" s="11" t="n">
        <v>2.681372634737114</v>
      </c>
      <c r="U173" s="11" t="n">
        <v>0.8857142857142857</v>
      </c>
      <c r="V173" s="11" t="n">
        <v>2.75777571030714</v>
      </c>
      <c r="W173" s="12" t="n">
        <v>58.28080296516418</v>
      </c>
    </row>
    <row r="174">
      <c r="A174" s="4" t="n">
        <v>173</v>
      </c>
      <c r="B174" s="4" t="inlineStr">
        <is>
          <t>tensile_MPa</t>
        </is>
      </c>
      <c r="C174" s="4" t="inlineStr">
        <is>
          <t>Exp2_BO</t>
        </is>
      </c>
      <c r="D174" s="4" t="n">
        <v>1</v>
      </c>
      <c r="E174" s="4" t="n">
        <v>25</v>
      </c>
      <c r="F174" s="4" t="inlineStr">
        <is>
          <t>GP</t>
        </is>
      </c>
      <c r="G174" s="4" t="inlineStr">
        <is>
          <t>matern52</t>
        </is>
      </c>
      <c r="H174" s="4" t="b">
        <v>0</v>
      </c>
      <c r="I174" s="4" t="b">
        <v>0</v>
      </c>
      <c r="J174" s="4" t="inlineStr">
        <is>
          <t>log1p</t>
        </is>
      </c>
      <c r="K174" s="4" t="inlineStr">
        <is>
          <t>none</t>
        </is>
      </c>
      <c r="L174" s="4" t="inlineStr">
        <is>
          <t>compact</t>
        </is>
      </c>
      <c r="M174" s="11" t="n">
        <v>-0.4462175919092583</v>
      </c>
      <c r="N174" s="11" t="n">
        <v>-2.51804397367462</v>
      </c>
      <c r="O174" s="11" t="n">
        <v>-2.12029834713547</v>
      </c>
      <c r="P174" s="4" t="n">
        <v>1</v>
      </c>
      <c r="Q174" s="11" t="n">
        <v>0.5386048133230152</v>
      </c>
      <c r="R174" s="11" t="n">
        <v>0</v>
      </c>
      <c r="S174" s="11" t="n">
        <v>3.445518072073239</v>
      </c>
      <c r="T174" s="11" t="n">
        <v>2.679663895763914</v>
      </c>
      <c r="U174" s="11" t="n">
        <v>0.938095238095238</v>
      </c>
      <c r="V174" s="11" t="n">
        <v>2.663487859456326</v>
      </c>
      <c r="W174" s="12" t="n">
        <v>2.401914119720459</v>
      </c>
    </row>
    <row r="175">
      <c r="A175" s="4" t="n">
        <v>174</v>
      </c>
      <c r="B175" s="4" t="inlineStr">
        <is>
          <t>tensile_MPa</t>
        </is>
      </c>
      <c r="C175" s="4" t="inlineStr">
        <is>
          <t>Exp2_BO</t>
        </is>
      </c>
      <c r="D175" s="4" t="n">
        <v>1</v>
      </c>
      <c r="E175" s="4" t="n">
        <v>26</v>
      </c>
      <c r="F175" s="4" t="inlineStr">
        <is>
          <t>GP</t>
        </is>
      </c>
      <c r="G175" s="4" t="inlineStr">
        <is>
          <t>matern12</t>
        </is>
      </c>
      <c r="H175" s="4" t="b">
        <v>0</v>
      </c>
      <c r="I175" s="4" t="b">
        <v>0</v>
      </c>
      <c r="J175" s="4" t="inlineStr">
        <is>
          <t>log1p</t>
        </is>
      </c>
      <c r="K175" s="4" t="inlineStr">
        <is>
          <t>none</t>
        </is>
      </c>
      <c r="L175" s="4" t="inlineStr">
        <is>
          <t>full_agg</t>
        </is>
      </c>
      <c r="M175" s="11" t="n">
        <v>0.9133796745100238</v>
      </c>
      <c r="N175" s="11" t="n">
        <v>-0.3454667604397192</v>
      </c>
      <c r="O175" s="11" t="n">
        <v>-5.656352832220149</v>
      </c>
      <c r="P175" s="4" t="n">
        <v>1</v>
      </c>
      <c r="Q175" s="11" t="n">
        <v>0.6803384052958401</v>
      </c>
      <c r="R175" s="11" t="n">
        <v>0</v>
      </c>
      <c r="S175" s="11" t="n">
        <v>2.867894910324989</v>
      </c>
      <c r="T175" s="11" t="n">
        <v>2.214762005221535</v>
      </c>
      <c r="U175" s="11" t="n">
        <v>0.938095238095238</v>
      </c>
      <c r="V175" s="11" t="n">
        <v>2.503506365571091</v>
      </c>
      <c r="W175" s="12" t="n">
        <v>1.338132619857788</v>
      </c>
    </row>
    <row r="176">
      <c r="A176" s="4" t="n">
        <v>175</v>
      </c>
      <c r="B176" s="4" t="inlineStr">
        <is>
          <t>tensile_MPa</t>
        </is>
      </c>
      <c r="C176" s="4" t="inlineStr">
        <is>
          <t>Exp2_BO</t>
        </is>
      </c>
      <c r="D176" s="4" t="n">
        <v>1</v>
      </c>
      <c r="E176" s="4" t="n">
        <v>27</v>
      </c>
      <c r="F176" s="4" t="inlineStr">
        <is>
          <t>GP</t>
        </is>
      </c>
      <c r="G176" s="4" t="inlineStr">
        <is>
          <t>rbf</t>
        </is>
      </c>
      <c r="H176" s="4" t="b">
        <v>0</v>
      </c>
      <c r="I176" s="4" t="b">
        <v>0</v>
      </c>
      <c r="J176" s="4" t="inlineStr">
        <is>
          <t>log1p</t>
        </is>
      </c>
      <c r="K176" s="4" t="inlineStr">
        <is>
          <t>none</t>
        </is>
      </c>
      <c r="L176" s="4" t="inlineStr">
        <is>
          <t>full_cure6</t>
        </is>
      </c>
      <c r="M176" s="11" t="n">
        <v>0.0572154592688471</v>
      </c>
      <c r="N176" s="11" t="n">
        <v>-0.2263964368088631</v>
      </c>
      <c r="O176" s="11" t="n">
        <v>-2.167962587782013</v>
      </c>
      <c r="P176" s="4" t="n">
        <v>1</v>
      </c>
      <c r="Q176" s="11" t="n">
        <v>0.6873911993016143</v>
      </c>
      <c r="R176" s="11" t="n">
        <v>0</v>
      </c>
      <c r="S176" s="11" t="n">
        <v>2.83608081813004</v>
      </c>
      <c r="T176" s="11" t="n">
        <v>2.19313982506424</v>
      </c>
      <c r="U176" s="11" t="n">
        <v>0.938095238095238</v>
      </c>
      <c r="V176" s="11" t="n">
        <v>2.483343557125896</v>
      </c>
      <c r="W176" s="12" t="n">
        <v>2.242327451705933</v>
      </c>
    </row>
    <row r="177">
      <c r="A177" s="4" t="n">
        <v>176</v>
      </c>
      <c r="B177" s="4" t="inlineStr">
        <is>
          <t>tensile_MPa</t>
        </is>
      </c>
      <c r="C177" s="4" t="inlineStr">
        <is>
          <t>Exp2_BO</t>
        </is>
      </c>
      <c r="D177" s="4" t="n">
        <v>1</v>
      </c>
      <c r="E177" s="4" t="n">
        <v>28</v>
      </c>
      <c r="F177" s="4" t="inlineStr">
        <is>
          <t>GP</t>
        </is>
      </c>
      <c r="G177" s="4" t="inlineStr">
        <is>
          <t>matern52</t>
        </is>
      </c>
      <c r="H177" s="4" t="b">
        <v>0</v>
      </c>
      <c r="I177" s="4" t="b">
        <v>1</v>
      </c>
      <c r="J177" s="4" t="inlineStr">
        <is>
          <t>std</t>
        </is>
      </c>
      <c r="K177" s="4" t="inlineStr">
        <is>
          <t>none</t>
        </is>
      </c>
      <c r="L177" s="4" t="inlineStr">
        <is>
          <t>full_cure6</t>
        </is>
      </c>
      <c r="M177" s="11" t="n">
        <v>-0.965647691730221</v>
      </c>
      <c r="N177" s="11" t="n">
        <v>-0.6685634563644061</v>
      </c>
      <c r="O177" s="11" t="n">
        <v>-5.819501667724891</v>
      </c>
      <c r="P177" s="4" t="n">
        <v>1</v>
      </c>
      <c r="Q177" s="11" t="n">
        <v>0.4669966056826393</v>
      </c>
      <c r="R177" s="11" t="n">
        <v>0</v>
      </c>
      <c r="S177" s="11" t="n">
        <v>3.703249643879818</v>
      </c>
      <c r="T177" s="11" t="n">
        <v>2.495243970821522</v>
      </c>
      <c r="U177" s="11" t="n">
        <v>0.9285714285714286</v>
      </c>
      <c r="V177" s="11" t="n">
        <v>2.53947472096201</v>
      </c>
      <c r="W177" s="12" t="n">
        <v>10.90397024154663</v>
      </c>
    </row>
    <row r="178">
      <c r="A178" s="4" t="n">
        <v>177</v>
      </c>
      <c r="B178" s="4" t="inlineStr">
        <is>
          <t>tensile_MPa</t>
        </is>
      </c>
      <c r="C178" s="4" t="inlineStr">
        <is>
          <t>Exp2_BO</t>
        </is>
      </c>
      <c r="D178" s="4" t="n">
        <v>1</v>
      </c>
      <c r="E178" s="4" t="n">
        <v>29</v>
      </c>
      <c r="F178" s="4" t="inlineStr">
        <is>
          <t>GP</t>
        </is>
      </c>
      <c r="G178" s="4" t="inlineStr">
        <is>
          <t>matern12</t>
        </is>
      </c>
      <c r="H178" s="4" t="b">
        <v>1</v>
      </c>
      <c r="I178" s="4" t="b">
        <v>0</v>
      </c>
      <c r="J178" s="4" t="inlineStr">
        <is>
          <t>log1p</t>
        </is>
      </c>
      <c r="K178" s="4" t="inlineStr">
        <is>
          <t>log</t>
        </is>
      </c>
      <c r="L178" s="4" t="inlineStr">
        <is>
          <t>full_agg</t>
        </is>
      </c>
      <c r="M178" s="11" t="n">
        <v>0.9734005515472612</v>
      </c>
      <c r="N178" s="11" t="n">
        <v>-0.842170971165737</v>
      </c>
      <c r="O178" s="11" t="n">
        <v>-3.732549643056189</v>
      </c>
      <c r="P178" s="4" t="n">
        <v>1</v>
      </c>
      <c r="Q178" s="11" t="n">
        <v>0.6549587273752446</v>
      </c>
      <c r="R178" s="11" t="n">
        <v>0</v>
      </c>
      <c r="S178" s="11" t="n">
        <v>2.979569539992948</v>
      </c>
      <c r="T178" s="11" t="n">
        <v>2.294360460779427</v>
      </c>
      <c r="U178" s="11" t="n">
        <v>0.9095238095238096</v>
      </c>
      <c r="V178" s="11" t="n">
        <v>2.574798913426523</v>
      </c>
      <c r="W178" s="12" t="n">
        <v>68.44985198974609</v>
      </c>
    </row>
    <row r="179">
      <c r="A179" s="4" t="n">
        <v>178</v>
      </c>
      <c r="B179" s="4" t="inlineStr">
        <is>
          <t>tensile_MPa</t>
        </is>
      </c>
      <c r="C179" s="4" t="inlineStr">
        <is>
          <t>Exp2_BO</t>
        </is>
      </c>
      <c r="D179" s="4" t="n">
        <v>2</v>
      </c>
      <c r="E179" s="4" t="n">
        <v>0</v>
      </c>
      <c r="F179" s="4" t="inlineStr">
        <is>
          <t>GP</t>
        </is>
      </c>
      <c r="G179" s="4" t="inlineStr">
        <is>
          <t>rq</t>
        </is>
      </c>
      <c r="H179" s="4" t="b">
        <v>1</v>
      </c>
      <c r="I179" s="4" t="b">
        <v>0</v>
      </c>
      <c r="J179" s="4" t="inlineStr">
        <is>
          <t>std</t>
        </is>
      </c>
      <c r="K179" s="4" t="inlineStr">
        <is>
          <t>none</t>
        </is>
      </c>
      <c r="L179" s="4" t="inlineStr">
        <is>
          <t>compact</t>
        </is>
      </c>
      <c r="M179" s="11" t="n">
        <v>-0.8161681157298062</v>
      </c>
      <c r="N179" s="11" t="n">
        <v>-1.199698422103038</v>
      </c>
      <c r="O179" s="11" t="n">
        <v>-3.085757892752821</v>
      </c>
      <c r="P179" s="4" t="n">
        <v>1</v>
      </c>
      <c r="Q179" s="11" t="n">
        <v>0.5372420222684962</v>
      </c>
      <c r="R179" s="11" t="n">
        <v>0</v>
      </c>
      <c r="S179" s="11" t="n">
        <v>3.450602714527495</v>
      </c>
      <c r="T179" s="11" t="n">
        <v>2.575877893134893</v>
      </c>
      <c r="U179" s="11" t="n">
        <v>0.9285714285714286</v>
      </c>
      <c r="V179" s="11" t="n">
        <v>2.649231527122391</v>
      </c>
      <c r="W179" s="12" t="n">
        <v>5.544625520706177</v>
      </c>
    </row>
    <row r="180">
      <c r="A180" s="4" t="n">
        <v>179</v>
      </c>
      <c r="B180" s="4" t="inlineStr">
        <is>
          <t>tensile_MPa</t>
        </is>
      </c>
      <c r="C180" s="4" t="inlineStr">
        <is>
          <t>Exp2_BO</t>
        </is>
      </c>
      <c r="D180" s="4" t="n">
        <v>2</v>
      </c>
      <c r="E180" s="4" t="n">
        <v>1</v>
      </c>
      <c r="F180" s="4" t="inlineStr">
        <is>
          <t>GP</t>
        </is>
      </c>
      <c r="G180" s="4" t="inlineStr">
        <is>
          <t>rq</t>
        </is>
      </c>
      <c r="H180" s="4" t="b">
        <v>1</v>
      </c>
      <c r="I180" s="4" t="b">
        <v>1</v>
      </c>
      <c r="J180" s="4" t="inlineStr">
        <is>
          <t>std</t>
        </is>
      </c>
      <c r="K180" s="4" t="inlineStr">
        <is>
          <t>log</t>
        </is>
      </c>
      <c r="L180" s="4" t="inlineStr">
        <is>
          <t>full_agg</t>
        </is>
      </c>
      <c r="M180" s="11" t="n">
        <v>0.3148660297511851</v>
      </c>
      <c r="N180" s="11" t="n">
        <v>-1.313203011658716</v>
      </c>
      <c r="O180" s="11" t="n">
        <v>-5.399750946778656</v>
      </c>
      <c r="P180" s="4" t="n">
        <v>1</v>
      </c>
      <c r="Q180" s="11" t="n">
        <v>0.5552017977974382</v>
      </c>
      <c r="R180" s="11" t="n">
        <v>0</v>
      </c>
      <c r="S180" s="11" t="n">
        <v>3.382980652138796</v>
      </c>
      <c r="T180" s="11" t="n">
        <v>2.536741657237863</v>
      </c>
      <c r="U180" s="11" t="n">
        <v>0.9523809523809524</v>
      </c>
      <c r="V180" s="11" t="n">
        <v>2.569609584493687</v>
      </c>
      <c r="W180" s="12" t="n">
        <v>15.08906579017639</v>
      </c>
    </row>
    <row r="181">
      <c r="A181" s="4" t="n">
        <v>180</v>
      </c>
      <c r="B181" s="4" t="inlineStr">
        <is>
          <t>tensile_MPa</t>
        </is>
      </c>
      <c r="C181" s="4" t="inlineStr">
        <is>
          <t>Exp2_BO</t>
        </is>
      </c>
      <c r="D181" s="4" t="n">
        <v>2</v>
      </c>
      <c r="E181" s="4" t="n">
        <v>2</v>
      </c>
      <c r="F181" s="4" t="inlineStr">
        <is>
          <t>GP</t>
        </is>
      </c>
      <c r="G181" s="4" t="inlineStr">
        <is>
          <t>matern52</t>
        </is>
      </c>
      <c r="H181" s="4" t="b">
        <v>1</v>
      </c>
      <c r="I181" s="4" t="b">
        <v>1</v>
      </c>
      <c r="J181" s="4" t="inlineStr">
        <is>
          <t>log1p</t>
        </is>
      </c>
      <c r="K181" s="4" t="inlineStr">
        <is>
          <t>log</t>
        </is>
      </c>
      <c r="L181" s="4" t="inlineStr">
        <is>
          <t>full_agg</t>
        </is>
      </c>
      <c r="M181" s="11" t="n">
        <v>0.2663687985482328</v>
      </c>
      <c r="N181" s="11" t="n">
        <v>-0.0976921425189702</v>
      </c>
      <c r="O181" s="11" t="n">
        <v>-3.267740710761499</v>
      </c>
      <c r="P181" s="4" t="n">
        <v>1</v>
      </c>
      <c r="Q181" s="11" t="n">
        <v>0.6242028120462055</v>
      </c>
      <c r="R181" s="11" t="n">
        <v>0</v>
      </c>
      <c r="S181" s="11" t="n">
        <v>3.109530101912315</v>
      </c>
      <c r="T181" s="11" t="n">
        <v>2.391449645466356</v>
      </c>
      <c r="U181" s="11" t="n">
        <v>0.9285714285714286</v>
      </c>
      <c r="V181" s="11" t="n">
        <v>2.650014379575808</v>
      </c>
      <c r="W181" s="12" t="n">
        <v>99.43765449523926</v>
      </c>
    </row>
    <row r="182">
      <c r="A182" s="4" t="n">
        <v>181</v>
      </c>
      <c r="B182" s="4" t="inlineStr">
        <is>
          <t>tensile_MPa</t>
        </is>
      </c>
      <c r="C182" s="4" t="inlineStr">
        <is>
          <t>Exp2_BO</t>
        </is>
      </c>
      <c r="D182" s="4" t="n">
        <v>2</v>
      </c>
      <c r="E182" s="4" t="n">
        <v>3</v>
      </c>
      <c r="F182" s="4" t="inlineStr">
        <is>
          <t>GP</t>
        </is>
      </c>
      <c r="G182" s="4" t="inlineStr">
        <is>
          <t>matern12</t>
        </is>
      </c>
      <c r="H182" s="4" t="b">
        <v>1</v>
      </c>
      <c r="I182" s="4" t="b">
        <v>0</v>
      </c>
      <c r="J182" s="4" t="inlineStr">
        <is>
          <t>std</t>
        </is>
      </c>
      <c r="K182" s="4" t="inlineStr">
        <is>
          <t>none</t>
        </is>
      </c>
      <c r="L182" s="4" t="inlineStr">
        <is>
          <t>full_agg</t>
        </is>
      </c>
      <c r="M182" s="11" t="n">
        <v>0.0221319471391541</v>
      </c>
      <c r="N182" s="11" t="n">
        <v>-0.3263717714982626</v>
      </c>
      <c r="O182" s="11" t="n">
        <v>-2.897744230109242</v>
      </c>
      <c r="P182" s="4" t="n">
        <v>1</v>
      </c>
      <c r="Q182" s="11" t="n">
        <v>0.6295881905539271</v>
      </c>
      <c r="R182" s="11" t="n">
        <v>0</v>
      </c>
      <c r="S182" s="11" t="n">
        <v>3.087169070880813</v>
      </c>
      <c r="T182" s="11" t="n">
        <v>2.352843204986272</v>
      </c>
      <c r="U182" s="11" t="n">
        <v>0.9142857142857144</v>
      </c>
      <c r="V182" s="11" t="n">
        <v>2.554267572127759</v>
      </c>
      <c r="W182" s="12" t="n">
        <v>59.7788827419281</v>
      </c>
    </row>
    <row r="183">
      <c r="A183" s="4" t="n">
        <v>182</v>
      </c>
      <c r="B183" s="4" t="inlineStr">
        <is>
          <t>tensile_MPa</t>
        </is>
      </c>
      <c r="C183" s="4" t="inlineStr">
        <is>
          <t>Exp2_BO</t>
        </is>
      </c>
      <c r="D183" s="4" t="n">
        <v>2</v>
      </c>
      <c r="E183" s="4" t="n">
        <v>4</v>
      </c>
      <c r="F183" s="4" t="inlineStr">
        <is>
          <t>GP</t>
        </is>
      </c>
      <c r="G183" s="4" t="inlineStr">
        <is>
          <t>rq</t>
        </is>
      </c>
      <c r="H183" s="4" t="b">
        <v>1</v>
      </c>
      <c r="I183" s="4" t="b">
        <v>1</v>
      </c>
      <c r="J183" s="4" t="inlineStr">
        <is>
          <t>log1p</t>
        </is>
      </c>
      <c r="K183" s="4" t="inlineStr">
        <is>
          <t>none</t>
        </is>
      </c>
      <c r="L183" s="4" t="inlineStr">
        <is>
          <t>full_agg</t>
        </is>
      </c>
      <c r="M183" s="11" t="n">
        <v>0.3875176844044601</v>
      </c>
      <c r="N183" s="11" t="n">
        <v>-2.678378074639236</v>
      </c>
      <c r="O183" s="11" t="n">
        <v>-5.581825766268234</v>
      </c>
      <c r="P183" s="4" t="n">
        <v>1</v>
      </c>
      <c r="Q183" s="11" t="n">
        <v>0.6138942840694152</v>
      </c>
      <c r="R183" s="11" t="n">
        <v>0</v>
      </c>
      <c r="S183" s="11" t="n">
        <v>3.151890475584571</v>
      </c>
      <c r="T183" s="11" t="n">
        <v>2.43060723577435</v>
      </c>
      <c r="U183" s="11" t="n">
        <v>0.9285714285714286</v>
      </c>
      <c r="V183" s="11" t="n">
        <v>2.520406996199071</v>
      </c>
      <c r="W183" s="12" t="n">
        <v>11.73140811920166</v>
      </c>
    </row>
    <row r="184">
      <c r="A184" s="4" t="n">
        <v>183</v>
      </c>
      <c r="B184" s="4" t="inlineStr">
        <is>
          <t>tensile_MPa</t>
        </is>
      </c>
      <c r="C184" s="4" t="inlineStr">
        <is>
          <t>Exp2_BO</t>
        </is>
      </c>
      <c r="D184" s="4" t="n">
        <v>2</v>
      </c>
      <c r="E184" s="4" t="n">
        <v>5</v>
      </c>
      <c r="F184" s="4" t="inlineStr">
        <is>
          <t>GP</t>
        </is>
      </c>
      <c r="G184" s="4" t="inlineStr">
        <is>
          <t>rq</t>
        </is>
      </c>
      <c r="H184" s="4" t="b">
        <v>1</v>
      </c>
      <c r="I184" s="4" t="b">
        <v>0</v>
      </c>
      <c r="J184" s="4" t="inlineStr">
        <is>
          <t>log1p</t>
        </is>
      </c>
      <c r="K184" s="4" t="inlineStr">
        <is>
          <t>log</t>
        </is>
      </c>
      <c r="L184" s="4" t="inlineStr">
        <is>
          <t>full_cure6</t>
        </is>
      </c>
      <c r="M184" s="11" t="n">
        <v>0.6984726472288691</v>
      </c>
      <c r="N184" s="11" t="n">
        <v>-1.066691192383448</v>
      </c>
      <c r="O184" s="11" t="n">
        <v>-4.373830409297854</v>
      </c>
      <c r="P184" s="4" t="n">
        <v>1</v>
      </c>
      <c r="Q184" s="11" t="n">
        <v>0.671348082896923</v>
      </c>
      <c r="R184" s="11" t="n">
        <v>0</v>
      </c>
      <c r="S184" s="11" t="n">
        <v>2.907944325095325</v>
      </c>
      <c r="T184" s="11" t="n">
        <v>2.27774936238409</v>
      </c>
      <c r="U184" s="11" t="n">
        <v>0.9476190476190476</v>
      </c>
      <c r="V184" s="11" t="n">
        <v>2.50730466978772</v>
      </c>
      <c r="W184" s="12" t="n">
        <v>4.406438827514648</v>
      </c>
    </row>
    <row r="185">
      <c r="A185" s="4" t="n">
        <v>184</v>
      </c>
      <c r="B185" s="4" t="inlineStr">
        <is>
          <t>tensile_MPa</t>
        </is>
      </c>
      <c r="C185" s="4" t="inlineStr">
        <is>
          <t>Exp2_BO</t>
        </is>
      </c>
      <c r="D185" s="4" t="n">
        <v>2</v>
      </c>
      <c r="E185" s="4" t="n">
        <v>6</v>
      </c>
      <c r="F185" s="4" t="inlineStr">
        <is>
          <t>GP</t>
        </is>
      </c>
      <c r="G185" s="4" t="inlineStr">
        <is>
          <t>matern32</t>
        </is>
      </c>
      <c r="H185" s="4" t="b">
        <v>0</v>
      </c>
      <c r="I185" s="4" t="b">
        <v>1</v>
      </c>
      <c r="J185" s="4" t="inlineStr">
        <is>
          <t>log1p</t>
        </is>
      </c>
      <c r="K185" s="4" t="inlineStr">
        <is>
          <t>none</t>
        </is>
      </c>
      <c r="L185" s="4" t="inlineStr">
        <is>
          <t>compact</t>
        </is>
      </c>
      <c r="M185" s="11" t="n">
        <v>-0.12362766768175</v>
      </c>
      <c r="N185" s="11" t="n">
        <v>-0.3232796701000713</v>
      </c>
      <c r="O185" s="11" t="n">
        <v>-3.545132246389651</v>
      </c>
      <c r="P185" s="4" t="n">
        <v>1</v>
      </c>
      <c r="Q185" s="11" t="n">
        <v>0.2780223405443817</v>
      </c>
      <c r="R185" s="11" t="n">
        <v>0</v>
      </c>
      <c r="S185" s="11" t="n">
        <v>4.310025919903531</v>
      </c>
      <c r="T185" s="11" t="n">
        <v>2.964922304318797</v>
      </c>
      <c r="U185" s="11" t="n">
        <v>0.919047619047619</v>
      </c>
      <c r="V185" s="11" t="n">
        <v>2.748918542319504</v>
      </c>
      <c r="W185" s="12" t="n">
        <v>6.872733354568481</v>
      </c>
    </row>
    <row r="186">
      <c r="A186" s="4" t="n">
        <v>185</v>
      </c>
      <c r="B186" s="4" t="inlineStr">
        <is>
          <t>tensile_MPa</t>
        </is>
      </c>
      <c r="C186" s="4" t="inlineStr">
        <is>
          <t>Exp2_BO</t>
        </is>
      </c>
      <c r="D186" s="4" t="n">
        <v>2</v>
      </c>
      <c r="E186" s="4" t="n">
        <v>7</v>
      </c>
      <c r="F186" s="4" t="inlineStr">
        <is>
          <t>GP</t>
        </is>
      </c>
      <c r="G186" s="4" t="inlineStr">
        <is>
          <t>rbf</t>
        </is>
      </c>
      <c r="H186" s="4" t="b">
        <v>0</v>
      </c>
      <c r="I186" s="4" t="b">
        <v>0</v>
      </c>
      <c r="J186" s="4" t="inlineStr">
        <is>
          <t>std</t>
        </is>
      </c>
      <c r="K186" s="4" t="inlineStr">
        <is>
          <t>none</t>
        </is>
      </c>
      <c r="L186" s="4" t="inlineStr">
        <is>
          <t>full_cure6</t>
        </is>
      </c>
      <c r="M186" s="11" t="n">
        <v>-0.3219492507013799</v>
      </c>
      <c r="N186" s="11" t="n">
        <v>-1.431514488228708</v>
      </c>
      <c r="O186" s="11" t="n">
        <v>-5.135106435923943</v>
      </c>
      <c r="P186" s="4" t="n">
        <v>1</v>
      </c>
      <c r="Q186" s="11" t="n">
        <v>0.6239059320805784</v>
      </c>
      <c r="R186" s="11" t="n">
        <v>0</v>
      </c>
      <c r="S186" s="11" t="n">
        <v>3.11075812459008</v>
      </c>
      <c r="T186" s="11" t="n">
        <v>2.339628100153984</v>
      </c>
      <c r="U186" s="11" t="n">
        <v>0.9285714285714286</v>
      </c>
      <c r="V186" s="11" t="n">
        <v>2.54907135591245</v>
      </c>
      <c r="W186" s="12" t="n">
        <v>2.033539295196533</v>
      </c>
    </row>
    <row r="187">
      <c r="A187" s="4" t="n">
        <v>186</v>
      </c>
      <c r="B187" s="4" t="inlineStr">
        <is>
          <t>tensile_MPa</t>
        </is>
      </c>
      <c r="C187" s="4" t="inlineStr">
        <is>
          <t>Exp2_BO</t>
        </is>
      </c>
      <c r="D187" s="4" t="n">
        <v>2</v>
      </c>
      <c r="E187" s="4" t="n">
        <v>8</v>
      </c>
      <c r="F187" s="4" t="inlineStr">
        <is>
          <t>GP</t>
        </is>
      </c>
      <c r="G187" s="4" t="inlineStr">
        <is>
          <t>matern12</t>
        </is>
      </c>
      <c r="H187" s="4" t="b">
        <v>1</v>
      </c>
      <c r="I187" s="4" t="b">
        <v>0</v>
      </c>
      <c r="J187" s="4" t="inlineStr">
        <is>
          <t>log1p</t>
        </is>
      </c>
      <c r="K187" s="4" t="inlineStr">
        <is>
          <t>none</t>
        </is>
      </c>
      <c r="L187" s="4" t="inlineStr">
        <is>
          <t>full</t>
        </is>
      </c>
      <c r="M187" s="11" t="n">
        <v>0.7164442009195271</v>
      </c>
      <c r="N187" s="11" t="n">
        <v>-0.2211900897311425</v>
      </c>
      <c r="O187" s="11" t="n">
        <v>-2.025198278716004</v>
      </c>
      <c r="P187" s="4" t="n">
        <v>1</v>
      </c>
      <c r="Q187" s="11" t="n">
        <v>0.6297605729491875</v>
      </c>
      <c r="R187" s="11" t="n">
        <v>0</v>
      </c>
      <c r="S187" s="11" t="n">
        <v>3.086450633299125</v>
      </c>
      <c r="T187" s="11" t="n">
        <v>2.349809420476508</v>
      </c>
      <c r="U187" s="11" t="n">
        <v>0.919047619047619</v>
      </c>
      <c r="V187" s="11" t="n">
        <v>2.555863632317072</v>
      </c>
      <c r="W187" s="12" t="n">
        <v>47.9797101020813</v>
      </c>
    </row>
    <row r="188">
      <c r="A188" s="4" t="n">
        <v>187</v>
      </c>
      <c r="B188" s="4" t="inlineStr">
        <is>
          <t>tensile_MPa</t>
        </is>
      </c>
      <c r="C188" s="4" t="inlineStr">
        <is>
          <t>Exp2_BO</t>
        </is>
      </c>
      <c r="D188" s="4" t="n">
        <v>2</v>
      </c>
      <c r="E188" s="4" t="n">
        <v>9</v>
      </c>
      <c r="F188" s="4" t="inlineStr">
        <is>
          <t>GP</t>
        </is>
      </c>
      <c r="G188" s="4" t="inlineStr">
        <is>
          <t>matern32</t>
        </is>
      </c>
      <c r="H188" s="4" t="b">
        <v>1</v>
      </c>
      <c r="I188" s="4" t="b">
        <v>0</v>
      </c>
      <c r="J188" s="4" t="inlineStr">
        <is>
          <t>log1p</t>
        </is>
      </c>
      <c r="K188" s="4" t="inlineStr">
        <is>
          <t>log</t>
        </is>
      </c>
      <c r="L188" s="4" t="inlineStr">
        <is>
          <t>full_agg</t>
        </is>
      </c>
      <c r="M188" s="11" t="n">
        <v>0.3109570701405144</v>
      </c>
      <c r="N188" s="11" t="n">
        <v>-0.9334556792287492</v>
      </c>
      <c r="O188" s="11" t="n">
        <v>-2.055767078805657</v>
      </c>
      <c r="P188" s="4" t="n">
        <v>1</v>
      </c>
      <c r="Q188" s="11" t="n">
        <v>0.6419216997651574</v>
      </c>
      <c r="R188" s="11" t="n">
        <v>0</v>
      </c>
      <c r="S188" s="11" t="n">
        <v>3.0353376160361</v>
      </c>
      <c r="T188" s="11" t="n">
        <v>2.361901080770698</v>
      </c>
      <c r="U188" s="11" t="n">
        <v>0.9285714285714286</v>
      </c>
      <c r="V188" s="11" t="n">
        <v>2.604075013170892</v>
      </c>
      <c r="W188" s="12" t="n">
        <v>84.51993083953857</v>
      </c>
    </row>
    <row r="189">
      <c r="A189" s="4" t="n">
        <v>188</v>
      </c>
      <c r="B189" s="4" t="inlineStr">
        <is>
          <t>tensile_MPa</t>
        </is>
      </c>
      <c r="C189" s="4" t="inlineStr">
        <is>
          <t>Exp2_BO</t>
        </is>
      </c>
      <c r="D189" s="4" t="n">
        <v>2</v>
      </c>
      <c r="E189" s="4" t="n">
        <v>10</v>
      </c>
      <c r="F189" s="4" t="inlineStr">
        <is>
          <t>GP</t>
        </is>
      </c>
      <c r="G189" s="4" t="inlineStr">
        <is>
          <t>rbf</t>
        </is>
      </c>
      <c r="H189" s="4" t="b">
        <v>1</v>
      </c>
      <c r="I189" s="4" t="b">
        <v>0</v>
      </c>
      <c r="J189" s="4" t="inlineStr">
        <is>
          <t>log1p</t>
        </is>
      </c>
      <c r="K189" s="4" t="inlineStr">
        <is>
          <t>log</t>
        </is>
      </c>
      <c r="L189" s="4" t="inlineStr">
        <is>
          <t>full_cure6</t>
        </is>
      </c>
      <c r="M189" s="11" t="n">
        <v>-0.1601070637773332</v>
      </c>
      <c r="N189" s="11" t="n">
        <v>-2.007660507425768</v>
      </c>
      <c r="O189" s="11" t="n">
        <v>-4.900910864717151</v>
      </c>
      <c r="P189" s="4" t="n">
        <v>1</v>
      </c>
      <c r="Q189" s="11" t="n">
        <v>0.603355749411882</v>
      </c>
      <c r="R189" s="11" t="n">
        <v>0</v>
      </c>
      <c r="S189" s="11" t="n">
        <v>3.194615423776209</v>
      </c>
      <c r="T189" s="11" t="n">
        <v>2.387454669681411</v>
      </c>
      <c r="U189" s="11" t="n">
        <v>0.919047619047619</v>
      </c>
      <c r="V189" s="11" t="n">
        <v>2.828140381347203</v>
      </c>
      <c r="W189" s="12" t="n">
        <v>38.81641292572021</v>
      </c>
    </row>
    <row r="190">
      <c r="A190" s="4" t="n">
        <v>189</v>
      </c>
      <c r="B190" s="4" t="inlineStr">
        <is>
          <t>tensile_MPa</t>
        </is>
      </c>
      <c r="C190" s="4" t="inlineStr">
        <is>
          <t>Exp2_BO</t>
        </is>
      </c>
      <c r="D190" s="4" t="n">
        <v>2</v>
      </c>
      <c r="E190" s="4" t="n">
        <v>11</v>
      </c>
      <c r="F190" s="4" t="inlineStr">
        <is>
          <t>GP</t>
        </is>
      </c>
      <c r="G190" s="4" t="inlineStr">
        <is>
          <t>rq</t>
        </is>
      </c>
      <c r="H190" s="4" t="b">
        <v>0</v>
      </c>
      <c r="I190" s="4" t="b">
        <v>1</v>
      </c>
      <c r="J190" s="4" t="inlineStr">
        <is>
          <t>std</t>
        </is>
      </c>
      <c r="K190" s="4" t="inlineStr">
        <is>
          <t>none</t>
        </is>
      </c>
      <c r="L190" s="4" t="inlineStr">
        <is>
          <t>full_cure6</t>
        </is>
      </c>
      <c r="M190" s="11" t="n">
        <v>-0.3041767968634332</v>
      </c>
      <c r="N190" s="11" t="n">
        <v>-1.608302008208955</v>
      </c>
      <c r="O190" s="11" t="n">
        <v>-3.994739132811497</v>
      </c>
      <c r="P190" s="4" t="n">
        <v>1</v>
      </c>
      <c r="Q190" s="11" t="n">
        <v>0.4177395398319297</v>
      </c>
      <c r="R190" s="11" t="n">
        <v>0</v>
      </c>
      <c r="S190" s="11" t="n">
        <v>3.870585381305597</v>
      </c>
      <c r="T190" s="11" t="n">
        <v>2.545256255622104</v>
      </c>
      <c r="U190" s="11" t="n">
        <v>0.9285714285714286</v>
      </c>
      <c r="V190" s="11" t="n">
        <v>2.542096758233922</v>
      </c>
      <c r="W190" s="12" t="n">
        <v>10.1931893825531</v>
      </c>
    </row>
    <row r="191">
      <c r="A191" s="4" t="n">
        <v>190</v>
      </c>
      <c r="B191" s="4" t="inlineStr">
        <is>
          <t>tensile_MPa</t>
        </is>
      </c>
      <c r="C191" s="4" t="inlineStr">
        <is>
          <t>Exp2_BO</t>
        </is>
      </c>
      <c r="D191" s="4" t="n">
        <v>2</v>
      </c>
      <c r="E191" s="4" t="n">
        <v>12</v>
      </c>
      <c r="F191" s="4" t="inlineStr">
        <is>
          <t>GP</t>
        </is>
      </c>
      <c r="G191" s="4" t="inlineStr">
        <is>
          <t>matern52</t>
        </is>
      </c>
      <c r="H191" s="4" t="b">
        <v>1</v>
      </c>
      <c r="I191" s="4" t="b">
        <v>1</v>
      </c>
      <c r="J191" s="4" t="inlineStr">
        <is>
          <t>log1p</t>
        </is>
      </c>
      <c r="K191" s="4" t="inlineStr">
        <is>
          <t>none</t>
        </is>
      </c>
      <c r="L191" s="4" t="inlineStr">
        <is>
          <t>compact</t>
        </is>
      </c>
      <c r="M191" s="11" t="n">
        <v>-0.9990653839586292</v>
      </c>
      <c r="N191" s="11" t="n">
        <v>-2.333635988779784</v>
      </c>
      <c r="O191" s="11" t="n">
        <v>-2.260240552369065</v>
      </c>
      <c r="P191" s="4" t="n">
        <v>1</v>
      </c>
      <c r="Q191" s="11" t="n">
        <v>0.4810774606941056</v>
      </c>
      <c r="R191" s="11" t="n">
        <v>0</v>
      </c>
      <c r="S191" s="11" t="n">
        <v>3.654006113848392</v>
      </c>
      <c r="T191" s="11" t="n">
        <v>2.588429930675175</v>
      </c>
      <c r="U191" s="11" t="n">
        <v>0.9095238095238096</v>
      </c>
      <c r="V191" s="11" t="n">
        <v>2.662250063169664</v>
      </c>
      <c r="W191" s="12" t="n">
        <v>52.29583621025085</v>
      </c>
    </row>
    <row r="192">
      <c r="A192" s="4" t="n">
        <v>191</v>
      </c>
      <c r="B192" s="4" t="inlineStr">
        <is>
          <t>tensile_MPa</t>
        </is>
      </c>
      <c r="C192" s="4" t="inlineStr">
        <is>
          <t>Exp2_BO</t>
        </is>
      </c>
      <c r="D192" s="4" t="n">
        <v>2</v>
      </c>
      <c r="E192" s="4" t="n">
        <v>13</v>
      </c>
      <c r="F192" s="4" t="inlineStr">
        <is>
          <t>GP</t>
        </is>
      </c>
      <c r="G192" s="4" t="inlineStr">
        <is>
          <t>matern52</t>
        </is>
      </c>
      <c r="H192" s="4" t="b">
        <v>0</v>
      </c>
      <c r="I192" s="4" t="b">
        <v>0</v>
      </c>
      <c r="J192" s="4" t="inlineStr">
        <is>
          <t>log1p</t>
        </is>
      </c>
      <c r="K192" s="4" t="inlineStr">
        <is>
          <t>log</t>
        </is>
      </c>
      <c r="L192" s="4" t="inlineStr">
        <is>
          <t>full_cure6</t>
        </is>
      </c>
      <c r="M192" s="11" t="n">
        <v>0.180853340169389</v>
      </c>
      <c r="N192" s="11" t="n">
        <v>-2.96687600856449</v>
      </c>
      <c r="O192" s="11" t="n">
        <v>-3.925535365518785</v>
      </c>
      <c r="P192" s="4" t="n">
        <v>1</v>
      </c>
      <c r="Q192" s="11" t="n">
        <v>0.677823992099666</v>
      </c>
      <c r="R192" s="11" t="n">
        <v>0</v>
      </c>
      <c r="S192" s="11" t="n">
        <v>2.879152046157246</v>
      </c>
      <c r="T192" s="11" t="n">
        <v>2.246993201609082</v>
      </c>
      <c r="U192" s="11" t="n">
        <v>0.9523809523809524</v>
      </c>
      <c r="V192" s="11" t="n">
        <v>2.495662534172173</v>
      </c>
      <c r="W192" s="12" t="n">
        <v>3.123237133026123</v>
      </c>
    </row>
    <row r="193">
      <c r="A193" s="4" t="n">
        <v>192</v>
      </c>
      <c r="B193" s="4" t="inlineStr">
        <is>
          <t>tensile_MPa</t>
        </is>
      </c>
      <c r="C193" s="4" t="inlineStr">
        <is>
          <t>Exp2_BO</t>
        </is>
      </c>
      <c r="D193" s="4" t="n">
        <v>2</v>
      </c>
      <c r="E193" s="4" t="n">
        <v>14</v>
      </c>
      <c r="F193" s="4" t="inlineStr">
        <is>
          <t>GP</t>
        </is>
      </c>
      <c r="G193" s="4" t="inlineStr">
        <is>
          <t>matern32</t>
        </is>
      </c>
      <c r="H193" s="4" t="b">
        <v>0</v>
      </c>
      <c r="I193" s="4" t="b">
        <v>0</v>
      </c>
      <c r="J193" s="4" t="inlineStr">
        <is>
          <t>log1p</t>
        </is>
      </c>
      <c r="K193" s="4" t="inlineStr">
        <is>
          <t>none</t>
        </is>
      </c>
      <c r="L193" s="4" t="inlineStr">
        <is>
          <t>full_cure6</t>
        </is>
      </c>
      <c r="M193" s="11" t="n">
        <v>0.9827353429010512</v>
      </c>
      <c r="N193" s="11" t="n">
        <v>-0.934154955865818</v>
      </c>
      <c r="O193" s="11" t="n">
        <v>-3.399431058420583</v>
      </c>
      <c r="P193" s="4" t="n">
        <v>1</v>
      </c>
      <c r="Q193" s="11" t="n">
        <v>0.6967340838729459</v>
      </c>
      <c r="R193" s="11" t="n">
        <v>0</v>
      </c>
      <c r="S193" s="11" t="n">
        <v>2.793378613805999</v>
      </c>
      <c r="T193" s="11" t="n">
        <v>2.1517082287102</v>
      </c>
      <c r="U193" s="11" t="n">
        <v>0.9428571428571428</v>
      </c>
      <c r="V193" s="11" t="n">
        <v>2.476880385249077</v>
      </c>
      <c r="W193" s="12" t="n">
        <v>2.055133581161499</v>
      </c>
    </row>
    <row r="194">
      <c r="A194" s="4" t="n">
        <v>193</v>
      </c>
      <c r="B194" s="4" t="inlineStr">
        <is>
          <t>tensile_MPa</t>
        </is>
      </c>
      <c r="C194" s="4" t="inlineStr">
        <is>
          <t>Exp2_BO</t>
        </is>
      </c>
      <c r="D194" s="4" t="n">
        <v>2</v>
      </c>
      <c r="E194" s="4" t="n">
        <v>15</v>
      </c>
      <c r="F194" s="4" t="inlineStr">
        <is>
          <t>GP</t>
        </is>
      </c>
      <c r="G194" s="4" t="inlineStr">
        <is>
          <t>matern52</t>
        </is>
      </c>
      <c r="H194" s="4" t="b">
        <v>0</v>
      </c>
      <c r="I194" s="4" t="b">
        <v>0</v>
      </c>
      <c r="J194" s="4" t="inlineStr">
        <is>
          <t>std</t>
        </is>
      </c>
      <c r="K194" s="4" t="inlineStr">
        <is>
          <t>log</t>
        </is>
      </c>
      <c r="L194" s="4" t="inlineStr">
        <is>
          <t>full_cure6</t>
        </is>
      </c>
      <c r="M194" s="11" t="n">
        <v>0.8505518167489681</v>
      </c>
      <c r="N194" s="11" t="n">
        <v>-0.0258663903505502</v>
      </c>
      <c r="O194" s="11" t="n">
        <v>-4.18351286035799</v>
      </c>
      <c r="P194" s="4" t="n">
        <v>1</v>
      </c>
      <c r="Q194" s="11" t="n">
        <v>0.5737925213506039</v>
      </c>
      <c r="R194" s="11" t="n">
        <v>0</v>
      </c>
      <c r="S194" s="11" t="n">
        <v>3.311528792065213</v>
      </c>
      <c r="T194" s="11" t="n">
        <v>2.485868797870418</v>
      </c>
      <c r="U194" s="11" t="n">
        <v>0.9285714285714286</v>
      </c>
      <c r="V194" s="11" t="n">
        <v>2.566357329259908</v>
      </c>
      <c r="W194" s="12" t="n">
        <v>2.281269788742065</v>
      </c>
    </row>
    <row r="195">
      <c r="A195" s="4" t="n">
        <v>194</v>
      </c>
      <c r="B195" s="4" t="inlineStr">
        <is>
          <t>tensile_MPa</t>
        </is>
      </c>
      <c r="C195" s="4" t="inlineStr">
        <is>
          <t>Exp2_BO</t>
        </is>
      </c>
      <c r="D195" s="4" t="n">
        <v>2</v>
      </c>
      <c r="E195" s="4" t="n">
        <v>16</v>
      </c>
      <c r="F195" s="4" t="inlineStr">
        <is>
          <t>GP</t>
        </is>
      </c>
      <c r="G195" s="4" t="inlineStr">
        <is>
          <t>rbf</t>
        </is>
      </c>
      <c r="H195" s="4" t="b">
        <v>0</v>
      </c>
      <c r="I195" s="4" t="b">
        <v>1</v>
      </c>
      <c r="J195" s="4" t="inlineStr">
        <is>
          <t>log1p</t>
        </is>
      </c>
      <c r="K195" s="4" t="inlineStr">
        <is>
          <t>log</t>
        </is>
      </c>
      <c r="L195" s="4" t="inlineStr">
        <is>
          <t>full</t>
        </is>
      </c>
      <c r="M195" s="11" t="n">
        <v>-0.970217997853563</v>
      </c>
      <c r="N195" s="11" t="n">
        <v>-0.5823366476601368</v>
      </c>
      <c r="O195" s="11" t="n">
        <v>-3.12955474792521</v>
      </c>
      <c r="P195" s="4" t="n">
        <v>1</v>
      </c>
      <c r="Q195" s="11" t="n">
        <v>0.5811243721747348</v>
      </c>
      <c r="R195" s="11" t="n">
        <v>0</v>
      </c>
      <c r="S195" s="11" t="n">
        <v>3.282921878686115</v>
      </c>
      <c r="T195" s="11" t="n">
        <v>2.497964622861576</v>
      </c>
      <c r="U195" s="11" t="n">
        <v>0.9428571428571428</v>
      </c>
      <c r="V195" s="11" t="n">
        <v>4.431587265229968</v>
      </c>
      <c r="W195" s="12" t="n">
        <v>9.172878265380859</v>
      </c>
    </row>
    <row r="196">
      <c r="A196" s="4" t="n">
        <v>195</v>
      </c>
      <c r="B196" s="4" t="inlineStr">
        <is>
          <t>tensile_MPa</t>
        </is>
      </c>
      <c r="C196" s="4" t="inlineStr">
        <is>
          <t>Exp2_BO</t>
        </is>
      </c>
      <c r="D196" s="4" t="n">
        <v>2</v>
      </c>
      <c r="E196" s="4" t="n">
        <v>17</v>
      </c>
      <c r="F196" s="4" t="inlineStr">
        <is>
          <t>GP</t>
        </is>
      </c>
      <c r="G196" s="4" t="inlineStr">
        <is>
          <t>matern52</t>
        </is>
      </c>
      <c r="H196" s="4" t="b">
        <v>0</v>
      </c>
      <c r="I196" s="4" t="b">
        <v>0</v>
      </c>
      <c r="J196" s="4" t="inlineStr">
        <is>
          <t>log1p</t>
        </is>
      </c>
      <c r="K196" s="4" t="inlineStr">
        <is>
          <t>log</t>
        </is>
      </c>
      <c r="L196" s="4" t="inlineStr">
        <is>
          <t>compact</t>
        </is>
      </c>
      <c r="M196" s="11" t="n">
        <v>0.9862572366180198</v>
      </c>
      <c r="N196" s="11" t="n">
        <v>-1.310682787536022</v>
      </c>
      <c r="O196" s="11" t="n">
        <v>-4.25510498085113</v>
      </c>
      <c r="P196" s="4" t="n">
        <v>1</v>
      </c>
      <c r="Q196" s="11" t="n">
        <v>0.509027275879429</v>
      </c>
      <c r="R196" s="11" t="n">
        <v>0</v>
      </c>
      <c r="S196" s="11" t="n">
        <v>3.554239468160852</v>
      </c>
      <c r="T196" s="11" t="n">
        <v>2.684975007491736</v>
      </c>
      <c r="U196" s="11" t="n">
        <v>0.9571428571428572</v>
      </c>
      <c r="V196" s="11" t="n">
        <v>2.678875587346619</v>
      </c>
      <c r="W196" s="12" t="n">
        <v>4.128759860992432</v>
      </c>
    </row>
    <row r="197">
      <c r="A197" s="4" t="n">
        <v>196</v>
      </c>
      <c r="B197" s="4" t="inlineStr">
        <is>
          <t>tensile_MPa</t>
        </is>
      </c>
      <c r="C197" s="4" t="inlineStr">
        <is>
          <t>Exp2_BO</t>
        </is>
      </c>
      <c r="D197" s="4" t="n">
        <v>2</v>
      </c>
      <c r="E197" s="4" t="n">
        <v>18</v>
      </c>
      <c r="F197" s="4" t="inlineStr">
        <is>
          <t>GP</t>
        </is>
      </c>
      <c r="G197" s="4" t="inlineStr">
        <is>
          <t>matern52</t>
        </is>
      </c>
      <c r="H197" s="4" t="b">
        <v>0</v>
      </c>
      <c r="I197" s="4" t="b">
        <v>1</v>
      </c>
      <c r="J197" s="4" t="inlineStr">
        <is>
          <t>std</t>
        </is>
      </c>
      <c r="K197" s="4" t="inlineStr">
        <is>
          <t>none</t>
        </is>
      </c>
      <c r="L197" s="4" t="inlineStr">
        <is>
          <t>compact</t>
        </is>
      </c>
      <c r="M197" s="11" t="n">
        <v>-0.2336963913434533</v>
      </c>
      <c r="N197" s="11" t="n">
        <v>-0.0588461449668109</v>
      </c>
      <c r="O197" s="11" t="n">
        <v>-4.286043781645158</v>
      </c>
      <c r="P197" s="4" t="n">
        <v>1</v>
      </c>
      <c r="Q197" s="11" t="n">
        <v>0.369995413805807</v>
      </c>
      <c r="R197" s="11" t="n">
        <v>0</v>
      </c>
      <c r="S197" s="11" t="n">
        <v>4.026149135379929</v>
      </c>
      <c r="T197" s="11" t="n">
        <v>2.796642918077537</v>
      </c>
      <c r="U197" s="11" t="n">
        <v>0.9285714285714286</v>
      </c>
      <c r="V197" s="11" t="n">
        <v>2.680163378946101</v>
      </c>
      <c r="W197" s="12" t="n">
        <v>5.910421848297119</v>
      </c>
    </row>
    <row r="198">
      <c r="A198" s="4" t="n">
        <v>197</v>
      </c>
      <c r="B198" s="4" t="inlineStr">
        <is>
          <t>tensile_MPa</t>
        </is>
      </c>
      <c r="C198" s="4" t="inlineStr">
        <is>
          <t>Exp2_BO</t>
        </is>
      </c>
      <c r="D198" s="4" t="n">
        <v>2</v>
      </c>
      <c r="E198" s="4" t="n">
        <v>19</v>
      </c>
      <c r="F198" s="4" t="inlineStr">
        <is>
          <t>GP</t>
        </is>
      </c>
      <c r="G198" s="4" t="inlineStr">
        <is>
          <t>rbf</t>
        </is>
      </c>
      <c r="H198" s="4" t="b">
        <v>0</v>
      </c>
      <c r="I198" s="4" t="b">
        <v>0</v>
      </c>
      <c r="J198" s="4" t="inlineStr">
        <is>
          <t>log1p</t>
        </is>
      </c>
      <c r="K198" s="4" t="inlineStr">
        <is>
          <t>none</t>
        </is>
      </c>
      <c r="L198" s="4" t="inlineStr">
        <is>
          <t>full_cure6</t>
        </is>
      </c>
      <c r="M198" s="11" t="n">
        <v>0.9827353429010512</v>
      </c>
      <c r="N198" s="11" t="n">
        <v>-0.934154955865818</v>
      </c>
      <c r="O198" s="11" t="n">
        <v>-3.399431058420583</v>
      </c>
      <c r="P198" s="4" t="n">
        <v>1</v>
      </c>
      <c r="Q198" s="11" t="n">
        <v>0.6873911938860313</v>
      </c>
      <c r="R198" s="11" t="n">
        <v>0</v>
      </c>
      <c r="S198" s="11" t="n">
        <v>2.836080842695937</v>
      </c>
      <c r="T198" s="11" t="n">
        <v>2.193139807725279</v>
      </c>
      <c r="U198" s="11" t="n">
        <v>0.938095238095238</v>
      </c>
      <c r="V198" s="11" t="n">
        <v>2.483343623524692</v>
      </c>
      <c r="W198" s="12" t="n">
        <v>1.753401041030884</v>
      </c>
    </row>
    <row r="199">
      <c r="A199" s="4" t="n">
        <v>198</v>
      </c>
      <c r="B199" s="4" t="inlineStr">
        <is>
          <t>tensile_MPa</t>
        </is>
      </c>
      <c r="C199" s="4" t="inlineStr">
        <is>
          <t>Exp2_BO</t>
        </is>
      </c>
      <c r="D199" s="4" t="n">
        <v>2</v>
      </c>
      <c r="E199" s="4" t="n">
        <v>20</v>
      </c>
      <c r="F199" s="4" t="inlineStr">
        <is>
          <t>GP</t>
        </is>
      </c>
      <c r="G199" s="4" t="inlineStr">
        <is>
          <t>matern32</t>
        </is>
      </c>
      <c r="H199" s="4" t="b">
        <v>1</v>
      </c>
      <c r="I199" s="4" t="b">
        <v>1</v>
      </c>
      <c r="J199" s="4" t="inlineStr">
        <is>
          <t>log1p</t>
        </is>
      </c>
      <c r="K199" s="4" t="inlineStr">
        <is>
          <t>none</t>
        </is>
      </c>
      <c r="L199" s="4" t="inlineStr">
        <is>
          <t>full</t>
        </is>
      </c>
      <c r="M199" s="11" t="n">
        <v>-0.998148191388105</v>
      </c>
      <c r="N199" s="11" t="n">
        <v>-0.6826622792910606</v>
      </c>
      <c r="O199" s="11" t="n">
        <v>-2.693278635875867</v>
      </c>
      <c r="P199" s="4" t="n">
        <v>1</v>
      </c>
      <c r="Q199" s="11" t="n">
        <v>0.0607056729713878</v>
      </c>
      <c r="R199" s="11" t="n">
        <v>0</v>
      </c>
      <c r="S199" s="11" t="n">
        <v>4.916078986404526</v>
      </c>
      <c r="T199" s="11" t="n">
        <v>2.789250769649507</v>
      </c>
      <c r="U199" s="11" t="n">
        <v>0.8857142857142857</v>
      </c>
      <c r="V199" s="11" t="n">
        <v>2.695180398130975</v>
      </c>
      <c r="W199" s="12" t="n">
        <v>75.62764620780945</v>
      </c>
    </row>
    <row r="200">
      <c r="A200" s="4" t="n">
        <v>199</v>
      </c>
      <c r="B200" s="4" t="inlineStr">
        <is>
          <t>tensile_MPa</t>
        </is>
      </c>
      <c r="C200" s="4" t="inlineStr">
        <is>
          <t>Exp2_BO</t>
        </is>
      </c>
      <c r="D200" s="4" t="n">
        <v>2</v>
      </c>
      <c r="E200" s="4" t="n">
        <v>21</v>
      </c>
      <c r="F200" s="4" t="inlineStr">
        <is>
          <t>GP</t>
        </is>
      </c>
      <c r="G200" s="4" t="inlineStr">
        <is>
          <t>rq</t>
        </is>
      </c>
      <c r="H200" s="4" t="b">
        <v>1</v>
      </c>
      <c r="I200" s="4" t="b">
        <v>0</v>
      </c>
      <c r="J200" s="4" t="inlineStr">
        <is>
          <t>log1p</t>
        </is>
      </c>
      <c r="K200" s="4" t="inlineStr">
        <is>
          <t>log</t>
        </is>
      </c>
      <c r="L200" s="4" t="inlineStr">
        <is>
          <t>full_cure6</t>
        </is>
      </c>
      <c r="M200" s="11" t="n">
        <v>0.8706219969888338</v>
      </c>
      <c r="N200" s="11" t="n">
        <v>-2.874971028049569</v>
      </c>
      <c r="O200" s="11" t="n">
        <v>-4.347903431589902</v>
      </c>
      <c r="P200" s="4" t="n">
        <v>1</v>
      </c>
      <c r="Q200" s="11" t="n">
        <v>0.6713479979660053</v>
      </c>
      <c r="R200" s="11" t="n">
        <v>0</v>
      </c>
      <c r="S200" s="11" t="n">
        <v>2.907944700833836</v>
      </c>
      <c r="T200" s="11" t="n">
        <v>2.277750099342829</v>
      </c>
      <c r="U200" s="11" t="n">
        <v>0.9476190476190476</v>
      </c>
      <c r="V200" s="11" t="n">
        <v>2.507304211561846</v>
      </c>
      <c r="W200" s="12" t="n">
        <v>4.79981803894043</v>
      </c>
    </row>
    <row r="201">
      <c r="A201" s="4" t="n">
        <v>200</v>
      </c>
      <c r="B201" s="4" t="inlineStr">
        <is>
          <t>tensile_MPa</t>
        </is>
      </c>
      <c r="C201" s="4" t="inlineStr">
        <is>
          <t>Exp2_BO</t>
        </is>
      </c>
      <c r="D201" s="4" t="n">
        <v>2</v>
      </c>
      <c r="E201" s="4" t="n">
        <v>22</v>
      </c>
      <c r="F201" s="4" t="inlineStr">
        <is>
          <t>GP</t>
        </is>
      </c>
      <c r="G201" s="4" t="inlineStr">
        <is>
          <t>matern52</t>
        </is>
      </c>
      <c r="H201" s="4" t="b">
        <v>0</v>
      </c>
      <c r="I201" s="4" t="b">
        <v>0</v>
      </c>
      <c r="J201" s="4" t="inlineStr">
        <is>
          <t>log1p</t>
        </is>
      </c>
      <c r="K201" s="4" t="inlineStr">
        <is>
          <t>none</t>
        </is>
      </c>
      <c r="L201" s="4" t="inlineStr">
        <is>
          <t>full_cure6</t>
        </is>
      </c>
      <c r="M201" s="11" t="n">
        <v>0.6550046196080821</v>
      </c>
      <c r="N201" s="11" t="n">
        <v>-1.464981870002959</v>
      </c>
      <c r="O201" s="11" t="n">
        <v>-2.234903182846076</v>
      </c>
      <c r="P201" s="4" t="n">
        <v>1</v>
      </c>
      <c r="Q201" s="11" t="n">
        <v>0.6917288493436151</v>
      </c>
      <c r="R201" s="11" t="n">
        <v>0</v>
      </c>
      <c r="S201" s="11" t="n">
        <v>2.816335854113572</v>
      </c>
      <c r="T201" s="11" t="n">
        <v>2.175213317066174</v>
      </c>
      <c r="U201" s="11" t="n">
        <v>0.938095238095238</v>
      </c>
      <c r="V201" s="11" t="n">
        <v>2.481263671583285</v>
      </c>
      <c r="W201" s="12" t="n">
        <v>1.917575359344482</v>
      </c>
    </row>
    <row r="202">
      <c r="A202" s="4" t="n">
        <v>201</v>
      </c>
      <c r="B202" s="4" t="inlineStr">
        <is>
          <t>tensile_MPa</t>
        </is>
      </c>
      <c r="C202" s="4" t="inlineStr">
        <is>
          <t>Exp2_BO</t>
        </is>
      </c>
      <c r="D202" s="4" t="n">
        <v>2</v>
      </c>
      <c r="E202" s="4" t="n">
        <v>23</v>
      </c>
      <c r="F202" s="4" t="inlineStr">
        <is>
          <t>GP</t>
        </is>
      </c>
      <c r="G202" s="4" t="inlineStr">
        <is>
          <t>matern32</t>
        </is>
      </c>
      <c r="H202" s="4" t="b">
        <v>0</v>
      </c>
      <c r="I202" s="4" t="b">
        <v>0</v>
      </c>
      <c r="J202" s="4" t="inlineStr">
        <is>
          <t>log1p</t>
        </is>
      </c>
      <c r="K202" s="4" t="inlineStr">
        <is>
          <t>none</t>
        </is>
      </c>
      <c r="L202" s="4" t="inlineStr">
        <is>
          <t>compact</t>
        </is>
      </c>
      <c r="M202" s="11" t="n">
        <v>0.0063192277614299</v>
      </c>
      <c r="N202" s="11" t="n">
        <v>-2.990301546067969</v>
      </c>
      <c r="O202" s="11" t="n">
        <v>-2.467601703565911</v>
      </c>
      <c r="P202" s="4" t="n">
        <v>1</v>
      </c>
      <c r="Q202" s="11" t="n">
        <v>0.5530446302709038</v>
      </c>
      <c r="R202" s="11" t="n">
        <v>0</v>
      </c>
      <c r="S202" s="11" t="n">
        <v>3.391174063642895</v>
      </c>
      <c r="T202" s="11" t="n">
        <v>2.630218250246779</v>
      </c>
      <c r="U202" s="11" t="n">
        <v>0.9333333333333332</v>
      </c>
      <c r="V202" s="11" t="n">
        <v>2.650843010788078</v>
      </c>
      <c r="W202" s="12" t="n">
        <v>3.919447422027588</v>
      </c>
    </row>
    <row r="203">
      <c r="A203" s="4" t="n">
        <v>202</v>
      </c>
      <c r="B203" s="4" t="inlineStr">
        <is>
          <t>tensile_MPa</t>
        </is>
      </c>
      <c r="C203" s="4" t="inlineStr">
        <is>
          <t>Exp2_BO</t>
        </is>
      </c>
      <c r="D203" s="4" t="n">
        <v>2</v>
      </c>
      <c r="E203" s="4" t="n">
        <v>24</v>
      </c>
      <c r="F203" s="4" t="inlineStr">
        <is>
          <t>GP</t>
        </is>
      </c>
      <c r="G203" s="4" t="inlineStr">
        <is>
          <t>matern32</t>
        </is>
      </c>
      <c r="H203" s="4" t="b">
        <v>0</v>
      </c>
      <c r="I203" s="4" t="b">
        <v>1</v>
      </c>
      <c r="J203" s="4" t="inlineStr">
        <is>
          <t>log1p</t>
        </is>
      </c>
      <c r="K203" s="4" t="inlineStr">
        <is>
          <t>log</t>
        </is>
      </c>
      <c r="L203" s="4" t="inlineStr">
        <is>
          <t>full_agg</t>
        </is>
      </c>
      <c r="M203" s="11" t="n">
        <v>0.8059564660520511</v>
      </c>
      <c r="N203" s="11" t="n">
        <v>-0.2188617283228056</v>
      </c>
      <c r="O203" s="11" t="n">
        <v>-2.628590891812234</v>
      </c>
      <c r="P203" s="4" t="n">
        <v>1</v>
      </c>
      <c r="Q203" s="11" t="n">
        <v>0.6339784977739632</v>
      </c>
      <c r="R203" s="11" t="n">
        <v>0</v>
      </c>
      <c r="S203" s="11" t="n">
        <v>3.068819194903753</v>
      </c>
      <c r="T203" s="11" t="n">
        <v>2.378028062393058</v>
      </c>
      <c r="U203" s="11" t="n">
        <v>0.938095238095238</v>
      </c>
      <c r="V203" s="11" t="n">
        <v>2.587190072473202</v>
      </c>
      <c r="W203" s="12" t="n">
        <v>11.20449090003967</v>
      </c>
    </row>
    <row r="204">
      <c r="A204" s="4" t="n">
        <v>203</v>
      </c>
      <c r="B204" s="4" t="inlineStr">
        <is>
          <t>tensile_MPa</t>
        </is>
      </c>
      <c r="C204" s="4" t="inlineStr">
        <is>
          <t>Exp2_BO</t>
        </is>
      </c>
      <c r="D204" s="4" t="n">
        <v>2</v>
      </c>
      <c r="E204" s="4" t="n">
        <v>25</v>
      </c>
      <c r="F204" s="4" t="inlineStr">
        <is>
          <t>GP</t>
        </is>
      </c>
      <c r="G204" s="4" t="inlineStr">
        <is>
          <t>matern32</t>
        </is>
      </c>
      <c r="H204" s="4" t="b">
        <v>0</v>
      </c>
      <c r="I204" s="4" t="b">
        <v>0</v>
      </c>
      <c r="J204" s="4" t="inlineStr">
        <is>
          <t>std</t>
        </is>
      </c>
      <c r="K204" s="4" t="inlineStr">
        <is>
          <t>none</t>
        </is>
      </c>
      <c r="L204" s="4" t="inlineStr">
        <is>
          <t>full_cure6</t>
        </is>
      </c>
      <c r="M204" s="11" t="n">
        <v>0.9827353429010512</v>
      </c>
      <c r="N204" s="11" t="n">
        <v>-0.934154955865818</v>
      </c>
      <c r="O204" s="11" t="n">
        <v>-3.399431058420583</v>
      </c>
      <c r="P204" s="4" t="n">
        <v>1</v>
      </c>
      <c r="Q204" s="11" t="n">
        <v>0.6505246547011145</v>
      </c>
      <c r="R204" s="11" t="n">
        <v>0</v>
      </c>
      <c r="S204" s="11" t="n">
        <v>2.998653421150244</v>
      </c>
      <c r="T204" s="11" t="n">
        <v>2.260559105401218</v>
      </c>
      <c r="U204" s="11" t="n">
        <v>0.923809523809524</v>
      </c>
      <c r="V204" s="11" t="n">
        <v>2.512577365896592</v>
      </c>
      <c r="W204" s="12" t="n">
        <v>3.093107938766479</v>
      </c>
    </row>
    <row r="205">
      <c r="A205" s="4" t="n">
        <v>204</v>
      </c>
      <c r="B205" s="4" t="inlineStr">
        <is>
          <t>tensile_MPa</t>
        </is>
      </c>
      <c r="C205" s="4" t="inlineStr">
        <is>
          <t>Exp2_BO</t>
        </is>
      </c>
      <c r="D205" s="4" t="n">
        <v>2</v>
      </c>
      <c r="E205" s="4" t="n">
        <v>26</v>
      </c>
      <c r="F205" s="4" t="inlineStr">
        <is>
          <t>GP</t>
        </is>
      </c>
      <c r="G205" s="4" t="inlineStr">
        <is>
          <t>rbf</t>
        </is>
      </c>
      <c r="H205" s="4" t="b">
        <v>0</v>
      </c>
      <c r="I205" s="4" t="b">
        <v>0</v>
      </c>
      <c r="J205" s="4" t="inlineStr">
        <is>
          <t>log1p</t>
        </is>
      </c>
      <c r="K205" s="4" t="inlineStr">
        <is>
          <t>log</t>
        </is>
      </c>
      <c r="L205" s="4" t="inlineStr">
        <is>
          <t>full_agg</t>
        </is>
      </c>
      <c r="M205" s="11" t="n">
        <v>0.9907609208013016</v>
      </c>
      <c r="N205" s="11" t="n">
        <v>-2.64321816545645</v>
      </c>
      <c r="O205" s="11" t="n">
        <v>-5.174481952995433</v>
      </c>
      <c r="P205" s="4" t="n">
        <v>1</v>
      </c>
      <c r="Q205" s="11" t="n">
        <v>0.6643797013544427</v>
      </c>
      <c r="R205" s="11" t="n">
        <v>0</v>
      </c>
      <c r="S205" s="11" t="n">
        <v>2.938611082431228</v>
      </c>
      <c r="T205" s="11" t="n">
        <v>2.379498696711595</v>
      </c>
      <c r="U205" s="11" t="n">
        <v>0.938095238095238</v>
      </c>
      <c r="V205" s="11" t="n">
        <v>2.533044838557381</v>
      </c>
      <c r="W205" s="12" t="n">
        <v>3.227521181106567</v>
      </c>
    </row>
    <row r="206">
      <c r="A206" s="4" t="n">
        <v>205</v>
      </c>
      <c r="B206" s="4" t="inlineStr">
        <is>
          <t>tensile_MPa</t>
        </is>
      </c>
      <c r="C206" s="4" t="inlineStr">
        <is>
          <t>Exp2_BO</t>
        </is>
      </c>
      <c r="D206" s="4" t="n">
        <v>2</v>
      </c>
      <c r="E206" s="4" t="n">
        <v>27</v>
      </c>
      <c r="F206" s="4" t="inlineStr">
        <is>
          <t>GP</t>
        </is>
      </c>
      <c r="G206" s="4" t="inlineStr">
        <is>
          <t>matern32</t>
        </is>
      </c>
      <c r="H206" s="4" t="b">
        <v>0</v>
      </c>
      <c r="I206" s="4" t="b">
        <v>0</v>
      </c>
      <c r="J206" s="4" t="inlineStr">
        <is>
          <t>log1p</t>
        </is>
      </c>
      <c r="K206" s="4" t="inlineStr">
        <is>
          <t>log</t>
        </is>
      </c>
      <c r="L206" s="4" t="inlineStr">
        <is>
          <t>full_cure6</t>
        </is>
      </c>
      <c r="M206" s="11" t="n">
        <v>-0.9987262749040861</v>
      </c>
      <c r="N206" s="11" t="n">
        <v>-2.8319195407421</v>
      </c>
      <c r="O206" s="11" t="n">
        <v>-4.877651828375248</v>
      </c>
      <c r="P206" s="4" t="n">
        <v>1</v>
      </c>
      <c r="Q206" s="11" t="n">
        <v>0.682220140493226</v>
      </c>
      <c r="R206" s="11" t="n">
        <v>0</v>
      </c>
      <c r="S206" s="11" t="n">
        <v>2.859441307600477</v>
      </c>
      <c r="T206" s="11" t="n">
        <v>2.224586136129524</v>
      </c>
      <c r="U206" s="11" t="n">
        <v>0.9571428571428572</v>
      </c>
      <c r="V206" s="11" t="n">
        <v>2.491921785036519</v>
      </c>
      <c r="W206" s="12" t="n">
        <v>4.63976263999939</v>
      </c>
    </row>
    <row r="207">
      <c r="A207" s="4" t="n">
        <v>206</v>
      </c>
      <c r="B207" s="4" t="inlineStr">
        <is>
          <t>tensile_MPa</t>
        </is>
      </c>
      <c r="C207" s="4" t="inlineStr">
        <is>
          <t>Exp2_BO</t>
        </is>
      </c>
      <c r="D207" s="4" t="n">
        <v>2</v>
      </c>
      <c r="E207" s="4" t="n">
        <v>28</v>
      </c>
      <c r="F207" s="4" t="inlineStr">
        <is>
          <t>GP</t>
        </is>
      </c>
      <c r="G207" s="4" t="inlineStr">
        <is>
          <t>rq</t>
        </is>
      </c>
      <c r="H207" s="4" t="b">
        <v>1</v>
      </c>
      <c r="I207" s="4" t="b">
        <v>1</v>
      </c>
      <c r="J207" s="4" t="inlineStr">
        <is>
          <t>log1p</t>
        </is>
      </c>
      <c r="K207" s="4" t="inlineStr">
        <is>
          <t>log</t>
        </is>
      </c>
      <c r="L207" s="4" t="inlineStr">
        <is>
          <t>full_cure6</t>
        </is>
      </c>
      <c r="M207" s="11" t="n">
        <v>0.8996071462672495</v>
      </c>
      <c r="N207" s="11" t="n">
        <v>-1.754490528204032</v>
      </c>
      <c r="O207" s="11" t="n">
        <v>-2.630676933407461</v>
      </c>
      <c r="P207" s="4" t="n">
        <v>1</v>
      </c>
      <c r="Q207" s="11" t="n">
        <v>0.6681028265781512</v>
      </c>
      <c r="R207" s="11" t="n">
        <v>0</v>
      </c>
      <c r="S207" s="11" t="n">
        <v>2.92226622946786</v>
      </c>
      <c r="T207" s="11" t="n">
        <v>2.262680122289566</v>
      </c>
      <c r="U207" s="11" t="n">
        <v>0.9333333333333332</v>
      </c>
      <c r="V207" s="11" t="n">
        <v>2.511019208093723</v>
      </c>
      <c r="W207" s="12" t="n">
        <v>13.43846297264099</v>
      </c>
    </row>
    <row r="208">
      <c r="A208" s="4" t="n">
        <v>207</v>
      </c>
      <c r="B208" s="4" t="inlineStr">
        <is>
          <t>tensile_MPa</t>
        </is>
      </c>
      <c r="C208" s="4" t="inlineStr">
        <is>
          <t>Exp2_BO</t>
        </is>
      </c>
      <c r="D208" s="4" t="n">
        <v>2</v>
      </c>
      <c r="E208" s="4" t="n">
        <v>29</v>
      </c>
      <c r="F208" s="4" t="inlineStr">
        <is>
          <t>GP</t>
        </is>
      </c>
      <c r="G208" s="4" t="inlineStr">
        <is>
          <t>rq</t>
        </is>
      </c>
      <c r="H208" s="4" t="b">
        <v>0</v>
      </c>
      <c r="I208" s="4" t="b">
        <v>0</v>
      </c>
      <c r="J208" s="4" t="inlineStr">
        <is>
          <t>log1p</t>
        </is>
      </c>
      <c r="K208" s="4" t="inlineStr">
        <is>
          <t>log</t>
        </is>
      </c>
      <c r="L208" s="4" t="inlineStr">
        <is>
          <t>full_cure6</t>
        </is>
      </c>
      <c r="M208" s="11" t="n">
        <v>-0.6759830512426421</v>
      </c>
      <c r="N208" s="11" t="n">
        <v>-1.9215642014319</v>
      </c>
      <c r="O208" s="11" t="n">
        <v>-3.223413368232491</v>
      </c>
      <c r="P208" s="4" t="n">
        <v>1</v>
      </c>
      <c r="Q208" s="11" t="n">
        <v>0.6713951964373845</v>
      </c>
      <c r="R208" s="11" t="n">
        <v>0</v>
      </c>
      <c r="S208" s="11" t="n">
        <v>2.907735885016565</v>
      </c>
      <c r="T208" s="11" t="n">
        <v>2.277328091816901</v>
      </c>
      <c r="U208" s="11" t="n">
        <v>0.9476190476190476</v>
      </c>
      <c r="V208" s="11" t="n">
        <v>2.507038678162954</v>
      </c>
      <c r="W208" s="12" t="n">
        <v>4.255602121353149</v>
      </c>
    </row>
    <row r="209">
      <c r="A209" s="4" t="n">
        <v>208</v>
      </c>
      <c r="B209" s="4" t="inlineStr">
        <is>
          <t>tensile_MPa</t>
        </is>
      </c>
      <c r="C209" s="4" t="inlineStr">
        <is>
          <t>Exp3_robust</t>
        </is>
      </c>
      <c r="D209" s="4" t="n"/>
      <c r="E209" s="4" t="n"/>
      <c r="F209" s="4" t="inlineStr">
        <is>
          <t>GP</t>
        </is>
      </c>
      <c r="G209" s="4" t="inlineStr">
        <is>
          <t>matern32</t>
        </is>
      </c>
      <c r="H209" s="4" t="b">
        <v>0</v>
      </c>
      <c r="I209" s="4" t="b">
        <v>0</v>
      </c>
      <c r="J209" s="4" t="inlineStr">
        <is>
          <t>log1p</t>
        </is>
      </c>
      <c r="K209" s="4" t="inlineStr">
        <is>
          <t>none</t>
        </is>
      </c>
      <c r="L209" s="4" t="inlineStr">
        <is>
          <t>full_cure6</t>
        </is>
      </c>
      <c r="M209" s="11" t="n">
        <v>0.9827353429010512</v>
      </c>
      <c r="N209" s="11" t="n">
        <v>-0.934154955865818</v>
      </c>
      <c r="O209" s="11" t="n">
        <v>-3.399431058420583</v>
      </c>
      <c r="P209" s="4" t="n">
        <v>3</v>
      </c>
      <c r="Q209" s="11" t="n">
        <v>0.6890583488109705</v>
      </c>
      <c r="R209" s="11" t="n">
        <v>0.014215412164416</v>
      </c>
      <c r="S209" s="11" t="n">
        <v>2.827774487903385</v>
      </c>
      <c r="T209" s="11" t="n">
        <v>2.165245560547097</v>
      </c>
      <c r="U209" s="11" t="n">
        <v>0.9333333333333332</v>
      </c>
      <c r="V209" s="11" t="n">
        <v>2.480208905375649</v>
      </c>
      <c r="W209" s="12" t="n">
        <v>25.60784935951233</v>
      </c>
    </row>
    <row r="210">
      <c r="A210" s="4" t="n">
        <v>209</v>
      </c>
      <c r="B210" s="4" t="inlineStr">
        <is>
          <t>tensile_MPa</t>
        </is>
      </c>
      <c r="C210" s="4" t="inlineStr">
        <is>
          <t>Exp3_robust</t>
        </is>
      </c>
      <c r="D210" s="4" t="n"/>
      <c r="E210" s="4" t="n"/>
      <c r="F210" s="4" t="inlineStr">
        <is>
          <t>GP</t>
        </is>
      </c>
      <c r="G210" s="4" t="inlineStr">
        <is>
          <t>matern12</t>
        </is>
      </c>
      <c r="H210" s="4" t="b">
        <v>0</v>
      </c>
      <c r="I210" s="4" t="b">
        <v>0</v>
      </c>
      <c r="J210" s="4" t="inlineStr">
        <is>
          <t>log1p</t>
        </is>
      </c>
      <c r="K210" s="4" t="inlineStr">
        <is>
          <t>none</t>
        </is>
      </c>
      <c r="L210" s="4" t="inlineStr">
        <is>
          <t>full_cure6</t>
        </is>
      </c>
      <c r="M210" s="11" t="n">
        <v>0.9928482856289712</v>
      </c>
      <c r="N210" s="11" t="n">
        <v>-2.960172163483848</v>
      </c>
      <c r="O210" s="11" t="n">
        <v>-2.268721283378206</v>
      </c>
      <c r="P210" s="4" t="n">
        <v>3</v>
      </c>
      <c r="Q210" s="11" t="n">
        <v>0.6911580806491857</v>
      </c>
      <c r="R210" s="11" t="n">
        <v>0.009959065551003</v>
      </c>
      <c r="S210" s="11" t="n">
        <v>2.818577458001201</v>
      </c>
      <c r="T210" s="11" t="n">
        <v>2.149650458149067</v>
      </c>
      <c r="U210" s="11" t="n">
        <v>0.9476190476190476</v>
      </c>
      <c r="V210" s="11" t="n">
        <v>2.475168882956598</v>
      </c>
      <c r="W210" s="12" t="n">
        <v>29.32317066192627</v>
      </c>
    </row>
    <row r="211">
      <c r="A211" s="4" t="n">
        <v>210</v>
      </c>
      <c r="B211" s="4" t="inlineStr">
        <is>
          <t>tensile_MPa</t>
        </is>
      </c>
      <c r="C211" s="4" t="inlineStr">
        <is>
          <t>Exp3_robust</t>
        </is>
      </c>
      <c r="D211" s="4" t="n"/>
      <c r="E211" s="4" t="n"/>
      <c r="F211" s="4" t="inlineStr">
        <is>
          <t>GP</t>
        </is>
      </c>
      <c r="G211" s="4" t="inlineStr">
        <is>
          <t>matern52</t>
        </is>
      </c>
      <c r="H211" s="4" t="b">
        <v>0</v>
      </c>
      <c r="I211" s="4" t="b">
        <v>0</v>
      </c>
      <c r="J211" s="4" t="inlineStr">
        <is>
          <t>log1p</t>
        </is>
      </c>
      <c r="K211" s="4" t="inlineStr">
        <is>
          <t>none</t>
        </is>
      </c>
      <c r="L211" s="4" t="inlineStr">
        <is>
          <t>full_cure6</t>
        </is>
      </c>
      <c r="M211" s="11" t="n">
        <v>0.6550046196080821</v>
      </c>
      <c r="N211" s="11" t="n">
        <v>-1.464981870002959</v>
      </c>
      <c r="O211" s="11" t="n">
        <v>-2.234903182846076</v>
      </c>
      <c r="P211" s="4" t="n">
        <v>3</v>
      </c>
      <c r="Q211" s="11" t="n">
        <v>0.6853352886203389</v>
      </c>
      <c r="R211" s="11" t="n">
        <v>0.0140535490877502</v>
      </c>
      <c r="S211" s="11" t="n">
        <v>2.844685899354089</v>
      </c>
      <c r="T211" s="11" t="n">
        <v>2.183237243768228</v>
      </c>
      <c r="U211" s="11" t="n">
        <v>0.9314285714285712</v>
      </c>
      <c r="V211" s="11" t="n">
        <v>2.485606050992808</v>
      </c>
      <c r="W211" s="12" t="n">
        <v>26.98955273628235</v>
      </c>
    </row>
    <row r="212">
      <c r="A212" s="4" t="n">
        <v>211</v>
      </c>
      <c r="B212" s="4" t="inlineStr">
        <is>
          <t>elongation_pct</t>
        </is>
      </c>
      <c r="C212" s="4" t="inlineStr">
        <is>
          <t>Exp0_baseline</t>
        </is>
      </c>
      <c r="D212" s="4" t="n"/>
      <c r="E212" s="4" t="n"/>
      <c r="F212" s="4" t="inlineStr">
        <is>
          <t>GP_sklearn_default</t>
        </is>
      </c>
      <c r="G212" s="4" t="n"/>
      <c r="H212" s="4" t="n"/>
      <c r="I212" s="4" t="n"/>
      <c r="J212" s="4" t="n"/>
      <c r="K212" s="4" t="n"/>
      <c r="L212" s="4" t="n"/>
      <c r="M212" s="11" t="n"/>
      <c r="N212" s="11" t="n"/>
      <c r="O212" s="11" t="n"/>
      <c r="P212" s="4" t="n"/>
      <c r="Q212" s="11" t="n">
        <v>-6466.22221172553</v>
      </c>
      <c r="R212" s="11" t="n"/>
      <c r="S212" s="11" t="n">
        <v>3939.398148071073</v>
      </c>
      <c r="T212" s="11" t="n">
        <v>495.274566460927</v>
      </c>
      <c r="U212" s="11" t="n"/>
      <c r="V212" s="11" t="n"/>
      <c r="W212" s="12" t="n"/>
    </row>
    <row r="213">
      <c r="A213" s="4" t="n">
        <v>212</v>
      </c>
      <c r="B213" s="4" t="inlineStr">
        <is>
          <t>elongation_pct</t>
        </is>
      </c>
      <c r="C213" s="4" t="inlineStr">
        <is>
          <t>Exp0_baseline</t>
        </is>
      </c>
      <c r="D213" s="4" t="n"/>
      <c r="E213" s="4" t="n"/>
      <c r="F213" s="4" t="inlineStr">
        <is>
          <t>Ridge</t>
        </is>
      </c>
      <c r="G213" s="4" t="n"/>
      <c r="H213" s="4" t="n"/>
      <c r="I213" s="4" t="n"/>
      <c r="J213" s="4" t="n"/>
      <c r="K213" s="4" t="n"/>
      <c r="L213" s="4" t="n"/>
      <c r="M213" s="11" t="n"/>
      <c r="N213" s="11" t="n"/>
      <c r="O213" s="11" t="n"/>
      <c r="P213" s="4" t="n"/>
      <c r="Q213" s="11" t="n">
        <v>0.4240178457497818</v>
      </c>
      <c r="R213" s="11" t="n"/>
      <c r="S213" s="11" t="n">
        <v>42.92371698982652</v>
      </c>
      <c r="T213" s="11" t="n">
        <v>32.65483994780175</v>
      </c>
      <c r="U213" s="11" t="n"/>
      <c r="V213" s="11" t="n"/>
      <c r="W213" s="12" t="n"/>
    </row>
    <row r="214">
      <c r="A214" s="4" t="n">
        <v>213</v>
      </c>
      <c r="B214" s="4" t="inlineStr">
        <is>
          <t>elongation_pct</t>
        </is>
      </c>
      <c r="C214" s="4" t="inlineStr">
        <is>
          <t>Exp0_baseline</t>
        </is>
      </c>
      <c r="D214" s="4" t="n"/>
      <c r="E214" s="4" t="n"/>
      <c r="F214" s="4" t="inlineStr">
        <is>
          <t>RandomForest</t>
        </is>
      </c>
      <c r="G214" s="4" t="n"/>
      <c r="H214" s="4" t="n"/>
      <c r="I214" s="4" t="n"/>
      <c r="J214" s="4" t="n"/>
      <c r="K214" s="4" t="n"/>
      <c r="L214" s="4" t="n"/>
      <c r="M214" s="11" t="n"/>
      <c r="N214" s="11" t="n"/>
      <c r="O214" s="11" t="n"/>
      <c r="P214" s="4" t="n"/>
      <c r="Q214" s="11" t="n">
        <v>0.4992156047391942</v>
      </c>
      <c r="R214" s="11" t="n"/>
      <c r="S214" s="11" t="n">
        <v>40.02988066617645</v>
      </c>
      <c r="T214" s="11" t="n">
        <v>28.27272340994621</v>
      </c>
      <c r="U214" s="11" t="n"/>
      <c r="V214" s="11" t="n"/>
      <c r="W214" s="12" t="n"/>
    </row>
    <row r="215">
      <c r="A215" s="4" t="n">
        <v>214</v>
      </c>
      <c r="B215" s="4" t="inlineStr">
        <is>
          <t>elongation_pct</t>
        </is>
      </c>
      <c r="C215" s="4" t="inlineStr">
        <is>
          <t>Exp1_kernel_screen</t>
        </is>
      </c>
      <c r="D215" s="4" t="n"/>
      <c r="E215" s="4" t="n"/>
      <c r="F215" s="4" t="inlineStr">
        <is>
          <t>GP</t>
        </is>
      </c>
      <c r="G215" s="4" t="inlineStr">
        <is>
          <t>rbf</t>
        </is>
      </c>
      <c r="H215" s="4" t="b">
        <v>1</v>
      </c>
      <c r="I215" s="4" t="b">
        <v>0</v>
      </c>
      <c r="J215" s="4" t="inlineStr">
        <is>
          <t>log1p</t>
        </is>
      </c>
      <c r="K215" s="4" t="inlineStr">
        <is>
          <t>none</t>
        </is>
      </c>
      <c r="L215" s="4" t="inlineStr">
        <is>
          <t>full</t>
        </is>
      </c>
      <c r="M215" s="11" t="n">
        <v>0</v>
      </c>
      <c r="N215" s="11" t="n">
        <v>-1</v>
      </c>
      <c r="O215" s="11" t="n">
        <v>-4</v>
      </c>
      <c r="P215" s="4" t="n">
        <v>1</v>
      </c>
      <c r="Q215" s="11" t="n">
        <v>0.590957755415416</v>
      </c>
      <c r="R215" s="11" t="n">
        <v>0</v>
      </c>
      <c r="S215" s="11" t="n">
        <v>36.17965448795789</v>
      </c>
      <c r="T215" s="11" t="n">
        <v>26.30408855776265</v>
      </c>
      <c r="U215" s="11" t="n">
        <v>0.9166666666666666</v>
      </c>
      <c r="V215" s="11" t="n">
        <v>5.09972297491028</v>
      </c>
      <c r="W215" s="12" t="n">
        <v>43.31133937835693</v>
      </c>
    </row>
    <row r="216">
      <c r="A216" s="4" t="n">
        <v>215</v>
      </c>
      <c r="B216" s="4" t="inlineStr">
        <is>
          <t>elongation_pct</t>
        </is>
      </c>
      <c r="C216" s="4" t="inlineStr">
        <is>
          <t>Exp1_kernel_screen</t>
        </is>
      </c>
      <c r="D216" s="4" t="n"/>
      <c r="E216" s="4" t="n"/>
      <c r="F216" s="4" t="inlineStr">
        <is>
          <t>GP</t>
        </is>
      </c>
      <c r="G216" s="4" t="inlineStr">
        <is>
          <t>rbf</t>
        </is>
      </c>
      <c r="H216" s="4" t="b">
        <v>0</v>
      </c>
      <c r="I216" s="4" t="b">
        <v>0</v>
      </c>
      <c r="J216" s="4" t="inlineStr">
        <is>
          <t>log1p</t>
        </is>
      </c>
      <c r="K216" s="4" t="inlineStr">
        <is>
          <t>none</t>
        </is>
      </c>
      <c r="L216" s="4" t="inlineStr">
        <is>
          <t>full</t>
        </is>
      </c>
      <c r="M216" s="11" t="n">
        <v>0</v>
      </c>
      <c r="N216" s="11" t="n">
        <v>-1</v>
      </c>
      <c r="O216" s="11" t="n">
        <v>-4</v>
      </c>
      <c r="P216" s="4" t="n">
        <v>1</v>
      </c>
      <c r="Q216" s="11" t="n">
        <v>0.4961642932759527</v>
      </c>
      <c r="R216" s="11" t="n">
        <v>0</v>
      </c>
      <c r="S216" s="11" t="n">
        <v>40.15362927126714</v>
      </c>
      <c r="T216" s="11" t="n">
        <v>29.85417746396731</v>
      </c>
      <c r="U216" s="11" t="n">
        <v>0.9351851851851852</v>
      </c>
      <c r="V216" s="11" t="n">
        <v>5.155050105023206</v>
      </c>
      <c r="W216" s="12" t="n">
        <v>1.820155382156372</v>
      </c>
    </row>
    <row r="217">
      <c r="A217" s="4" t="n">
        <v>216</v>
      </c>
      <c r="B217" s="4" t="inlineStr">
        <is>
          <t>elongation_pct</t>
        </is>
      </c>
      <c r="C217" s="4" t="inlineStr">
        <is>
          <t>Exp1_kernel_screen</t>
        </is>
      </c>
      <c r="D217" s="4" t="n"/>
      <c r="E217" s="4" t="n"/>
      <c r="F217" s="4" t="inlineStr">
        <is>
          <t>GP</t>
        </is>
      </c>
      <c r="G217" s="4" t="inlineStr">
        <is>
          <t>matern12</t>
        </is>
      </c>
      <c r="H217" s="4" t="b">
        <v>1</v>
      </c>
      <c r="I217" s="4" t="b">
        <v>0</v>
      </c>
      <c r="J217" s="4" t="inlineStr">
        <is>
          <t>log1p</t>
        </is>
      </c>
      <c r="K217" s="4" t="inlineStr">
        <is>
          <t>none</t>
        </is>
      </c>
      <c r="L217" s="4" t="inlineStr">
        <is>
          <t>full</t>
        </is>
      </c>
      <c r="M217" s="11" t="n">
        <v>0</v>
      </c>
      <c r="N217" s="11" t="n">
        <v>-1</v>
      </c>
      <c r="O217" s="11" t="n">
        <v>-4</v>
      </c>
      <c r="P217" s="4" t="n">
        <v>1</v>
      </c>
      <c r="Q217" s="11" t="n">
        <v>0.6222722332404368</v>
      </c>
      <c r="R217" s="11" t="n">
        <v>0</v>
      </c>
      <c r="S217" s="11" t="n">
        <v>34.76720586267125</v>
      </c>
      <c r="T217" s="11" t="n">
        <v>24.92256903976933</v>
      </c>
      <c r="U217" s="11" t="n">
        <v>0.925925925925926</v>
      </c>
      <c r="V217" s="11" t="n">
        <v>5.079734790205295</v>
      </c>
      <c r="W217" s="12" t="n">
        <v>48.21038985252381</v>
      </c>
    </row>
    <row r="218">
      <c r="A218" s="4" t="n">
        <v>217</v>
      </c>
      <c r="B218" s="4" t="inlineStr">
        <is>
          <t>elongation_pct</t>
        </is>
      </c>
      <c r="C218" s="4" t="inlineStr">
        <is>
          <t>Exp1_kernel_screen</t>
        </is>
      </c>
      <c r="D218" s="4" t="n"/>
      <c r="E218" s="4" t="n"/>
      <c r="F218" s="4" t="inlineStr">
        <is>
          <t>GP</t>
        </is>
      </c>
      <c r="G218" s="4" t="inlineStr">
        <is>
          <t>matern12</t>
        </is>
      </c>
      <c r="H218" s="4" t="b">
        <v>0</v>
      </c>
      <c r="I218" s="4" t="b">
        <v>0</v>
      </c>
      <c r="J218" s="4" t="inlineStr">
        <is>
          <t>log1p</t>
        </is>
      </c>
      <c r="K218" s="4" t="inlineStr">
        <is>
          <t>none</t>
        </is>
      </c>
      <c r="L218" s="4" t="inlineStr">
        <is>
          <t>full</t>
        </is>
      </c>
      <c r="M218" s="11" t="n">
        <v>0</v>
      </c>
      <c r="N218" s="11" t="n">
        <v>-1</v>
      </c>
      <c r="O218" s="11" t="n">
        <v>-4</v>
      </c>
      <c r="P218" s="4" t="n">
        <v>1</v>
      </c>
      <c r="Q218" s="11" t="n">
        <v>0.5094501250165788</v>
      </c>
      <c r="R218" s="11" t="n">
        <v>0</v>
      </c>
      <c r="S218" s="11" t="n">
        <v>39.62067939462005</v>
      </c>
      <c r="T218" s="11" t="n">
        <v>29.13829941543608</v>
      </c>
      <c r="U218" s="11" t="n">
        <v>0.9305555555555556</v>
      </c>
      <c r="V218" s="11" t="n">
        <v>5.163985597740093</v>
      </c>
      <c r="W218" s="12" t="n">
        <v>2.110595226287842</v>
      </c>
    </row>
    <row r="219">
      <c r="A219" s="4" t="n">
        <v>218</v>
      </c>
      <c r="B219" s="4" t="inlineStr">
        <is>
          <t>elongation_pct</t>
        </is>
      </c>
      <c r="C219" s="4" t="inlineStr">
        <is>
          <t>Exp1_kernel_screen</t>
        </is>
      </c>
      <c r="D219" s="4" t="n"/>
      <c r="E219" s="4" t="n"/>
      <c r="F219" s="4" t="inlineStr">
        <is>
          <t>GP</t>
        </is>
      </c>
      <c r="G219" s="4" t="inlineStr">
        <is>
          <t>matern32</t>
        </is>
      </c>
      <c r="H219" s="4" t="b">
        <v>1</v>
      </c>
      <c r="I219" s="4" t="b">
        <v>0</v>
      </c>
      <c r="J219" s="4" t="inlineStr">
        <is>
          <t>log1p</t>
        </is>
      </c>
      <c r="K219" s="4" t="inlineStr">
        <is>
          <t>none</t>
        </is>
      </c>
      <c r="L219" s="4" t="inlineStr">
        <is>
          <t>full</t>
        </is>
      </c>
      <c r="M219" s="11" t="n">
        <v>0</v>
      </c>
      <c r="N219" s="11" t="n">
        <v>-1</v>
      </c>
      <c r="O219" s="11" t="n">
        <v>-4</v>
      </c>
      <c r="P219" s="4" t="n">
        <v>1</v>
      </c>
      <c r="Q219" s="11" t="n">
        <v>0.621144198940904</v>
      </c>
      <c r="R219" s="11" t="n">
        <v>0</v>
      </c>
      <c r="S219" s="11" t="n">
        <v>34.8190810059647</v>
      </c>
      <c r="T219" s="11" t="n">
        <v>24.94041034420786</v>
      </c>
      <c r="U219" s="11" t="n">
        <v>0.925925925925926</v>
      </c>
      <c r="V219" s="11" t="n">
        <v>5.07488179666532</v>
      </c>
      <c r="W219" s="12" t="n">
        <v>44.67351460456848</v>
      </c>
    </row>
    <row r="220">
      <c r="A220" s="4" t="n">
        <v>219</v>
      </c>
      <c r="B220" s="4" t="inlineStr">
        <is>
          <t>elongation_pct</t>
        </is>
      </c>
      <c r="C220" s="4" t="inlineStr">
        <is>
          <t>Exp1_kernel_screen</t>
        </is>
      </c>
      <c r="D220" s="4" t="n"/>
      <c r="E220" s="4" t="n"/>
      <c r="F220" s="4" t="inlineStr">
        <is>
          <t>GP</t>
        </is>
      </c>
      <c r="G220" s="4" t="inlineStr">
        <is>
          <t>matern32</t>
        </is>
      </c>
      <c r="H220" s="4" t="b">
        <v>0</v>
      </c>
      <c r="I220" s="4" t="b">
        <v>0</v>
      </c>
      <c r="J220" s="4" t="inlineStr">
        <is>
          <t>log1p</t>
        </is>
      </c>
      <c r="K220" s="4" t="inlineStr">
        <is>
          <t>none</t>
        </is>
      </c>
      <c r="L220" s="4" t="inlineStr">
        <is>
          <t>full</t>
        </is>
      </c>
      <c r="M220" s="11" t="n">
        <v>0</v>
      </c>
      <c r="N220" s="11" t="n">
        <v>-1</v>
      </c>
      <c r="O220" s="11" t="n">
        <v>-4</v>
      </c>
      <c r="P220" s="4" t="n">
        <v>1</v>
      </c>
      <c r="Q220" s="11" t="n">
        <v>0.507039514307533</v>
      </c>
      <c r="R220" s="11" t="n">
        <v>0</v>
      </c>
      <c r="S220" s="11" t="n">
        <v>39.71791006359844</v>
      </c>
      <c r="T220" s="11" t="n">
        <v>29.45262862080034</v>
      </c>
      <c r="U220" s="11" t="n">
        <v>0.9305555555555556</v>
      </c>
      <c r="V220" s="11" t="n">
        <v>5.145640602559085</v>
      </c>
      <c r="W220" s="12" t="n">
        <v>1.976780652999878</v>
      </c>
    </row>
    <row r="221">
      <c r="A221" s="4" t="n">
        <v>220</v>
      </c>
      <c r="B221" s="4" t="inlineStr">
        <is>
          <t>elongation_pct</t>
        </is>
      </c>
      <c r="C221" s="4" t="inlineStr">
        <is>
          <t>Exp1_kernel_screen</t>
        </is>
      </c>
      <c r="D221" s="4" t="n"/>
      <c r="E221" s="4" t="n"/>
      <c r="F221" s="4" t="inlineStr">
        <is>
          <t>GP</t>
        </is>
      </c>
      <c r="G221" s="4" t="inlineStr">
        <is>
          <t>matern52</t>
        </is>
      </c>
      <c r="H221" s="4" t="b">
        <v>1</v>
      </c>
      <c r="I221" s="4" t="b">
        <v>0</v>
      </c>
      <c r="J221" s="4" t="inlineStr">
        <is>
          <t>log1p</t>
        </is>
      </c>
      <c r="K221" s="4" t="inlineStr">
        <is>
          <t>none</t>
        </is>
      </c>
      <c r="L221" s="4" t="inlineStr">
        <is>
          <t>full</t>
        </is>
      </c>
      <c r="M221" s="11" t="n">
        <v>0</v>
      </c>
      <c r="N221" s="11" t="n">
        <v>-1</v>
      </c>
      <c r="O221" s="11" t="n">
        <v>-4</v>
      </c>
      <c r="P221" s="4" t="n">
        <v>1</v>
      </c>
      <c r="Q221" s="11" t="n">
        <v>0.6122485509994247</v>
      </c>
      <c r="R221" s="11" t="n">
        <v>0</v>
      </c>
      <c r="S221" s="11" t="n">
        <v>35.22549043142698</v>
      </c>
      <c r="T221" s="11" t="n">
        <v>25.41461245811328</v>
      </c>
      <c r="U221" s="11" t="n">
        <v>0.925925925925926</v>
      </c>
      <c r="V221" s="11" t="n">
        <v>5.087984846437131</v>
      </c>
      <c r="W221" s="12" t="n">
        <v>43.64702868461609</v>
      </c>
    </row>
    <row r="222">
      <c r="A222" s="4" t="n">
        <v>221</v>
      </c>
      <c r="B222" s="4" t="inlineStr">
        <is>
          <t>elongation_pct</t>
        </is>
      </c>
      <c r="C222" s="4" t="inlineStr">
        <is>
          <t>Exp1_kernel_screen</t>
        </is>
      </c>
      <c r="D222" s="4" t="n"/>
      <c r="E222" s="4" t="n"/>
      <c r="F222" s="4" t="inlineStr">
        <is>
          <t>GP</t>
        </is>
      </c>
      <c r="G222" s="4" t="inlineStr">
        <is>
          <t>matern52</t>
        </is>
      </c>
      <c r="H222" s="4" t="b">
        <v>0</v>
      </c>
      <c r="I222" s="4" t="b">
        <v>0</v>
      </c>
      <c r="J222" s="4" t="inlineStr">
        <is>
          <t>log1p</t>
        </is>
      </c>
      <c r="K222" s="4" t="inlineStr">
        <is>
          <t>none</t>
        </is>
      </c>
      <c r="L222" s="4" t="inlineStr">
        <is>
          <t>full</t>
        </is>
      </c>
      <c r="M222" s="11" t="n">
        <v>0</v>
      </c>
      <c r="N222" s="11" t="n">
        <v>-1</v>
      </c>
      <c r="O222" s="11" t="n">
        <v>-4</v>
      </c>
      <c r="P222" s="4" t="n">
        <v>1</v>
      </c>
      <c r="Q222" s="11" t="n">
        <v>0.501946680020627</v>
      </c>
      <c r="R222" s="11" t="n">
        <v>0</v>
      </c>
      <c r="S222" s="11" t="n">
        <v>39.92254814826074</v>
      </c>
      <c r="T222" s="11" t="n">
        <v>29.59853869673948</v>
      </c>
      <c r="U222" s="11" t="n">
        <v>0.9305555555555556</v>
      </c>
      <c r="V222" s="11" t="n">
        <v>5.14930707858714</v>
      </c>
      <c r="W222" s="12" t="n">
        <v>1.923407316207885</v>
      </c>
    </row>
    <row r="223">
      <c r="A223" s="4" t="n">
        <v>222</v>
      </c>
      <c r="B223" s="4" t="inlineStr">
        <is>
          <t>elongation_pct</t>
        </is>
      </c>
      <c r="C223" s="4" t="inlineStr">
        <is>
          <t>Exp1_kernel_screen</t>
        </is>
      </c>
      <c r="D223" s="4" t="n"/>
      <c r="E223" s="4" t="n"/>
      <c r="F223" s="4" t="inlineStr">
        <is>
          <t>GP</t>
        </is>
      </c>
      <c r="G223" s="4" t="inlineStr">
        <is>
          <t>rq</t>
        </is>
      </c>
      <c r="H223" s="4" t="b">
        <v>0</v>
      </c>
      <c r="I223" s="4" t="b">
        <v>0</v>
      </c>
      <c r="J223" s="4" t="inlineStr">
        <is>
          <t>log1p</t>
        </is>
      </c>
      <c r="K223" s="4" t="inlineStr">
        <is>
          <t>none</t>
        </is>
      </c>
      <c r="L223" s="4" t="inlineStr">
        <is>
          <t>full</t>
        </is>
      </c>
      <c r="M223" s="11" t="n">
        <v>0</v>
      </c>
      <c r="N223" s="11" t="n">
        <v>-1</v>
      </c>
      <c r="O223" s="11" t="n">
        <v>-4</v>
      </c>
      <c r="P223" s="4" t="n">
        <v>1</v>
      </c>
      <c r="Q223" s="11" t="n">
        <v>0.5002155644928292</v>
      </c>
      <c r="R223" s="11" t="n">
        <v>0</v>
      </c>
      <c r="S223" s="11" t="n">
        <v>39.99186863203489</v>
      </c>
      <c r="T223" s="11" t="n">
        <v>29.76295709364818</v>
      </c>
      <c r="U223" s="11" t="n">
        <v>0.925925925925926</v>
      </c>
      <c r="V223" s="11" t="n">
        <v>5.179941669680006</v>
      </c>
      <c r="W223" s="12" t="n">
        <v>3.913195133209229</v>
      </c>
    </row>
    <row r="224">
      <c r="A224" s="4" t="n">
        <v>223</v>
      </c>
      <c r="B224" s="4" t="inlineStr">
        <is>
          <t>elongation_pct</t>
        </is>
      </c>
      <c r="C224" s="4" t="inlineStr">
        <is>
          <t>Exp2_BO</t>
        </is>
      </c>
      <c r="D224" s="4" t="n">
        <v>0</v>
      </c>
      <c r="E224" s="4" t="n">
        <v>0</v>
      </c>
      <c r="F224" s="4" t="inlineStr">
        <is>
          <t>GP</t>
        </is>
      </c>
      <c r="G224" s="4" t="inlineStr">
        <is>
          <t>rq</t>
        </is>
      </c>
      <c r="H224" s="4" t="b">
        <v>0</v>
      </c>
      <c r="I224" s="4" t="b">
        <v>1</v>
      </c>
      <c r="J224" s="4" t="inlineStr">
        <is>
          <t>std</t>
        </is>
      </c>
      <c r="K224" s="4" t="inlineStr">
        <is>
          <t>none</t>
        </is>
      </c>
      <c r="L224" s="4" t="inlineStr">
        <is>
          <t>full</t>
        </is>
      </c>
      <c r="M224" s="11" t="n">
        <v>-0.9669447289429418</v>
      </c>
      <c r="N224" s="11" t="n">
        <v>-0.5601892823991825</v>
      </c>
      <c r="O224" s="11" t="n">
        <v>-2.348977690889113</v>
      </c>
      <c r="P224" s="4" t="n">
        <v>1</v>
      </c>
      <c r="Q224" s="11" t="n">
        <v>0.5345382214534669</v>
      </c>
      <c r="R224" s="11" t="n">
        <v>0</v>
      </c>
      <c r="S224" s="11" t="n">
        <v>38.59422691482371</v>
      </c>
      <c r="T224" s="11" t="n">
        <v>28.19823899151372</v>
      </c>
      <c r="U224" s="11" t="n">
        <v>0.925925925925926</v>
      </c>
      <c r="V224" s="11" t="n">
        <v>5.137573741284104</v>
      </c>
      <c r="W224" s="12" t="n">
        <v>9.084002494812012</v>
      </c>
    </row>
    <row r="225">
      <c r="A225" s="4" t="n">
        <v>224</v>
      </c>
      <c r="B225" s="4" t="inlineStr">
        <is>
          <t>elongation_pct</t>
        </is>
      </c>
      <c r="C225" s="4" t="inlineStr">
        <is>
          <t>Exp2_BO</t>
        </is>
      </c>
      <c r="D225" s="4" t="n">
        <v>0</v>
      </c>
      <c r="E225" s="4" t="n">
        <v>1</v>
      </c>
      <c r="F225" s="4" t="inlineStr">
        <is>
          <t>GP</t>
        </is>
      </c>
      <c r="G225" s="4" t="inlineStr">
        <is>
          <t>matern32</t>
        </is>
      </c>
      <c r="H225" s="4" t="b">
        <v>0</v>
      </c>
      <c r="I225" s="4" t="b">
        <v>1</v>
      </c>
      <c r="J225" s="4" t="inlineStr">
        <is>
          <t>log1p</t>
        </is>
      </c>
      <c r="K225" s="4" t="inlineStr">
        <is>
          <t>log</t>
        </is>
      </c>
      <c r="L225" s="4" t="inlineStr">
        <is>
          <t>full_cure6</t>
        </is>
      </c>
      <c r="M225" s="11" t="n">
        <v>0.8701448475755365</v>
      </c>
      <c r="N225" s="11" t="n">
        <v>-0.5524393376354038</v>
      </c>
      <c r="O225" s="11" t="n">
        <v>-5.989045999319408</v>
      </c>
      <c r="P225" s="4" t="n">
        <v>1</v>
      </c>
      <c r="Q225" s="11" t="n">
        <v>0.5418803018071181</v>
      </c>
      <c r="R225" s="11" t="n">
        <v>0</v>
      </c>
      <c r="S225" s="11" t="n">
        <v>38.28862906606124</v>
      </c>
      <c r="T225" s="11" t="n">
        <v>27.74091393205525</v>
      </c>
      <c r="U225" s="11" t="n">
        <v>0.9120370370370372</v>
      </c>
      <c r="V225" s="11" t="n">
        <v>5.090349623946445</v>
      </c>
      <c r="W225" s="12" t="n">
        <v>5.656500339508057</v>
      </c>
    </row>
    <row r="226">
      <c r="A226" s="4" t="n">
        <v>225</v>
      </c>
      <c r="B226" s="4" t="inlineStr">
        <is>
          <t>elongation_pct</t>
        </is>
      </c>
      <c r="C226" s="4" t="inlineStr">
        <is>
          <t>Exp2_BO</t>
        </is>
      </c>
      <c r="D226" s="4" t="n">
        <v>0</v>
      </c>
      <c r="E226" s="4" t="n">
        <v>2</v>
      </c>
      <c r="F226" s="4" t="inlineStr">
        <is>
          <t>GP</t>
        </is>
      </c>
      <c r="G226" s="4" t="inlineStr">
        <is>
          <t>matern12</t>
        </is>
      </c>
      <c r="H226" s="4" t="b">
        <v>0</v>
      </c>
      <c r="I226" s="4" t="b">
        <v>1</v>
      </c>
      <c r="J226" s="4" t="inlineStr">
        <is>
          <t>std</t>
        </is>
      </c>
      <c r="K226" s="4" t="inlineStr">
        <is>
          <t>log</t>
        </is>
      </c>
      <c r="L226" s="4" t="inlineStr">
        <is>
          <t>full_cure6</t>
        </is>
      </c>
      <c r="M226" s="11" t="n">
        <v>-0.648688758794882</v>
      </c>
      <c r="N226" s="11" t="n">
        <v>-0.4104632329503404</v>
      </c>
      <c r="O226" s="11" t="n">
        <v>-3.834155119003633</v>
      </c>
      <c r="P226" s="4" t="n">
        <v>1</v>
      </c>
      <c r="Q226" s="11" t="n">
        <v>0.5523073189112906</v>
      </c>
      <c r="R226" s="11" t="n">
        <v>0</v>
      </c>
      <c r="S226" s="11" t="n">
        <v>37.85038757783652</v>
      </c>
      <c r="T226" s="11" t="n">
        <v>27.20955720131843</v>
      </c>
      <c r="U226" s="11" t="n">
        <v>0.9166666666666666</v>
      </c>
      <c r="V226" s="11" t="n">
        <v>5.093434638962151</v>
      </c>
      <c r="W226" s="12" t="n">
        <v>5.00955057144165</v>
      </c>
    </row>
    <row r="227">
      <c r="A227" s="4" t="n">
        <v>226</v>
      </c>
      <c r="B227" s="4" t="inlineStr">
        <is>
          <t>elongation_pct</t>
        </is>
      </c>
      <c r="C227" s="4" t="inlineStr">
        <is>
          <t>Exp2_BO</t>
        </is>
      </c>
      <c r="D227" s="4" t="n">
        <v>0</v>
      </c>
      <c r="E227" s="4" t="n">
        <v>3</v>
      </c>
      <c r="F227" s="4" t="inlineStr">
        <is>
          <t>GP</t>
        </is>
      </c>
      <c r="G227" s="4" t="inlineStr">
        <is>
          <t>rbf</t>
        </is>
      </c>
      <c r="H227" s="4" t="b">
        <v>1</v>
      </c>
      <c r="I227" s="4" t="b">
        <v>0</v>
      </c>
      <c r="J227" s="4" t="inlineStr">
        <is>
          <t>std</t>
        </is>
      </c>
      <c r="K227" s="4" t="inlineStr">
        <is>
          <t>none</t>
        </is>
      </c>
      <c r="L227" s="4" t="inlineStr">
        <is>
          <t>full</t>
        </is>
      </c>
      <c r="M227" s="11" t="n">
        <v>-0.7514334470008721</v>
      </c>
      <c r="N227" s="11" t="n">
        <v>-0.9881267559191088</v>
      </c>
      <c r="O227" s="11" t="n">
        <v>-3.411241953703</v>
      </c>
      <c r="P227" s="4" t="n">
        <v>1</v>
      </c>
      <c r="Q227" s="11" t="n">
        <v>0.47761370140238</v>
      </c>
      <c r="R227" s="11" t="n">
        <v>0</v>
      </c>
      <c r="S227" s="11" t="n">
        <v>40.88615045092626</v>
      </c>
      <c r="T227" s="11" t="n">
        <v>28.63354683504888</v>
      </c>
      <c r="U227" s="11" t="n">
        <v>0.925925925925926</v>
      </c>
      <c r="V227" s="11" t="n">
        <v>5.200793779679959</v>
      </c>
      <c r="W227" s="12" t="n">
        <v>28.41309189796448</v>
      </c>
    </row>
    <row r="228">
      <c r="A228" s="4" t="n">
        <v>227</v>
      </c>
      <c r="B228" s="4" t="inlineStr">
        <is>
          <t>elongation_pct</t>
        </is>
      </c>
      <c r="C228" s="4" t="inlineStr">
        <is>
          <t>Exp2_BO</t>
        </is>
      </c>
      <c r="D228" s="4" t="n">
        <v>0</v>
      </c>
      <c r="E228" s="4" t="n">
        <v>4</v>
      </c>
      <c r="F228" s="4" t="inlineStr">
        <is>
          <t>GP</t>
        </is>
      </c>
      <c r="G228" s="4" t="inlineStr">
        <is>
          <t>matern12</t>
        </is>
      </c>
      <c r="H228" s="4" t="b">
        <v>0</v>
      </c>
      <c r="I228" s="4" t="b">
        <v>1</v>
      </c>
      <c r="J228" s="4" t="inlineStr">
        <is>
          <t>std</t>
        </is>
      </c>
      <c r="K228" s="4" t="inlineStr">
        <is>
          <t>none</t>
        </is>
      </c>
      <c r="L228" s="4" t="inlineStr">
        <is>
          <t>compact</t>
        </is>
      </c>
      <c r="M228" s="11" t="n">
        <v>0.9616706775524602</v>
      </c>
      <c r="N228" s="11" t="n">
        <v>-0.943374046557916</v>
      </c>
      <c r="O228" s="11" t="n">
        <v>-3.398162894928735</v>
      </c>
      <c r="P228" s="4" t="n">
        <v>1</v>
      </c>
      <c r="Q228" s="11" t="n">
        <v>0.6007073372778651</v>
      </c>
      <c r="R228" s="11" t="n">
        <v>0</v>
      </c>
      <c r="S228" s="11" t="n">
        <v>35.74588044838716</v>
      </c>
      <c r="T228" s="11" t="n">
        <v>25.48191288135943</v>
      </c>
      <c r="U228" s="11" t="n">
        <v>0.9305555555555556</v>
      </c>
      <c r="V228" s="11" t="n">
        <v>5.10577808520652</v>
      </c>
      <c r="W228" s="12" t="n">
        <v>5.522430896759033</v>
      </c>
    </row>
    <row r="229">
      <c r="A229" s="4" t="n">
        <v>228</v>
      </c>
      <c r="B229" s="4" t="inlineStr">
        <is>
          <t>elongation_pct</t>
        </is>
      </c>
      <c r="C229" s="4" t="inlineStr">
        <is>
          <t>Exp2_BO</t>
        </is>
      </c>
      <c r="D229" s="4" t="n">
        <v>0</v>
      </c>
      <c r="E229" s="4" t="n">
        <v>5</v>
      </c>
      <c r="F229" s="4" t="inlineStr">
        <is>
          <t>GP</t>
        </is>
      </c>
      <c r="G229" s="4" t="inlineStr">
        <is>
          <t>rq</t>
        </is>
      </c>
      <c r="H229" s="4" t="b">
        <v>0</v>
      </c>
      <c r="I229" s="4" t="b">
        <v>1</v>
      </c>
      <c r="J229" s="4" t="inlineStr">
        <is>
          <t>std</t>
        </is>
      </c>
      <c r="K229" s="4" t="inlineStr">
        <is>
          <t>log</t>
        </is>
      </c>
      <c r="L229" s="4" t="inlineStr">
        <is>
          <t>full</t>
        </is>
      </c>
      <c r="M229" s="11" t="n">
        <v>0.4429766803881634</v>
      </c>
      <c r="N229" s="11" t="n">
        <v>-1.423937032572822</v>
      </c>
      <c r="O229" s="11" t="n">
        <v>-4.759032497764178</v>
      </c>
      <c r="P229" s="4" t="n">
        <v>1</v>
      </c>
      <c r="Q229" s="11" t="n">
        <v>0.5281904026150261</v>
      </c>
      <c r="R229" s="11" t="n">
        <v>0</v>
      </c>
      <c r="S229" s="11" t="n">
        <v>38.85650359194189</v>
      </c>
      <c r="T229" s="11" t="n">
        <v>28.23538362577944</v>
      </c>
      <c r="U229" s="11" t="n">
        <v>0.925925925925926</v>
      </c>
      <c r="V229" s="11" t="n">
        <v>5.189422931753556</v>
      </c>
      <c r="W229" s="12" t="n">
        <v>11.5055673122406</v>
      </c>
    </row>
    <row r="230">
      <c r="A230" s="4" t="n">
        <v>229</v>
      </c>
      <c r="B230" s="4" t="inlineStr">
        <is>
          <t>elongation_pct</t>
        </is>
      </c>
      <c r="C230" s="4" t="inlineStr">
        <is>
          <t>Exp2_BO</t>
        </is>
      </c>
      <c r="D230" s="4" t="n">
        <v>0</v>
      </c>
      <c r="E230" s="4" t="n">
        <v>6</v>
      </c>
      <c r="F230" s="4" t="inlineStr">
        <is>
          <t>GP</t>
        </is>
      </c>
      <c r="G230" s="4" t="inlineStr">
        <is>
          <t>matern32</t>
        </is>
      </c>
      <c r="H230" s="4" t="b">
        <v>1</v>
      </c>
      <c r="I230" s="4" t="b">
        <v>1</v>
      </c>
      <c r="J230" s="4" t="inlineStr">
        <is>
          <t>log1p</t>
        </is>
      </c>
      <c r="K230" s="4" t="inlineStr">
        <is>
          <t>none</t>
        </is>
      </c>
      <c r="L230" s="4" t="inlineStr">
        <is>
          <t>compact</t>
        </is>
      </c>
      <c r="M230" s="11" t="n">
        <v>-0.2844096065818595</v>
      </c>
      <c r="N230" s="11" t="n">
        <v>-1.285410507810717</v>
      </c>
      <c r="O230" s="11" t="n">
        <v>-4.712522435696231</v>
      </c>
      <c r="P230" s="4" t="n">
        <v>1</v>
      </c>
      <c r="Q230" s="11" t="n">
        <v>0.5959156441119318</v>
      </c>
      <c r="R230" s="11" t="n">
        <v>0</v>
      </c>
      <c r="S230" s="11" t="n">
        <v>35.95972420021435</v>
      </c>
      <c r="T230" s="11" t="n">
        <v>25.54745190614492</v>
      </c>
      <c r="U230" s="11" t="n">
        <v>0.9305555555555556</v>
      </c>
      <c r="V230" s="11" t="n">
        <v>5.153312043820692</v>
      </c>
      <c r="W230" s="12" t="n">
        <v>33.15491318702698</v>
      </c>
    </row>
    <row r="231">
      <c r="A231" s="4" t="n">
        <v>230</v>
      </c>
      <c r="B231" s="4" t="inlineStr">
        <is>
          <t>elongation_pct</t>
        </is>
      </c>
      <c r="C231" s="4" t="inlineStr">
        <is>
          <t>Exp2_BO</t>
        </is>
      </c>
      <c r="D231" s="4" t="n">
        <v>0</v>
      </c>
      <c r="E231" s="4" t="n">
        <v>7</v>
      </c>
      <c r="F231" s="4" t="inlineStr">
        <is>
          <t>GP</t>
        </is>
      </c>
      <c r="G231" s="4" t="inlineStr">
        <is>
          <t>matern52</t>
        </is>
      </c>
      <c r="H231" s="4" t="b">
        <v>0</v>
      </c>
      <c r="I231" s="4" t="b">
        <v>1</v>
      </c>
      <c r="J231" s="4" t="inlineStr">
        <is>
          <t>std</t>
        </is>
      </c>
      <c r="K231" s="4" t="inlineStr">
        <is>
          <t>log</t>
        </is>
      </c>
      <c r="L231" s="4" t="inlineStr">
        <is>
          <t>full_agg</t>
        </is>
      </c>
      <c r="M231" s="11" t="n">
        <v>0.7805487040095846</v>
      </c>
      <c r="N231" s="11" t="n">
        <v>-2.318527219399861</v>
      </c>
      <c r="O231" s="11" t="n">
        <v>-3.50725142125583</v>
      </c>
      <c r="P231" s="4" t="n">
        <v>1</v>
      </c>
      <c r="Q231" s="11" t="n">
        <v>0.5290393445230626</v>
      </c>
      <c r="R231" s="11" t="n">
        <v>0</v>
      </c>
      <c r="S231" s="11" t="n">
        <v>38.82152998559111</v>
      </c>
      <c r="T231" s="11" t="n">
        <v>28.29439750417149</v>
      </c>
      <c r="U231" s="11" t="n">
        <v>0.9212962962962964</v>
      </c>
      <c r="V231" s="11" t="n">
        <v>5.177380755561364</v>
      </c>
      <c r="W231" s="12" t="n">
        <v>7.23527193069458</v>
      </c>
    </row>
    <row r="232">
      <c r="A232" s="4" t="n">
        <v>231</v>
      </c>
      <c r="B232" s="4" t="inlineStr">
        <is>
          <t>elongation_pct</t>
        </is>
      </c>
      <c r="C232" s="4" t="inlineStr">
        <is>
          <t>Exp2_BO</t>
        </is>
      </c>
      <c r="D232" s="4" t="n">
        <v>0</v>
      </c>
      <c r="E232" s="4" t="n">
        <v>8</v>
      </c>
      <c r="F232" s="4" t="inlineStr">
        <is>
          <t>GP</t>
        </is>
      </c>
      <c r="G232" s="4" t="inlineStr">
        <is>
          <t>matern32</t>
        </is>
      </c>
      <c r="H232" s="4" t="b">
        <v>0</v>
      </c>
      <c r="I232" s="4" t="b">
        <v>0</v>
      </c>
      <c r="J232" s="4" t="inlineStr">
        <is>
          <t>std</t>
        </is>
      </c>
      <c r="K232" s="4" t="inlineStr">
        <is>
          <t>log</t>
        </is>
      </c>
      <c r="L232" s="4" t="inlineStr">
        <is>
          <t>full</t>
        </is>
      </c>
      <c r="M232" s="11" t="n">
        <v>0.69658241655012</v>
      </c>
      <c r="N232" s="11" t="n">
        <v>-2.563579385440405</v>
      </c>
      <c r="O232" s="11" t="n">
        <v>-4.373958653007493</v>
      </c>
      <c r="P232" s="4" t="n">
        <v>1</v>
      </c>
      <c r="Q232" s="11" t="n">
        <v>0.4996124620934364</v>
      </c>
      <c r="R232" s="11" t="n">
        <v>0</v>
      </c>
      <c r="S232" s="11" t="n">
        <v>40.01599095187301</v>
      </c>
      <c r="T232" s="11" t="n">
        <v>29.81785638194368</v>
      </c>
      <c r="U232" s="11" t="n">
        <v>0.9305555555555556</v>
      </c>
      <c r="V232" s="11" t="n">
        <v>5.188924546771602</v>
      </c>
      <c r="W232" s="12" t="n">
        <v>3.311569213867188</v>
      </c>
    </row>
    <row r="233">
      <c r="A233" s="4" t="n">
        <v>232</v>
      </c>
      <c r="B233" s="4" t="inlineStr">
        <is>
          <t>elongation_pct</t>
        </is>
      </c>
      <c r="C233" s="4" t="inlineStr">
        <is>
          <t>Exp2_BO</t>
        </is>
      </c>
      <c r="D233" s="4" t="n">
        <v>0</v>
      </c>
      <c r="E233" s="4" t="n">
        <v>9</v>
      </c>
      <c r="F233" s="4" t="inlineStr">
        <is>
          <t>GP</t>
        </is>
      </c>
      <c r="G233" s="4" t="inlineStr">
        <is>
          <t>rbf</t>
        </is>
      </c>
      <c r="H233" s="4" t="b">
        <v>0</v>
      </c>
      <c r="I233" s="4" t="b">
        <v>1</v>
      </c>
      <c r="J233" s="4" t="inlineStr">
        <is>
          <t>std</t>
        </is>
      </c>
      <c r="K233" s="4" t="inlineStr">
        <is>
          <t>none</t>
        </is>
      </c>
      <c r="L233" s="4" t="inlineStr">
        <is>
          <t>compact</t>
        </is>
      </c>
      <c r="M233" s="11" t="n">
        <v>0.5286390131190244</v>
      </c>
      <c r="N233" s="11" t="n">
        <v>-0.0151310719697952</v>
      </c>
      <c r="O233" s="11" t="n">
        <v>-5.477584046373504</v>
      </c>
      <c r="P233" s="4" t="n">
        <v>1</v>
      </c>
      <c r="Q233" s="11" t="n">
        <v>0.5944736930728282</v>
      </c>
      <c r="R233" s="11" t="n">
        <v>0</v>
      </c>
      <c r="S233" s="11" t="n">
        <v>36.02382713495032</v>
      </c>
      <c r="T233" s="11" t="n">
        <v>25.61638328073074</v>
      </c>
      <c r="U233" s="11" t="n">
        <v>0.9305555555555556</v>
      </c>
      <c r="V233" s="11" t="n">
        <v>5.08390164237121</v>
      </c>
      <c r="W233" s="12" t="n">
        <v>5.292625427246094</v>
      </c>
    </row>
    <row r="234">
      <c r="A234" s="4" t="n">
        <v>233</v>
      </c>
      <c r="B234" s="4" t="inlineStr">
        <is>
          <t>elongation_pct</t>
        </is>
      </c>
      <c r="C234" s="4" t="inlineStr">
        <is>
          <t>Exp2_BO</t>
        </is>
      </c>
      <c r="D234" s="4" t="n">
        <v>0</v>
      </c>
      <c r="E234" s="4" t="n">
        <v>10</v>
      </c>
      <c r="F234" s="4" t="inlineStr">
        <is>
          <t>GP</t>
        </is>
      </c>
      <c r="G234" s="4" t="inlineStr">
        <is>
          <t>matern12</t>
        </is>
      </c>
      <c r="H234" s="4" t="b">
        <v>0</v>
      </c>
      <c r="I234" s="4" t="b">
        <v>0</v>
      </c>
      <c r="J234" s="4" t="inlineStr">
        <is>
          <t>std</t>
        </is>
      </c>
      <c r="K234" s="4" t="inlineStr">
        <is>
          <t>none</t>
        </is>
      </c>
      <c r="L234" s="4" t="inlineStr">
        <is>
          <t>compact</t>
        </is>
      </c>
      <c r="M234" s="11" t="n">
        <v>0.9616706775524602</v>
      </c>
      <c r="N234" s="11" t="n">
        <v>-0.943374046557916</v>
      </c>
      <c r="O234" s="11" t="n">
        <v>-3.398162894928735</v>
      </c>
      <c r="P234" s="4" t="n">
        <v>1</v>
      </c>
      <c r="Q234" s="11" t="n">
        <v>0.5804734607735875</v>
      </c>
      <c r="R234" s="11" t="n">
        <v>0</v>
      </c>
      <c r="S234" s="11" t="n">
        <v>36.64038710856752</v>
      </c>
      <c r="T234" s="11" t="n">
        <v>26.39172658967944</v>
      </c>
      <c r="U234" s="11" t="n">
        <v>0.9305555555555556</v>
      </c>
      <c r="V234" s="11" t="n">
        <v>5.112331540763815</v>
      </c>
      <c r="W234" s="12" t="n">
        <v>1.511581420898438</v>
      </c>
    </row>
    <row r="235">
      <c r="A235" s="4" t="n">
        <v>234</v>
      </c>
      <c r="B235" s="4" t="inlineStr">
        <is>
          <t>elongation_pct</t>
        </is>
      </c>
      <c r="C235" s="4" t="inlineStr">
        <is>
          <t>Exp2_BO</t>
        </is>
      </c>
      <c r="D235" s="4" t="n">
        <v>0</v>
      </c>
      <c r="E235" s="4" t="n">
        <v>11</v>
      </c>
      <c r="F235" s="4" t="inlineStr">
        <is>
          <t>GP</t>
        </is>
      </c>
      <c r="G235" s="4" t="inlineStr">
        <is>
          <t>matern12</t>
        </is>
      </c>
      <c r="H235" s="4" t="b">
        <v>0</v>
      </c>
      <c r="I235" s="4" t="b">
        <v>1</v>
      </c>
      <c r="J235" s="4" t="inlineStr">
        <is>
          <t>log1p</t>
        </is>
      </c>
      <c r="K235" s="4" t="inlineStr">
        <is>
          <t>log</t>
        </is>
      </c>
      <c r="L235" s="4" t="inlineStr">
        <is>
          <t>compact</t>
        </is>
      </c>
      <c r="M235" s="11" t="n">
        <v>0.5893333477096729</v>
      </c>
      <c r="N235" s="11" t="n">
        <v>-1.491932767960932</v>
      </c>
      <c r="O235" s="11" t="n">
        <v>-2.387078012712617</v>
      </c>
      <c r="P235" s="4" t="n">
        <v>1</v>
      </c>
      <c r="Q235" s="11" t="n">
        <v>0.5758393193671424</v>
      </c>
      <c r="R235" s="11" t="n">
        <v>0</v>
      </c>
      <c r="S235" s="11" t="n">
        <v>36.84219842723321</v>
      </c>
      <c r="T235" s="11" t="n">
        <v>26.7302199800728</v>
      </c>
      <c r="U235" s="11" t="n">
        <v>0.9351851851851852</v>
      </c>
      <c r="V235" s="11" t="n">
        <v>5.165015096065328</v>
      </c>
      <c r="W235" s="12" t="n">
        <v>4.607904434204102</v>
      </c>
    </row>
    <row r="236">
      <c r="A236" s="4" t="n">
        <v>235</v>
      </c>
      <c r="B236" s="4" t="inlineStr">
        <is>
          <t>elongation_pct</t>
        </is>
      </c>
      <c r="C236" s="4" t="inlineStr">
        <is>
          <t>Exp2_BO</t>
        </is>
      </c>
      <c r="D236" s="4" t="n">
        <v>0</v>
      </c>
      <c r="E236" s="4" t="n">
        <v>12</v>
      </c>
      <c r="F236" s="4" t="inlineStr">
        <is>
          <t>GP</t>
        </is>
      </c>
      <c r="G236" s="4" t="inlineStr">
        <is>
          <t>rq</t>
        </is>
      </c>
      <c r="H236" s="4" t="b">
        <v>1</v>
      </c>
      <c r="I236" s="4" t="b">
        <v>1</v>
      </c>
      <c r="J236" s="4" t="inlineStr">
        <is>
          <t>log1p</t>
        </is>
      </c>
      <c r="K236" s="4" t="inlineStr">
        <is>
          <t>none</t>
        </is>
      </c>
      <c r="L236" s="4" t="inlineStr">
        <is>
          <t>compact</t>
        </is>
      </c>
      <c r="M236" s="11" t="n">
        <v>-0.5072652454125286</v>
      </c>
      <c r="N236" s="11" t="n">
        <v>-2.96288593111504</v>
      </c>
      <c r="O236" s="11" t="n">
        <v>-2.568876931855327</v>
      </c>
      <c r="P236" s="4" t="n">
        <v>1</v>
      </c>
      <c r="Q236" s="11" t="n">
        <v>0.582384241754935</v>
      </c>
      <c r="R236" s="11" t="n">
        <v>0</v>
      </c>
      <c r="S236" s="11" t="n">
        <v>36.5568504911476</v>
      </c>
      <c r="T236" s="11" t="n">
        <v>26.42832811951361</v>
      </c>
      <c r="U236" s="11" t="n">
        <v>0.9305555555555556</v>
      </c>
      <c r="V236" s="11" t="n">
        <v>5.131952625201983</v>
      </c>
      <c r="W236" s="12" t="n">
        <v>8.941463947296143</v>
      </c>
    </row>
    <row r="237">
      <c r="A237" s="4" t="n">
        <v>236</v>
      </c>
      <c r="B237" s="4" t="inlineStr">
        <is>
          <t>elongation_pct</t>
        </is>
      </c>
      <c r="C237" s="4" t="inlineStr">
        <is>
          <t>Exp2_BO</t>
        </is>
      </c>
      <c r="D237" s="4" t="n">
        <v>0</v>
      </c>
      <c r="E237" s="4" t="n">
        <v>13</v>
      </c>
      <c r="F237" s="4" t="inlineStr">
        <is>
          <t>GP</t>
        </is>
      </c>
      <c r="G237" s="4" t="inlineStr">
        <is>
          <t>matern32</t>
        </is>
      </c>
      <c r="H237" s="4" t="b">
        <v>1</v>
      </c>
      <c r="I237" s="4" t="b">
        <v>0</v>
      </c>
      <c r="J237" s="4" t="inlineStr">
        <is>
          <t>log1p</t>
        </is>
      </c>
      <c r="K237" s="4" t="inlineStr">
        <is>
          <t>log</t>
        </is>
      </c>
      <c r="L237" s="4" t="inlineStr">
        <is>
          <t>compact</t>
        </is>
      </c>
      <c r="M237" s="11" t="n">
        <v>-0.3657707092210494</v>
      </c>
      <c r="N237" s="11" t="n">
        <v>-2.878275047518875</v>
      </c>
      <c r="O237" s="11" t="n">
        <v>-4.148993362046783</v>
      </c>
      <c r="P237" s="4" t="n">
        <v>1</v>
      </c>
      <c r="Q237" s="11" t="n">
        <v>0.5542284282945902</v>
      </c>
      <c r="R237" s="11" t="n">
        <v>0</v>
      </c>
      <c r="S237" s="11" t="n">
        <v>37.76908972240615</v>
      </c>
      <c r="T237" s="11" t="n">
        <v>26.39881479367838</v>
      </c>
      <c r="U237" s="11" t="n">
        <v>0.9212962962962964</v>
      </c>
      <c r="V237" s="11" t="n">
        <v>5.255611881944452</v>
      </c>
      <c r="W237" s="12" t="n">
        <v>28.98375630378723</v>
      </c>
    </row>
    <row r="238">
      <c r="A238" s="4" t="n">
        <v>237</v>
      </c>
      <c r="B238" s="4" t="inlineStr">
        <is>
          <t>elongation_pct</t>
        </is>
      </c>
      <c r="C238" s="4" t="inlineStr">
        <is>
          <t>Exp2_BO</t>
        </is>
      </c>
      <c r="D238" s="4" t="n">
        <v>0</v>
      </c>
      <c r="E238" s="4" t="n">
        <v>14</v>
      </c>
      <c r="F238" s="4" t="inlineStr">
        <is>
          <t>GP</t>
        </is>
      </c>
      <c r="G238" s="4" t="inlineStr">
        <is>
          <t>rq</t>
        </is>
      </c>
      <c r="H238" s="4" t="b">
        <v>1</v>
      </c>
      <c r="I238" s="4" t="b">
        <v>0</v>
      </c>
      <c r="J238" s="4" t="inlineStr">
        <is>
          <t>log1p</t>
        </is>
      </c>
      <c r="K238" s="4" t="inlineStr">
        <is>
          <t>log</t>
        </is>
      </c>
      <c r="L238" s="4" t="inlineStr">
        <is>
          <t>full_cure6</t>
        </is>
      </c>
      <c r="M238" s="11" t="n">
        <v>0.5237591905584424</v>
      </c>
      <c r="N238" s="11" t="n">
        <v>-0.6830822792095566</v>
      </c>
      <c r="O238" s="11" t="n">
        <v>-2.061476277746053</v>
      </c>
      <c r="P238" s="4" t="n">
        <v>1</v>
      </c>
      <c r="Q238" s="11" t="n">
        <v>0.5074967530119046</v>
      </c>
      <c r="R238" s="11" t="n">
        <v>0</v>
      </c>
      <c r="S238" s="11" t="n">
        <v>39.69948589029776</v>
      </c>
      <c r="T238" s="11" t="n">
        <v>29.21047855292364</v>
      </c>
      <c r="U238" s="11" t="n">
        <v>0.9351851851851852</v>
      </c>
      <c r="V238" s="11" t="n">
        <v>5.142909644697249</v>
      </c>
      <c r="W238" s="12" t="n">
        <v>4.605771780014038</v>
      </c>
    </row>
    <row r="239">
      <c r="A239" s="4" t="n">
        <v>238</v>
      </c>
      <c r="B239" s="4" t="inlineStr">
        <is>
          <t>elongation_pct</t>
        </is>
      </c>
      <c r="C239" s="4" t="inlineStr">
        <is>
          <t>Exp2_BO</t>
        </is>
      </c>
      <c r="D239" s="4" t="n">
        <v>0</v>
      </c>
      <c r="E239" s="4" t="n">
        <v>15</v>
      </c>
      <c r="F239" s="4" t="inlineStr">
        <is>
          <t>GP</t>
        </is>
      </c>
      <c r="G239" s="4" t="inlineStr">
        <is>
          <t>matern12</t>
        </is>
      </c>
      <c r="H239" s="4" t="b">
        <v>0</v>
      </c>
      <c r="I239" s="4" t="b">
        <v>1</v>
      </c>
      <c r="J239" s="4" t="inlineStr">
        <is>
          <t>std</t>
        </is>
      </c>
      <c r="K239" s="4" t="inlineStr">
        <is>
          <t>none</t>
        </is>
      </c>
      <c r="L239" s="4" t="inlineStr">
        <is>
          <t>compact</t>
        </is>
      </c>
      <c r="M239" s="11" t="n">
        <v>0.2589511079256918</v>
      </c>
      <c r="N239" s="11" t="n">
        <v>-0.0158293307300123</v>
      </c>
      <c r="O239" s="11" t="n">
        <v>-4.892189822649238</v>
      </c>
      <c r="P239" s="4" t="n">
        <v>1</v>
      </c>
      <c r="Q239" s="11" t="n">
        <v>0.6007061252614021</v>
      </c>
      <c r="R239" s="11" t="n">
        <v>0</v>
      </c>
      <c r="S239" s="11" t="n">
        <v>35.74593470002608</v>
      </c>
      <c r="T239" s="11" t="n">
        <v>25.48188883992978</v>
      </c>
      <c r="U239" s="11" t="n">
        <v>0.9305555555555556</v>
      </c>
      <c r="V239" s="11" t="n">
        <v>5.105784245627797</v>
      </c>
      <c r="W239" s="12" t="n">
        <v>4.172481775283813</v>
      </c>
    </row>
    <row r="240">
      <c r="A240" s="4" t="n">
        <v>239</v>
      </c>
      <c r="B240" s="4" t="inlineStr">
        <is>
          <t>elongation_pct</t>
        </is>
      </c>
      <c r="C240" s="4" t="inlineStr">
        <is>
          <t>Exp2_BO</t>
        </is>
      </c>
      <c r="D240" s="4" t="n">
        <v>0</v>
      </c>
      <c r="E240" s="4" t="n">
        <v>16</v>
      </c>
      <c r="F240" s="4" t="inlineStr">
        <is>
          <t>GP</t>
        </is>
      </c>
      <c r="G240" s="4" t="inlineStr">
        <is>
          <t>rq</t>
        </is>
      </c>
      <c r="H240" s="4" t="b">
        <v>1</v>
      </c>
      <c r="I240" s="4" t="b">
        <v>0</v>
      </c>
      <c r="J240" s="4" t="inlineStr">
        <is>
          <t>log1p</t>
        </is>
      </c>
      <c r="K240" s="4" t="inlineStr">
        <is>
          <t>none</t>
        </is>
      </c>
      <c r="L240" s="4" t="inlineStr">
        <is>
          <t>compact</t>
        </is>
      </c>
      <c r="M240" s="11" t="n">
        <v>-0.8492974094969026</v>
      </c>
      <c r="N240" s="11" t="n">
        <v>-1.689321978316143</v>
      </c>
      <c r="O240" s="11" t="n">
        <v>-5.278304854748834</v>
      </c>
      <c r="P240" s="4" t="n">
        <v>1</v>
      </c>
      <c r="Q240" s="11" t="n">
        <v>0.585926434184447</v>
      </c>
      <c r="R240" s="11" t="n">
        <v>0</v>
      </c>
      <c r="S240" s="11" t="n">
        <v>36.40148380319603</v>
      </c>
      <c r="T240" s="11" t="n">
        <v>26.58919595735938</v>
      </c>
      <c r="U240" s="11" t="n">
        <v>0.9351851851851852</v>
      </c>
      <c r="V240" s="11" t="n">
        <v>5.126770240534636</v>
      </c>
      <c r="W240" s="12" t="n">
        <v>3.698735475540161</v>
      </c>
    </row>
    <row r="241">
      <c r="A241" s="4" t="n">
        <v>240</v>
      </c>
      <c r="B241" s="4" t="inlineStr">
        <is>
          <t>elongation_pct</t>
        </is>
      </c>
      <c r="C241" s="4" t="inlineStr">
        <is>
          <t>Exp2_BO</t>
        </is>
      </c>
      <c r="D241" s="4" t="n">
        <v>0</v>
      </c>
      <c r="E241" s="4" t="n">
        <v>17</v>
      </c>
      <c r="F241" s="4" t="inlineStr">
        <is>
          <t>GP</t>
        </is>
      </c>
      <c r="G241" s="4" t="inlineStr">
        <is>
          <t>matern32</t>
        </is>
      </c>
      <c r="H241" s="4" t="b">
        <v>1</v>
      </c>
      <c r="I241" s="4" t="b">
        <v>0</v>
      </c>
      <c r="J241" s="4" t="inlineStr">
        <is>
          <t>log1p</t>
        </is>
      </c>
      <c r="K241" s="4" t="inlineStr">
        <is>
          <t>none</t>
        </is>
      </c>
      <c r="L241" s="4" t="inlineStr">
        <is>
          <t>compact</t>
        </is>
      </c>
      <c r="M241" s="11" t="n">
        <v>-0.94805272959234</v>
      </c>
      <c r="N241" s="11" t="n">
        <v>-0.8204488246837771</v>
      </c>
      <c r="O241" s="11" t="n">
        <v>-5.828643389064086</v>
      </c>
      <c r="P241" s="4" t="n">
        <v>1</v>
      </c>
      <c r="Q241" s="11" t="n">
        <v>0.5727095180597028</v>
      </c>
      <c r="R241" s="11" t="n">
        <v>0</v>
      </c>
      <c r="S241" s="11" t="n">
        <v>36.97787440671533</v>
      </c>
      <c r="T241" s="11" t="n">
        <v>26.06081725503639</v>
      </c>
      <c r="U241" s="11" t="n">
        <v>0.9305555555555556</v>
      </c>
      <c r="V241" s="11" t="n">
        <v>5.162952304280088</v>
      </c>
      <c r="W241" s="12" t="n">
        <v>26.99886441230774</v>
      </c>
    </row>
    <row r="242">
      <c r="A242" s="4" t="n">
        <v>241</v>
      </c>
      <c r="B242" s="4" t="inlineStr">
        <is>
          <t>elongation_pct</t>
        </is>
      </c>
      <c r="C242" s="4" t="inlineStr">
        <is>
          <t>Exp2_BO</t>
        </is>
      </c>
      <c r="D242" s="4" t="n">
        <v>0</v>
      </c>
      <c r="E242" s="4" t="n">
        <v>18</v>
      </c>
      <c r="F242" s="4" t="inlineStr">
        <is>
          <t>GP</t>
        </is>
      </c>
      <c r="G242" s="4" t="inlineStr">
        <is>
          <t>rq</t>
        </is>
      </c>
      <c r="H242" s="4" t="b">
        <v>1</v>
      </c>
      <c r="I242" s="4" t="b">
        <v>1</v>
      </c>
      <c r="J242" s="4" t="inlineStr">
        <is>
          <t>std</t>
        </is>
      </c>
      <c r="K242" s="4" t="inlineStr">
        <is>
          <t>log</t>
        </is>
      </c>
      <c r="L242" s="4" t="inlineStr">
        <is>
          <t>compact</t>
        </is>
      </c>
      <c r="M242" s="11" t="n">
        <v>-0.2007779159851395</v>
      </c>
      <c r="N242" s="11" t="n">
        <v>-2.551461358082093</v>
      </c>
      <c r="O242" s="11" t="n">
        <v>-5.640721479615291</v>
      </c>
      <c r="P242" s="4" t="n">
        <v>1</v>
      </c>
      <c r="Q242" s="11" t="n">
        <v>0.5901905001926371</v>
      </c>
      <c r="R242" s="11" t="n">
        <v>0</v>
      </c>
      <c r="S242" s="11" t="n">
        <v>36.21357032950468</v>
      </c>
      <c r="T242" s="11" t="n">
        <v>25.55944268629532</v>
      </c>
      <c r="U242" s="11" t="n">
        <v>0.9212962962962964</v>
      </c>
      <c r="V242" s="11" t="n">
        <v>5.166103713748572</v>
      </c>
      <c r="W242" s="12" t="n">
        <v>8.857809782028198</v>
      </c>
    </row>
    <row r="243">
      <c r="A243" s="4" t="n">
        <v>242</v>
      </c>
      <c r="B243" s="4" t="inlineStr">
        <is>
          <t>elongation_pct</t>
        </is>
      </c>
      <c r="C243" s="4" t="inlineStr">
        <is>
          <t>Exp2_BO</t>
        </is>
      </c>
      <c r="D243" s="4" t="n">
        <v>0</v>
      </c>
      <c r="E243" s="4" t="n">
        <v>19</v>
      </c>
      <c r="F243" s="4" t="inlineStr">
        <is>
          <t>GP</t>
        </is>
      </c>
      <c r="G243" s="4" t="inlineStr">
        <is>
          <t>rq</t>
        </is>
      </c>
      <c r="H243" s="4" t="b">
        <v>0</v>
      </c>
      <c r="I243" s="4" t="b">
        <v>0</v>
      </c>
      <c r="J243" s="4" t="inlineStr">
        <is>
          <t>std</t>
        </is>
      </c>
      <c r="K243" s="4" t="inlineStr">
        <is>
          <t>log</t>
        </is>
      </c>
      <c r="L243" s="4" t="inlineStr">
        <is>
          <t>compact</t>
        </is>
      </c>
      <c r="M243" s="11" t="n">
        <v>-0.0547213277355653</v>
      </c>
      <c r="N243" s="11" t="n">
        <v>-0.1849516516762404</v>
      </c>
      <c r="O243" s="11" t="n">
        <v>-3.520471697239522</v>
      </c>
      <c r="P243" s="4" t="n">
        <v>1</v>
      </c>
      <c r="Q243" s="11" t="n">
        <v>0.5849746013716048</v>
      </c>
      <c r="R243" s="11" t="n">
        <v>0</v>
      </c>
      <c r="S243" s="11" t="n">
        <v>36.44329791665212</v>
      </c>
      <c r="T243" s="11" t="n">
        <v>26.27367132994715</v>
      </c>
      <c r="U243" s="11" t="n">
        <v>0.9351851851851852</v>
      </c>
      <c r="V243" s="11" t="n">
        <v>5.170758859213621</v>
      </c>
      <c r="W243" s="12" t="n">
        <v>5.534948825836182</v>
      </c>
    </row>
    <row r="244">
      <c r="A244" s="4" t="n">
        <v>243</v>
      </c>
      <c r="B244" s="4" t="inlineStr">
        <is>
          <t>elongation_pct</t>
        </is>
      </c>
      <c r="C244" s="4" t="inlineStr">
        <is>
          <t>Exp2_BO</t>
        </is>
      </c>
      <c r="D244" s="4" t="n">
        <v>0</v>
      </c>
      <c r="E244" s="4" t="n">
        <v>20</v>
      </c>
      <c r="F244" s="4" t="inlineStr">
        <is>
          <t>GP</t>
        </is>
      </c>
      <c r="G244" s="4" t="inlineStr">
        <is>
          <t>rq</t>
        </is>
      </c>
      <c r="H244" s="4" t="b">
        <v>0</v>
      </c>
      <c r="I244" s="4" t="b">
        <v>0</v>
      </c>
      <c r="J244" s="4" t="inlineStr">
        <is>
          <t>std</t>
        </is>
      </c>
      <c r="K244" s="4" t="inlineStr">
        <is>
          <t>none</t>
        </is>
      </c>
      <c r="L244" s="4" t="inlineStr">
        <is>
          <t>compact</t>
        </is>
      </c>
      <c r="M244" s="11" t="n">
        <v>0.6207088107598921</v>
      </c>
      <c r="N244" s="11" t="n">
        <v>-0.3521382276282478</v>
      </c>
      <c r="O244" s="11" t="n">
        <v>-5.961053033212596</v>
      </c>
      <c r="P244" s="4" t="n">
        <v>1</v>
      </c>
      <c r="Q244" s="11" t="n">
        <v>0.5846141038054538</v>
      </c>
      <c r="R244" s="11" t="n">
        <v>0</v>
      </c>
      <c r="S244" s="11" t="n">
        <v>36.45912209099883</v>
      </c>
      <c r="T244" s="11" t="n">
        <v>26.31424410188949</v>
      </c>
      <c r="U244" s="11" t="n">
        <v>0.9305555555555556</v>
      </c>
      <c r="V244" s="11" t="n">
        <v>5.121591079794979</v>
      </c>
      <c r="W244" s="12" t="n">
        <v>3.551873445510864</v>
      </c>
    </row>
    <row r="245">
      <c r="A245" s="4" t="n">
        <v>244</v>
      </c>
      <c r="B245" s="4" t="inlineStr">
        <is>
          <t>elongation_pct</t>
        </is>
      </c>
      <c r="C245" s="4" t="inlineStr">
        <is>
          <t>Exp2_BO</t>
        </is>
      </c>
      <c r="D245" s="4" t="n">
        <v>0</v>
      </c>
      <c r="E245" s="4" t="n">
        <v>21</v>
      </c>
      <c r="F245" s="4" t="inlineStr">
        <is>
          <t>GP</t>
        </is>
      </c>
      <c r="G245" s="4" t="inlineStr">
        <is>
          <t>matern32</t>
        </is>
      </c>
      <c r="H245" s="4" t="b">
        <v>0</v>
      </c>
      <c r="I245" s="4" t="b">
        <v>1</v>
      </c>
      <c r="J245" s="4" t="inlineStr">
        <is>
          <t>std</t>
        </is>
      </c>
      <c r="K245" s="4" t="inlineStr">
        <is>
          <t>none</t>
        </is>
      </c>
      <c r="L245" s="4" t="inlineStr">
        <is>
          <t>compact</t>
        </is>
      </c>
      <c r="M245" s="11" t="n">
        <v>0.3082360406418165</v>
      </c>
      <c r="N245" s="11" t="n">
        <v>-0.23580916685078</v>
      </c>
      <c r="O245" s="11" t="n">
        <v>-3.384243685995366</v>
      </c>
      <c r="P245" s="4" t="n">
        <v>1</v>
      </c>
      <c r="Q245" s="11" t="n">
        <v>0.5996617907886497</v>
      </c>
      <c r="R245" s="11" t="n">
        <v>0</v>
      </c>
      <c r="S245" s="11" t="n">
        <v>35.79265008550213</v>
      </c>
      <c r="T245" s="11" t="n">
        <v>25.45609997322428</v>
      </c>
      <c r="U245" s="11" t="n">
        <v>0.9305555555555556</v>
      </c>
      <c r="V245" s="11" t="n">
        <v>5.08985746269369</v>
      </c>
      <c r="W245" s="12" t="n">
        <v>5.474838018417358</v>
      </c>
    </row>
    <row r="246">
      <c r="A246" s="4" t="n">
        <v>245</v>
      </c>
      <c r="B246" s="4" t="inlineStr">
        <is>
          <t>elongation_pct</t>
        </is>
      </c>
      <c r="C246" s="4" t="inlineStr">
        <is>
          <t>Exp2_BO</t>
        </is>
      </c>
      <c r="D246" s="4" t="n">
        <v>0</v>
      </c>
      <c r="E246" s="4" t="n">
        <v>22</v>
      </c>
      <c r="F246" s="4" t="inlineStr">
        <is>
          <t>GP</t>
        </is>
      </c>
      <c r="G246" s="4" t="inlineStr">
        <is>
          <t>matern12</t>
        </is>
      </c>
      <c r="H246" s="4" t="b">
        <v>1</v>
      </c>
      <c r="I246" s="4" t="b">
        <v>1</v>
      </c>
      <c r="J246" s="4" t="inlineStr">
        <is>
          <t>std</t>
        </is>
      </c>
      <c r="K246" s="4" t="inlineStr">
        <is>
          <t>log</t>
        </is>
      </c>
      <c r="L246" s="4" t="inlineStr">
        <is>
          <t>compact</t>
        </is>
      </c>
      <c r="M246" s="11" t="n">
        <v>0.7468800492408911</v>
      </c>
      <c r="N246" s="11" t="n">
        <v>-0.2121855116009099</v>
      </c>
      <c r="O246" s="11" t="n">
        <v>-2.103524413882429</v>
      </c>
      <c r="P246" s="4" t="n">
        <v>1</v>
      </c>
      <c r="Q246" s="11" t="n">
        <v>0.6203696459882736</v>
      </c>
      <c r="R246" s="11" t="n">
        <v>0</v>
      </c>
      <c r="S246" s="11" t="n">
        <v>34.85465582317801</v>
      </c>
      <c r="T246" s="11" t="n">
        <v>25.30484138015777</v>
      </c>
      <c r="U246" s="11" t="n">
        <v>0.9305555555555556</v>
      </c>
      <c r="V246" s="11" t="n">
        <v>5.17737421237348</v>
      </c>
      <c r="W246" s="12" t="n">
        <v>59.2361466884613</v>
      </c>
    </row>
    <row r="247">
      <c r="A247" s="4" t="n">
        <v>246</v>
      </c>
      <c r="B247" s="4" t="inlineStr">
        <is>
          <t>elongation_pct</t>
        </is>
      </c>
      <c r="C247" s="4" t="inlineStr">
        <is>
          <t>Exp2_BO</t>
        </is>
      </c>
      <c r="D247" s="4" t="n">
        <v>0</v>
      </c>
      <c r="E247" s="4" t="n">
        <v>23</v>
      </c>
      <c r="F247" s="4" t="inlineStr">
        <is>
          <t>GP</t>
        </is>
      </c>
      <c r="G247" s="4" t="inlineStr">
        <is>
          <t>rq</t>
        </is>
      </c>
      <c r="H247" s="4" t="b">
        <v>1</v>
      </c>
      <c r="I247" s="4" t="b">
        <v>1</v>
      </c>
      <c r="J247" s="4" t="inlineStr">
        <is>
          <t>std</t>
        </is>
      </c>
      <c r="K247" s="4" t="inlineStr">
        <is>
          <t>none</t>
        </is>
      </c>
      <c r="L247" s="4" t="inlineStr">
        <is>
          <t>compact</t>
        </is>
      </c>
      <c r="M247" s="11" t="n">
        <v>-0.6464658827019039</v>
      </c>
      <c r="N247" s="11" t="n">
        <v>-0.036978402693597</v>
      </c>
      <c r="O247" s="11" t="n">
        <v>-5.608975781337137</v>
      </c>
      <c r="P247" s="4" t="n">
        <v>1</v>
      </c>
      <c r="Q247" s="11" t="n">
        <v>0.597894747849516</v>
      </c>
      <c r="R247" s="11" t="n">
        <v>0</v>
      </c>
      <c r="S247" s="11" t="n">
        <v>35.8715552592978</v>
      </c>
      <c r="T247" s="11" t="n">
        <v>25.4451218018312</v>
      </c>
      <c r="U247" s="11" t="n">
        <v>0.9305555555555556</v>
      </c>
      <c r="V247" s="11" t="n">
        <v>5.11712842406586</v>
      </c>
      <c r="W247" s="12" t="n">
        <v>10.44215679168701</v>
      </c>
    </row>
    <row r="248">
      <c r="A248" s="4" t="n">
        <v>247</v>
      </c>
      <c r="B248" s="4" t="inlineStr">
        <is>
          <t>elongation_pct</t>
        </is>
      </c>
      <c r="C248" s="4" t="inlineStr">
        <is>
          <t>Exp2_BO</t>
        </is>
      </c>
      <c r="D248" s="4" t="n">
        <v>0</v>
      </c>
      <c r="E248" s="4" t="n">
        <v>24</v>
      </c>
      <c r="F248" s="4" t="inlineStr">
        <is>
          <t>GP</t>
        </is>
      </c>
      <c r="G248" s="4" t="inlineStr">
        <is>
          <t>matern12</t>
        </is>
      </c>
      <c r="H248" s="4" t="b">
        <v>1</v>
      </c>
      <c r="I248" s="4" t="b">
        <v>1</v>
      </c>
      <c r="J248" s="4" t="inlineStr">
        <is>
          <t>std</t>
        </is>
      </c>
      <c r="K248" s="4" t="inlineStr">
        <is>
          <t>none</t>
        </is>
      </c>
      <c r="L248" s="4" t="inlineStr">
        <is>
          <t>compact</t>
        </is>
      </c>
      <c r="M248" s="11" t="n">
        <v>-0.2899323204988355</v>
      </c>
      <c r="N248" s="11" t="n">
        <v>-2.969553973402257</v>
      </c>
      <c r="O248" s="11" t="n">
        <v>-2.706758439569493</v>
      </c>
      <c r="P248" s="4" t="n">
        <v>1</v>
      </c>
      <c r="Q248" s="11" t="n">
        <v>0.6542027855377106</v>
      </c>
      <c r="R248" s="11" t="n">
        <v>0</v>
      </c>
      <c r="S248" s="11" t="n">
        <v>33.26527200089356</v>
      </c>
      <c r="T248" s="11" t="n">
        <v>23.88000016686203</v>
      </c>
      <c r="U248" s="11" t="n">
        <v>0.9398148148148148</v>
      </c>
      <c r="V248" s="11" t="n">
        <v>5.063084030605938</v>
      </c>
      <c r="W248" s="12" t="n">
        <v>55.45426917076111</v>
      </c>
    </row>
    <row r="249">
      <c r="A249" s="4" t="n">
        <v>248</v>
      </c>
      <c r="B249" s="4" t="inlineStr">
        <is>
          <t>elongation_pct</t>
        </is>
      </c>
      <c r="C249" s="4" t="inlineStr">
        <is>
          <t>Exp2_BO</t>
        </is>
      </c>
      <c r="D249" s="4" t="n">
        <v>0</v>
      </c>
      <c r="E249" s="4" t="n">
        <v>25</v>
      </c>
      <c r="F249" s="4" t="inlineStr">
        <is>
          <t>GP</t>
        </is>
      </c>
      <c r="G249" s="4" t="inlineStr">
        <is>
          <t>matern12</t>
        </is>
      </c>
      <c r="H249" s="4" t="b">
        <v>1</v>
      </c>
      <c r="I249" s="4" t="b">
        <v>1</v>
      </c>
      <c r="J249" s="4" t="inlineStr">
        <is>
          <t>log1p</t>
        </is>
      </c>
      <c r="K249" s="4" t="inlineStr">
        <is>
          <t>none</t>
        </is>
      </c>
      <c r="L249" s="4" t="inlineStr">
        <is>
          <t>compact</t>
        </is>
      </c>
      <c r="M249" s="11" t="n">
        <v>0.0110304178847009</v>
      </c>
      <c r="N249" s="11" t="n">
        <v>-1.251386454984453</v>
      </c>
      <c r="O249" s="11" t="n">
        <v>-5.151108428068349</v>
      </c>
      <c r="P249" s="4" t="n">
        <v>1</v>
      </c>
      <c r="Q249" s="11" t="n">
        <v>0.612347395931273</v>
      </c>
      <c r="R249" s="11" t="n">
        <v>0</v>
      </c>
      <c r="S249" s="11" t="n">
        <v>35.22100033456751</v>
      </c>
      <c r="T249" s="11" t="n">
        <v>25.22580703556564</v>
      </c>
      <c r="U249" s="11" t="n">
        <v>0.9351851851851852</v>
      </c>
      <c r="V249" s="11" t="n">
        <v>5.114721944447338</v>
      </c>
      <c r="W249" s="12" t="n">
        <v>46.64428019523621</v>
      </c>
    </row>
    <row r="250">
      <c r="A250" s="4" t="n">
        <v>249</v>
      </c>
      <c r="B250" s="4" t="inlineStr">
        <is>
          <t>elongation_pct</t>
        </is>
      </c>
      <c r="C250" s="4" t="inlineStr">
        <is>
          <t>Exp2_BO</t>
        </is>
      </c>
      <c r="D250" s="4" t="n">
        <v>0</v>
      </c>
      <c r="E250" s="4" t="n">
        <v>26</v>
      </c>
      <c r="F250" s="4" t="inlineStr">
        <is>
          <t>GP</t>
        </is>
      </c>
      <c r="G250" s="4" t="inlineStr">
        <is>
          <t>matern12</t>
        </is>
      </c>
      <c r="H250" s="4" t="b">
        <v>1</v>
      </c>
      <c r="I250" s="4" t="b">
        <v>0</v>
      </c>
      <c r="J250" s="4" t="inlineStr">
        <is>
          <t>std</t>
        </is>
      </c>
      <c r="K250" s="4" t="inlineStr">
        <is>
          <t>none</t>
        </is>
      </c>
      <c r="L250" s="4" t="inlineStr">
        <is>
          <t>compact</t>
        </is>
      </c>
      <c r="M250" s="11" t="n">
        <v>-0.2899323204988355</v>
      </c>
      <c r="N250" s="11" t="n">
        <v>-2.969553973402257</v>
      </c>
      <c r="O250" s="11" t="n">
        <v>-2.706758439569493</v>
      </c>
      <c r="P250" s="4" t="n">
        <v>1</v>
      </c>
      <c r="Q250" s="11" t="n">
        <v>0.5920630588144074</v>
      </c>
      <c r="R250" s="11" t="n">
        <v>0</v>
      </c>
      <c r="S250" s="11" t="n">
        <v>36.13073955702348</v>
      </c>
      <c r="T250" s="11" t="n">
        <v>25.94248145440354</v>
      </c>
      <c r="U250" s="11" t="n">
        <v>0.9305555555555556</v>
      </c>
      <c r="V250" s="11" t="n">
        <v>5.119535627123126</v>
      </c>
      <c r="W250" s="12" t="n">
        <v>54.19003129005432</v>
      </c>
    </row>
    <row r="251">
      <c r="A251" s="4" t="n">
        <v>250</v>
      </c>
      <c r="B251" s="4" t="inlineStr">
        <is>
          <t>elongation_pct</t>
        </is>
      </c>
      <c r="C251" s="4" t="inlineStr">
        <is>
          <t>Exp2_BO</t>
        </is>
      </c>
      <c r="D251" s="4" t="n">
        <v>0</v>
      </c>
      <c r="E251" s="4" t="n">
        <v>27</v>
      </c>
      <c r="F251" s="4" t="inlineStr">
        <is>
          <t>GP</t>
        </is>
      </c>
      <c r="G251" s="4" t="inlineStr">
        <is>
          <t>matern12</t>
        </is>
      </c>
      <c r="H251" s="4" t="b">
        <v>1</v>
      </c>
      <c r="I251" s="4" t="b">
        <v>1</v>
      </c>
      <c r="J251" s="4" t="inlineStr">
        <is>
          <t>std</t>
        </is>
      </c>
      <c r="K251" s="4" t="inlineStr">
        <is>
          <t>none</t>
        </is>
      </c>
      <c r="L251" s="4" t="inlineStr">
        <is>
          <t>compact</t>
        </is>
      </c>
      <c r="M251" s="11" t="n">
        <v>-1</v>
      </c>
      <c r="N251" s="11" t="n">
        <v>-2.969553973402257</v>
      </c>
      <c r="O251" s="11" t="n">
        <v>-2.706758439569493</v>
      </c>
      <c r="P251" s="4" t="n">
        <v>1</v>
      </c>
      <c r="Q251" s="11" t="n">
        <v>0.6389253716261492</v>
      </c>
      <c r="R251" s="11" t="n">
        <v>0</v>
      </c>
      <c r="S251" s="11" t="n">
        <v>33.9921645245</v>
      </c>
      <c r="T251" s="11" t="n">
        <v>24.24454951615339</v>
      </c>
      <c r="U251" s="11" t="n">
        <v>0.9351851851851852</v>
      </c>
      <c r="V251" s="11" t="n">
        <v>5.079739994349041</v>
      </c>
      <c r="W251" s="12" t="n">
        <v>70.7624044418335</v>
      </c>
    </row>
    <row r="252">
      <c r="A252" s="4" t="n">
        <v>251</v>
      </c>
      <c r="B252" s="4" t="inlineStr">
        <is>
          <t>elongation_pct</t>
        </is>
      </c>
      <c r="C252" s="4" t="inlineStr">
        <is>
          <t>Exp2_BO</t>
        </is>
      </c>
      <c r="D252" s="4" t="n">
        <v>0</v>
      </c>
      <c r="E252" s="4" t="n">
        <v>28</v>
      </c>
      <c r="F252" s="4" t="inlineStr">
        <is>
          <t>GP</t>
        </is>
      </c>
      <c r="G252" s="4" t="inlineStr">
        <is>
          <t>matern12</t>
        </is>
      </c>
      <c r="H252" s="4" t="b">
        <v>1</v>
      </c>
      <c r="I252" s="4" t="b">
        <v>1</v>
      </c>
      <c r="J252" s="4" t="inlineStr">
        <is>
          <t>std</t>
        </is>
      </c>
      <c r="K252" s="4" t="inlineStr">
        <is>
          <t>none</t>
        </is>
      </c>
      <c r="L252" s="4" t="inlineStr">
        <is>
          <t>compact</t>
        </is>
      </c>
      <c r="M252" s="11" t="n">
        <v>-0.2899323204988355</v>
      </c>
      <c r="N252" s="11" t="n">
        <v>-3</v>
      </c>
      <c r="O252" s="11" t="n">
        <v>-2.706758439569493</v>
      </c>
      <c r="P252" s="4" t="n">
        <v>1</v>
      </c>
      <c r="Q252" s="11" t="n">
        <v>0.6542027855377106</v>
      </c>
      <c r="R252" s="11" t="n">
        <v>0</v>
      </c>
      <c r="S252" s="11" t="n">
        <v>33.26527200089356</v>
      </c>
      <c r="T252" s="11" t="n">
        <v>23.88000016686203</v>
      </c>
      <c r="U252" s="11" t="n">
        <v>0.9398148148148148</v>
      </c>
      <c r="V252" s="11" t="n">
        <v>5.063084030605938</v>
      </c>
      <c r="W252" s="12" t="n">
        <v>62.70529890060425</v>
      </c>
    </row>
    <row r="253">
      <c r="A253" s="4" t="n">
        <v>252</v>
      </c>
      <c r="B253" s="4" t="inlineStr">
        <is>
          <t>elongation_pct</t>
        </is>
      </c>
      <c r="C253" s="4" t="inlineStr">
        <is>
          <t>Exp2_BO</t>
        </is>
      </c>
      <c r="D253" s="4" t="n">
        <v>0</v>
      </c>
      <c r="E253" s="4" t="n">
        <v>29</v>
      </c>
      <c r="F253" s="4" t="inlineStr">
        <is>
          <t>GP</t>
        </is>
      </c>
      <c r="G253" s="4" t="inlineStr">
        <is>
          <t>matern12</t>
        </is>
      </c>
      <c r="H253" s="4" t="b">
        <v>1</v>
      </c>
      <c r="I253" s="4" t="b">
        <v>1</v>
      </c>
      <c r="J253" s="4" t="inlineStr">
        <is>
          <t>std</t>
        </is>
      </c>
      <c r="K253" s="4" t="inlineStr">
        <is>
          <t>none</t>
        </is>
      </c>
      <c r="L253" s="4" t="inlineStr">
        <is>
          <t>compact</t>
        </is>
      </c>
      <c r="M253" s="11" t="n">
        <v>0.8841840381118518</v>
      </c>
      <c r="N253" s="11" t="n">
        <v>-2.969553973402257</v>
      </c>
      <c r="O253" s="11" t="n">
        <v>-2.706758439569493</v>
      </c>
      <c r="P253" s="4" t="n">
        <v>1</v>
      </c>
      <c r="Q253" s="11" t="n">
        <v>0.6217458475273065</v>
      </c>
      <c r="R253" s="11" t="n">
        <v>0</v>
      </c>
      <c r="S253" s="11" t="n">
        <v>34.79142249517195</v>
      </c>
      <c r="T253" s="11" t="n">
        <v>25.07139970629818</v>
      </c>
      <c r="U253" s="11" t="n">
        <v>0.9305555555555556</v>
      </c>
      <c r="V253" s="11" t="n">
        <v>5.098096172098689</v>
      </c>
      <c r="W253" s="12" t="n">
        <v>58.71273446083069</v>
      </c>
    </row>
    <row r="254">
      <c r="A254" s="4" t="n">
        <v>253</v>
      </c>
      <c r="B254" s="4" t="inlineStr">
        <is>
          <t>elongation_pct</t>
        </is>
      </c>
      <c r="C254" s="4" t="inlineStr">
        <is>
          <t>Exp2_BO</t>
        </is>
      </c>
      <c r="D254" s="4" t="n">
        <v>1</v>
      </c>
      <c r="E254" s="4" t="n">
        <v>0</v>
      </c>
      <c r="F254" s="4" t="inlineStr">
        <is>
          <t>GP</t>
        </is>
      </c>
      <c r="G254" s="4" t="inlineStr">
        <is>
          <t>matern32</t>
        </is>
      </c>
      <c r="H254" s="4" t="b">
        <v>0</v>
      </c>
      <c r="I254" s="4" t="b">
        <v>1</v>
      </c>
      <c r="J254" s="4" t="inlineStr">
        <is>
          <t>log1p</t>
        </is>
      </c>
      <c r="K254" s="4" t="inlineStr">
        <is>
          <t>none</t>
        </is>
      </c>
      <c r="L254" s="4" t="inlineStr">
        <is>
          <t>full</t>
        </is>
      </c>
      <c r="M254" s="11" t="n">
        <v>0.8972988942744877</v>
      </c>
      <c r="N254" s="11" t="n">
        <v>-2.064505643968544</v>
      </c>
      <c r="O254" s="11" t="n">
        <v>-4.306694204109697</v>
      </c>
      <c r="P254" s="4" t="n">
        <v>1</v>
      </c>
      <c r="Q254" s="11" t="n">
        <v>0.50446855668144</v>
      </c>
      <c r="R254" s="11" t="n">
        <v>0</v>
      </c>
      <c r="S254" s="11" t="n">
        <v>39.82134662103234</v>
      </c>
      <c r="T254" s="11" t="n">
        <v>29.14688030272955</v>
      </c>
      <c r="U254" s="11" t="n">
        <v>0.9305555555555556</v>
      </c>
      <c r="V254" s="11" t="n">
        <v>5.167249402442045</v>
      </c>
      <c r="W254" s="12" t="n">
        <v>6.112568616867065</v>
      </c>
    </row>
    <row r="255">
      <c r="A255" s="4" t="n">
        <v>254</v>
      </c>
      <c r="B255" s="4" t="inlineStr">
        <is>
          <t>elongation_pct</t>
        </is>
      </c>
      <c r="C255" s="4" t="inlineStr">
        <is>
          <t>Exp2_BO</t>
        </is>
      </c>
      <c r="D255" s="4" t="n">
        <v>1</v>
      </c>
      <c r="E255" s="4" t="n">
        <v>1</v>
      </c>
      <c r="F255" s="4" t="inlineStr">
        <is>
          <t>GP</t>
        </is>
      </c>
      <c r="G255" s="4" t="inlineStr">
        <is>
          <t>matern12</t>
        </is>
      </c>
      <c r="H255" s="4" t="b">
        <v>0</v>
      </c>
      <c r="I255" s="4" t="b">
        <v>0</v>
      </c>
      <c r="J255" s="4" t="inlineStr">
        <is>
          <t>std</t>
        </is>
      </c>
      <c r="K255" s="4" t="inlineStr">
        <is>
          <t>log</t>
        </is>
      </c>
      <c r="L255" s="4" t="inlineStr">
        <is>
          <t>full_cure6</t>
        </is>
      </c>
      <c r="M255" s="11" t="n">
        <v>-0.9448817735138632</v>
      </c>
      <c r="N255" s="11" t="n">
        <v>-0.7394606739755805</v>
      </c>
      <c r="O255" s="11" t="n">
        <v>-3.847426747122887</v>
      </c>
      <c r="P255" s="4" t="n">
        <v>1</v>
      </c>
      <c r="Q255" s="11" t="n">
        <v>0.5196097195731946</v>
      </c>
      <c r="R255" s="11" t="n">
        <v>0</v>
      </c>
      <c r="S255" s="11" t="n">
        <v>39.2082482768573</v>
      </c>
      <c r="T255" s="11" t="n">
        <v>28.49995226333951</v>
      </c>
      <c r="U255" s="11" t="n">
        <v>0.925925925925926</v>
      </c>
      <c r="V255" s="11" t="n">
        <v>5.123414970554728</v>
      </c>
      <c r="W255" s="12" t="n">
        <v>2.705560207366944</v>
      </c>
    </row>
    <row r="256">
      <c r="A256" s="4" t="n">
        <v>255</v>
      </c>
      <c r="B256" s="4" t="inlineStr">
        <is>
          <t>elongation_pct</t>
        </is>
      </c>
      <c r="C256" s="4" t="inlineStr">
        <is>
          <t>Exp2_BO</t>
        </is>
      </c>
      <c r="D256" s="4" t="n">
        <v>1</v>
      </c>
      <c r="E256" s="4" t="n">
        <v>2</v>
      </c>
      <c r="F256" s="4" t="inlineStr">
        <is>
          <t>GP</t>
        </is>
      </c>
      <c r="G256" s="4" t="inlineStr">
        <is>
          <t>rq</t>
        </is>
      </c>
      <c r="H256" s="4" t="b">
        <v>1</v>
      </c>
      <c r="I256" s="4" t="b">
        <v>0</v>
      </c>
      <c r="J256" s="4" t="inlineStr">
        <is>
          <t>log1p</t>
        </is>
      </c>
      <c r="K256" s="4" t="inlineStr">
        <is>
          <t>none</t>
        </is>
      </c>
      <c r="L256" s="4" t="inlineStr">
        <is>
          <t>full_agg</t>
        </is>
      </c>
      <c r="M256" s="11" t="n">
        <v>-0.0930042210386969</v>
      </c>
      <c r="N256" s="11" t="n">
        <v>-2.597874908258506</v>
      </c>
      <c r="O256" s="11" t="n">
        <v>-4.387548054211483</v>
      </c>
      <c r="P256" s="4" t="n">
        <v>1</v>
      </c>
      <c r="Q256" s="11" t="n">
        <v>0.5141950703459582</v>
      </c>
      <c r="R256" s="11" t="n">
        <v>0</v>
      </c>
      <c r="S256" s="11" t="n">
        <v>39.42859415354562</v>
      </c>
      <c r="T256" s="11" t="n">
        <v>29.3269642636</v>
      </c>
      <c r="U256" s="11" t="n">
        <v>0.925925925925926</v>
      </c>
      <c r="V256" s="11" t="n">
        <v>5.161164562647632</v>
      </c>
      <c r="W256" s="12" t="n">
        <v>5.722874879837036</v>
      </c>
    </row>
    <row r="257">
      <c r="A257" s="4" t="n">
        <v>256</v>
      </c>
      <c r="B257" s="4" t="inlineStr">
        <is>
          <t>elongation_pct</t>
        </is>
      </c>
      <c r="C257" s="4" t="inlineStr">
        <is>
          <t>Exp2_BO</t>
        </is>
      </c>
      <c r="D257" s="4" t="n">
        <v>1</v>
      </c>
      <c r="E257" s="4" t="n">
        <v>3</v>
      </c>
      <c r="F257" s="4" t="inlineStr">
        <is>
          <t>GP</t>
        </is>
      </c>
      <c r="G257" s="4" t="inlineStr">
        <is>
          <t>rq</t>
        </is>
      </c>
      <c r="H257" s="4" t="b">
        <v>1</v>
      </c>
      <c r="I257" s="4" t="b">
        <v>1</v>
      </c>
      <c r="J257" s="4" t="inlineStr">
        <is>
          <t>std</t>
        </is>
      </c>
      <c r="K257" s="4" t="inlineStr">
        <is>
          <t>none</t>
        </is>
      </c>
      <c r="L257" s="4" t="inlineStr">
        <is>
          <t>compact</t>
        </is>
      </c>
      <c r="M257" s="11" t="n">
        <v>-0.4391824840279201</v>
      </c>
      <c r="N257" s="11" t="n">
        <v>-1.544427076705095</v>
      </c>
      <c r="O257" s="11" t="n">
        <v>-2.077051200795045</v>
      </c>
      <c r="P257" s="4" t="n">
        <v>1</v>
      </c>
      <c r="Q257" s="11" t="n">
        <v>0.5978937265811208</v>
      </c>
      <c r="R257" s="11" t="n">
        <v>0</v>
      </c>
      <c r="S257" s="11" t="n">
        <v>35.87160081262273</v>
      </c>
      <c r="T257" s="11" t="n">
        <v>25.44514547394097</v>
      </c>
      <c r="U257" s="11" t="n">
        <v>0.9305555555555556</v>
      </c>
      <c r="V257" s="11" t="n">
        <v>5.117135806640887</v>
      </c>
      <c r="W257" s="12" t="n">
        <v>10.71518206596374</v>
      </c>
    </row>
    <row r="258">
      <c r="A258" s="4" t="n">
        <v>257</v>
      </c>
      <c r="B258" s="4" t="inlineStr">
        <is>
          <t>elongation_pct</t>
        </is>
      </c>
      <c r="C258" s="4" t="inlineStr">
        <is>
          <t>Exp2_BO</t>
        </is>
      </c>
      <c r="D258" s="4" t="n">
        <v>1</v>
      </c>
      <c r="E258" s="4" t="n">
        <v>4</v>
      </c>
      <c r="F258" s="4" t="inlineStr">
        <is>
          <t>GP</t>
        </is>
      </c>
      <c r="G258" s="4" t="inlineStr">
        <is>
          <t>matern52</t>
        </is>
      </c>
      <c r="H258" s="4" t="b">
        <v>0</v>
      </c>
      <c r="I258" s="4" t="b">
        <v>0</v>
      </c>
      <c r="J258" s="4" t="inlineStr">
        <is>
          <t>log1p</t>
        </is>
      </c>
      <c r="K258" s="4" t="inlineStr">
        <is>
          <t>none</t>
        </is>
      </c>
      <c r="L258" s="4" t="inlineStr">
        <is>
          <t>full_cure6</t>
        </is>
      </c>
      <c r="M258" s="11" t="n">
        <v>-0.4462175919092583</v>
      </c>
      <c r="N258" s="11" t="n">
        <v>-2.51804397367462</v>
      </c>
      <c r="O258" s="11" t="n">
        <v>-2.12029834713547</v>
      </c>
      <c r="P258" s="4" t="n">
        <v>1</v>
      </c>
      <c r="Q258" s="11" t="n">
        <v>0.4948315807875897</v>
      </c>
      <c r="R258" s="11" t="n">
        <v>0</v>
      </c>
      <c r="S258" s="11" t="n">
        <v>40.20670004590848</v>
      </c>
      <c r="T258" s="11" t="n">
        <v>29.65007790287425</v>
      </c>
      <c r="U258" s="11" t="n">
        <v>0.9444444444444444</v>
      </c>
      <c r="V258" s="11" t="n">
        <v>5.119384497805912</v>
      </c>
      <c r="W258" s="12" t="n">
        <v>2.177447319030762</v>
      </c>
    </row>
    <row r="259">
      <c r="A259" s="4" t="n">
        <v>258</v>
      </c>
      <c r="B259" s="4" t="inlineStr">
        <is>
          <t>elongation_pct</t>
        </is>
      </c>
      <c r="C259" s="4" t="inlineStr">
        <is>
          <t>Exp2_BO</t>
        </is>
      </c>
      <c r="D259" s="4" t="n">
        <v>1</v>
      </c>
      <c r="E259" s="4" t="n">
        <v>5</v>
      </c>
      <c r="F259" s="4" t="inlineStr">
        <is>
          <t>GP</t>
        </is>
      </c>
      <c r="G259" s="4" t="inlineStr">
        <is>
          <t>matern32</t>
        </is>
      </c>
      <c r="H259" s="4" t="b">
        <v>0</v>
      </c>
      <c r="I259" s="4" t="b">
        <v>0</v>
      </c>
      <c r="J259" s="4" t="inlineStr">
        <is>
          <t>std</t>
        </is>
      </c>
      <c r="K259" s="4" t="inlineStr">
        <is>
          <t>none</t>
        </is>
      </c>
      <c r="L259" s="4" t="inlineStr">
        <is>
          <t>full_cure6</t>
        </is>
      </c>
      <c r="M259" s="11" t="n">
        <v>0.553366228684596</v>
      </c>
      <c r="N259" s="11" t="n">
        <v>-1.160990096840879</v>
      </c>
      <c r="O259" s="11" t="n">
        <v>-2.330809180836389</v>
      </c>
      <c r="P259" s="4" t="n">
        <v>1</v>
      </c>
      <c r="Q259" s="11" t="n">
        <v>0.5027918161334159</v>
      </c>
      <c r="R259" s="11" t="n">
        <v>0</v>
      </c>
      <c r="S259" s="11" t="n">
        <v>39.88866190443457</v>
      </c>
      <c r="T259" s="11" t="n">
        <v>29.31897967916734</v>
      </c>
      <c r="U259" s="11" t="n">
        <v>0.9351851851851852</v>
      </c>
      <c r="V259" s="11" t="n">
        <v>5.124406201908443</v>
      </c>
      <c r="W259" s="12" t="n">
        <v>2.197206735610962</v>
      </c>
    </row>
    <row r="260">
      <c r="A260" s="4" t="n">
        <v>259</v>
      </c>
      <c r="B260" s="4" t="inlineStr">
        <is>
          <t>elongation_pct</t>
        </is>
      </c>
      <c r="C260" s="4" t="inlineStr">
        <is>
          <t>Exp2_BO</t>
        </is>
      </c>
      <c r="D260" s="4" t="n">
        <v>1</v>
      </c>
      <c r="E260" s="4" t="n">
        <v>6</v>
      </c>
      <c r="F260" s="4" t="inlineStr">
        <is>
          <t>GP</t>
        </is>
      </c>
      <c r="G260" s="4" t="inlineStr">
        <is>
          <t>matern32</t>
        </is>
      </c>
      <c r="H260" s="4" t="b">
        <v>1</v>
      </c>
      <c r="I260" s="4" t="b">
        <v>1</v>
      </c>
      <c r="J260" s="4" t="inlineStr">
        <is>
          <t>log1p</t>
        </is>
      </c>
      <c r="K260" s="4" t="inlineStr">
        <is>
          <t>log</t>
        </is>
      </c>
      <c r="L260" s="4" t="inlineStr">
        <is>
          <t>full_agg</t>
        </is>
      </c>
      <c r="M260" s="11" t="n">
        <v>-0.8753008417002488</v>
      </c>
      <c r="N260" s="11" t="n">
        <v>-1.076015492581875</v>
      </c>
      <c r="O260" s="11" t="n">
        <v>-2.589468646077373</v>
      </c>
      <c r="P260" s="4" t="n">
        <v>1</v>
      </c>
      <c r="Q260" s="11" t="n">
        <v>0.5786204108612434</v>
      </c>
      <c r="R260" s="11" t="n">
        <v>0</v>
      </c>
      <c r="S260" s="11" t="n">
        <v>36.72121829585084</v>
      </c>
      <c r="T260" s="11" t="n">
        <v>26.95193964986256</v>
      </c>
      <c r="U260" s="11" t="n">
        <v>0.9212962962962964</v>
      </c>
      <c r="V260" s="11" t="n">
        <v>5.231838094670274</v>
      </c>
      <c r="W260" s="12" t="n">
        <v>80.21370816230774</v>
      </c>
    </row>
    <row r="261">
      <c r="A261" s="4" t="n">
        <v>260</v>
      </c>
      <c r="B261" s="4" t="inlineStr">
        <is>
          <t>elongation_pct</t>
        </is>
      </c>
      <c r="C261" s="4" t="inlineStr">
        <is>
          <t>Exp2_BO</t>
        </is>
      </c>
      <c r="D261" s="4" t="n">
        <v>1</v>
      </c>
      <c r="E261" s="4" t="n">
        <v>7</v>
      </c>
      <c r="F261" s="4" t="inlineStr">
        <is>
          <t>GP</t>
        </is>
      </c>
      <c r="G261" s="4" t="inlineStr">
        <is>
          <t>matern12</t>
        </is>
      </c>
      <c r="H261" s="4" t="b">
        <v>0</v>
      </c>
      <c r="I261" s="4" t="b">
        <v>1</v>
      </c>
      <c r="J261" s="4" t="inlineStr">
        <is>
          <t>std</t>
        </is>
      </c>
      <c r="K261" s="4" t="inlineStr">
        <is>
          <t>none</t>
        </is>
      </c>
      <c r="L261" s="4" t="inlineStr">
        <is>
          <t>compact</t>
        </is>
      </c>
      <c r="M261" s="11" t="n">
        <v>0.0189917630430187</v>
      </c>
      <c r="N261" s="11" t="n">
        <v>-1.467333346600401</v>
      </c>
      <c r="O261" s="11" t="n">
        <v>-2.987879169191288</v>
      </c>
      <c r="P261" s="4" t="n">
        <v>1</v>
      </c>
      <c r="Q261" s="11" t="n">
        <v>0.6007068365342736</v>
      </c>
      <c r="R261" s="11" t="n">
        <v>0</v>
      </c>
      <c r="S261" s="11" t="n">
        <v>35.74590286241654</v>
      </c>
      <c r="T261" s="11" t="n">
        <v>25.48191044287823</v>
      </c>
      <c r="U261" s="11" t="n">
        <v>0.9305555555555556</v>
      </c>
      <c r="V261" s="11" t="n">
        <v>5.105781669217619</v>
      </c>
      <c r="W261" s="12" t="n">
        <v>7.575194835662842</v>
      </c>
    </row>
    <row r="262">
      <c r="A262" s="4" t="n">
        <v>261</v>
      </c>
      <c r="B262" s="4" t="inlineStr">
        <is>
          <t>elongation_pct</t>
        </is>
      </c>
      <c r="C262" s="4" t="inlineStr">
        <is>
          <t>Exp2_BO</t>
        </is>
      </c>
      <c r="D262" s="4" t="n">
        <v>1</v>
      </c>
      <c r="E262" s="4" t="n">
        <v>8</v>
      </c>
      <c r="F262" s="4" t="inlineStr">
        <is>
          <t>GP</t>
        </is>
      </c>
      <c r="G262" s="4" t="inlineStr">
        <is>
          <t>rbf</t>
        </is>
      </c>
      <c r="H262" s="4" t="b">
        <v>1</v>
      </c>
      <c r="I262" s="4" t="b">
        <v>1</v>
      </c>
      <c r="J262" s="4" t="inlineStr">
        <is>
          <t>log1p</t>
        </is>
      </c>
      <c r="K262" s="4" t="inlineStr">
        <is>
          <t>none</t>
        </is>
      </c>
      <c r="L262" s="4" t="inlineStr">
        <is>
          <t>compact</t>
        </is>
      </c>
      <c r="M262" s="11" t="n">
        <v>0.0609318149112649</v>
      </c>
      <c r="N262" s="11" t="n">
        <v>-1.718721967897031</v>
      </c>
      <c r="O262" s="11" t="n">
        <v>-5.980084329885456</v>
      </c>
      <c r="P262" s="4" t="n">
        <v>1</v>
      </c>
      <c r="Q262" s="11" t="n">
        <v>0.6091139261118104</v>
      </c>
      <c r="R262" s="11" t="n">
        <v>0</v>
      </c>
      <c r="S262" s="11" t="n">
        <v>35.36758717608831</v>
      </c>
      <c r="T262" s="11" t="n">
        <v>25.26682894238888</v>
      </c>
      <c r="U262" s="11" t="n">
        <v>0.9166666666666666</v>
      </c>
      <c r="V262" s="11" t="n">
        <v>5.109043083693455</v>
      </c>
      <c r="W262" s="12" t="n">
        <v>27.52322506904602</v>
      </c>
    </row>
    <row r="263">
      <c r="A263" s="4" t="n">
        <v>262</v>
      </c>
      <c r="B263" s="4" t="inlineStr">
        <is>
          <t>elongation_pct</t>
        </is>
      </c>
      <c r="C263" s="4" t="inlineStr">
        <is>
          <t>Exp2_BO</t>
        </is>
      </c>
      <c r="D263" s="4" t="n">
        <v>1</v>
      </c>
      <c r="E263" s="4" t="n">
        <v>9</v>
      </c>
      <c r="F263" s="4" t="inlineStr">
        <is>
          <t>GP</t>
        </is>
      </c>
      <c r="G263" s="4" t="inlineStr">
        <is>
          <t>matern32</t>
        </is>
      </c>
      <c r="H263" s="4" t="b">
        <v>1</v>
      </c>
      <c r="I263" s="4" t="b">
        <v>1</v>
      </c>
      <c r="J263" s="4" t="inlineStr">
        <is>
          <t>log1p</t>
        </is>
      </c>
      <c r="K263" s="4" t="inlineStr">
        <is>
          <t>log</t>
        </is>
      </c>
      <c r="L263" s="4" t="inlineStr">
        <is>
          <t>compact</t>
        </is>
      </c>
      <c r="M263" s="11" t="n">
        <v>-0.2997777604117237</v>
      </c>
      <c r="N263" s="11" t="n">
        <v>-2.858215992124665</v>
      </c>
      <c r="O263" s="11" t="n">
        <v>-5.958443009652724</v>
      </c>
      <c r="P263" s="4" t="n">
        <v>1</v>
      </c>
      <c r="Q263" s="11" t="n">
        <v>0.6021609612140493</v>
      </c>
      <c r="R263" s="11" t="n">
        <v>0</v>
      </c>
      <c r="S263" s="11" t="n">
        <v>35.68075472782309</v>
      </c>
      <c r="T263" s="11" t="n">
        <v>25.30229702613481</v>
      </c>
      <c r="U263" s="11" t="n">
        <v>0.9166666666666666</v>
      </c>
      <c r="V263" s="11" t="n">
        <v>5.233029061078335</v>
      </c>
      <c r="W263" s="12" t="n">
        <v>48.51093220710754</v>
      </c>
    </row>
    <row r="264">
      <c r="A264" s="4" t="n">
        <v>263</v>
      </c>
      <c r="B264" s="4" t="inlineStr">
        <is>
          <t>elongation_pct</t>
        </is>
      </c>
      <c r="C264" s="4" t="inlineStr">
        <is>
          <t>Exp2_BO</t>
        </is>
      </c>
      <c r="D264" s="4" t="n">
        <v>1</v>
      </c>
      <c r="E264" s="4" t="n">
        <v>10</v>
      </c>
      <c r="F264" s="4" t="inlineStr">
        <is>
          <t>GP</t>
        </is>
      </c>
      <c r="G264" s="4" t="inlineStr">
        <is>
          <t>matern32</t>
        </is>
      </c>
      <c r="H264" s="4" t="b">
        <v>0</v>
      </c>
      <c r="I264" s="4" t="b">
        <v>0</v>
      </c>
      <c r="J264" s="4" t="inlineStr">
        <is>
          <t>std</t>
        </is>
      </c>
      <c r="K264" s="4" t="inlineStr">
        <is>
          <t>log</t>
        </is>
      </c>
      <c r="L264" s="4" t="inlineStr">
        <is>
          <t>full</t>
        </is>
      </c>
      <c r="M264" s="11" t="n">
        <v>-0.3885372544529379</v>
      </c>
      <c r="N264" s="11" t="n">
        <v>-0.8252954246712778</v>
      </c>
      <c r="O264" s="11" t="n">
        <v>-3.957874428103576</v>
      </c>
      <c r="P264" s="4" t="n">
        <v>1</v>
      </c>
      <c r="Q264" s="11" t="n">
        <v>0.4996124698826573</v>
      </c>
      <c r="R264" s="11" t="n">
        <v>0</v>
      </c>
      <c r="S264" s="11" t="n">
        <v>40.01599064042102</v>
      </c>
      <c r="T264" s="11" t="n">
        <v>29.81785610101094</v>
      </c>
      <c r="U264" s="11" t="n">
        <v>0.9305555555555556</v>
      </c>
      <c r="V264" s="11" t="n">
        <v>5.188924601072445</v>
      </c>
      <c r="W264" s="12" t="n">
        <v>1.958333492279053</v>
      </c>
    </row>
    <row r="265">
      <c r="A265" s="4" t="n">
        <v>264</v>
      </c>
      <c r="B265" s="4" t="inlineStr">
        <is>
          <t>elongation_pct</t>
        </is>
      </c>
      <c r="C265" s="4" t="inlineStr">
        <is>
          <t>Exp2_BO</t>
        </is>
      </c>
      <c r="D265" s="4" t="n">
        <v>1</v>
      </c>
      <c r="E265" s="4" t="n">
        <v>11</v>
      </c>
      <c r="F265" s="4" t="inlineStr">
        <is>
          <t>GP</t>
        </is>
      </c>
      <c r="G265" s="4" t="inlineStr">
        <is>
          <t>matern52</t>
        </is>
      </c>
      <c r="H265" s="4" t="b">
        <v>0</v>
      </c>
      <c r="I265" s="4" t="b">
        <v>1</v>
      </c>
      <c r="J265" s="4" t="inlineStr">
        <is>
          <t>std</t>
        </is>
      </c>
      <c r="K265" s="4" t="inlineStr">
        <is>
          <t>log</t>
        </is>
      </c>
      <c r="L265" s="4" t="inlineStr">
        <is>
          <t>compact</t>
        </is>
      </c>
      <c r="M265" s="11" t="n">
        <v>0.9801652075514228</v>
      </c>
      <c r="N265" s="11" t="n">
        <v>-0.4755987073077072</v>
      </c>
      <c r="O265" s="11" t="n">
        <v>-2.757962072616958</v>
      </c>
      <c r="P265" s="4" t="n">
        <v>1</v>
      </c>
      <c r="Q265" s="11" t="n">
        <v>0.5872361605568635</v>
      </c>
      <c r="R265" s="11" t="n">
        <v>0</v>
      </c>
      <c r="S265" s="11" t="n">
        <v>36.34386874740312</v>
      </c>
      <c r="T265" s="11" t="n">
        <v>25.71893043436567</v>
      </c>
      <c r="U265" s="11" t="n">
        <v>0.925925925925926</v>
      </c>
      <c r="V265" s="11" t="n">
        <v>5.143126941530887</v>
      </c>
      <c r="W265" s="12" t="n">
        <v>6.971102237701416</v>
      </c>
    </row>
    <row r="266">
      <c r="A266" s="4" t="n">
        <v>265</v>
      </c>
      <c r="B266" s="4" t="inlineStr">
        <is>
          <t>elongation_pct</t>
        </is>
      </c>
      <c r="C266" s="4" t="inlineStr">
        <is>
          <t>Exp2_BO</t>
        </is>
      </c>
      <c r="D266" s="4" t="n">
        <v>1</v>
      </c>
      <c r="E266" s="4" t="n">
        <v>12</v>
      </c>
      <c r="F266" s="4" t="inlineStr">
        <is>
          <t>GP</t>
        </is>
      </c>
      <c r="G266" s="4" t="inlineStr">
        <is>
          <t>matern52</t>
        </is>
      </c>
      <c r="H266" s="4" t="b">
        <v>1</v>
      </c>
      <c r="I266" s="4" t="b">
        <v>0</v>
      </c>
      <c r="J266" s="4" t="inlineStr">
        <is>
          <t>log1p</t>
        </is>
      </c>
      <c r="K266" s="4" t="inlineStr">
        <is>
          <t>log</t>
        </is>
      </c>
      <c r="L266" s="4" t="inlineStr">
        <is>
          <t>compact</t>
        </is>
      </c>
      <c r="M266" s="11" t="n">
        <v>-0.6672086277218565</v>
      </c>
      <c r="N266" s="11" t="n">
        <v>-0.4153831803320429</v>
      </c>
      <c r="O266" s="11" t="n">
        <v>-4.367870695346651</v>
      </c>
      <c r="P266" s="4" t="n">
        <v>1</v>
      </c>
      <c r="Q266" s="11" t="n">
        <v>0.6018523822765784</v>
      </c>
      <c r="R266" s="11" t="n">
        <v>0</v>
      </c>
      <c r="S266" s="11" t="n">
        <v>35.69458971399835</v>
      </c>
      <c r="T266" s="11" t="n">
        <v>25.93731572843746</v>
      </c>
      <c r="U266" s="11" t="n">
        <v>0.9166666666666666</v>
      </c>
      <c r="V266" s="11" t="n">
        <v>5.175600468214561</v>
      </c>
      <c r="W266" s="12" t="n">
        <v>49.55756425857544</v>
      </c>
    </row>
    <row r="267">
      <c r="A267" s="4" t="n">
        <v>266</v>
      </c>
      <c r="B267" s="4" t="inlineStr">
        <is>
          <t>elongation_pct</t>
        </is>
      </c>
      <c r="C267" s="4" t="inlineStr">
        <is>
          <t>Exp2_BO</t>
        </is>
      </c>
      <c r="D267" s="4" t="n">
        <v>1</v>
      </c>
      <c r="E267" s="4" t="n">
        <v>13</v>
      </c>
      <c r="F267" s="4" t="inlineStr">
        <is>
          <t>GP</t>
        </is>
      </c>
      <c r="G267" s="4" t="inlineStr">
        <is>
          <t>matern12</t>
        </is>
      </c>
      <c r="H267" s="4" t="b">
        <v>1</v>
      </c>
      <c r="I267" s="4" t="b">
        <v>0</v>
      </c>
      <c r="J267" s="4" t="inlineStr">
        <is>
          <t>log1p</t>
        </is>
      </c>
      <c r="K267" s="4" t="inlineStr">
        <is>
          <t>log</t>
        </is>
      </c>
      <c r="L267" s="4" t="inlineStr">
        <is>
          <t>compact</t>
        </is>
      </c>
      <c r="M267" s="11" t="n">
        <v>0.9122573148778924</v>
      </c>
      <c r="N267" s="11" t="n">
        <v>-1.010137354733832</v>
      </c>
      <c r="O267" s="11" t="n">
        <v>-4.516970940722348</v>
      </c>
      <c r="P267" s="4" t="n">
        <v>1</v>
      </c>
      <c r="Q267" s="11" t="n">
        <v>0.6081619224209656</v>
      </c>
      <c r="R267" s="11" t="n">
        <v>0</v>
      </c>
      <c r="S267" s="11" t="n">
        <v>35.41062989342029</v>
      </c>
      <c r="T267" s="11" t="n">
        <v>24.93150511155076</v>
      </c>
      <c r="U267" s="11" t="n">
        <v>0.9305555555555556</v>
      </c>
      <c r="V267" s="11" t="n">
        <v>5.233104751408143</v>
      </c>
      <c r="W267" s="12" t="n">
        <v>40.41288590431213</v>
      </c>
    </row>
    <row r="268">
      <c r="A268" s="4" t="n">
        <v>267</v>
      </c>
      <c r="B268" s="4" t="inlineStr">
        <is>
          <t>elongation_pct</t>
        </is>
      </c>
      <c r="C268" s="4" t="inlineStr">
        <is>
          <t>Exp2_BO</t>
        </is>
      </c>
      <c r="D268" s="4" t="n">
        <v>1</v>
      </c>
      <c r="E268" s="4" t="n">
        <v>14</v>
      </c>
      <c r="F268" s="4" t="inlineStr">
        <is>
          <t>GP</t>
        </is>
      </c>
      <c r="G268" s="4" t="inlineStr">
        <is>
          <t>rq</t>
        </is>
      </c>
      <c r="H268" s="4" t="b">
        <v>0</v>
      </c>
      <c r="I268" s="4" t="b">
        <v>0</v>
      </c>
      <c r="J268" s="4" t="inlineStr">
        <is>
          <t>std</t>
        </is>
      </c>
      <c r="K268" s="4" t="inlineStr">
        <is>
          <t>none</t>
        </is>
      </c>
      <c r="L268" s="4" t="inlineStr">
        <is>
          <t>compact</t>
        </is>
      </c>
      <c r="M268" s="11" t="n">
        <v>-0.8654345396086123</v>
      </c>
      <c r="N268" s="11" t="n">
        <v>-2.910612083785482</v>
      </c>
      <c r="O268" s="11" t="n">
        <v>-5.850912850178352</v>
      </c>
      <c r="P268" s="4" t="n">
        <v>1</v>
      </c>
      <c r="Q268" s="11" t="n">
        <v>0.5846138259245435</v>
      </c>
      <c r="R268" s="11" t="n">
        <v>0</v>
      </c>
      <c r="S268" s="11" t="n">
        <v>36.45913428603534</v>
      </c>
      <c r="T268" s="11" t="n">
        <v>26.31424884698822</v>
      </c>
      <c r="U268" s="11" t="n">
        <v>0.9305555555555556</v>
      </c>
      <c r="V268" s="11" t="n">
        <v>5.121589507932771</v>
      </c>
      <c r="W268" s="12" t="n">
        <v>4.68279767036438</v>
      </c>
    </row>
    <row r="269">
      <c r="A269" s="4" t="n">
        <v>268</v>
      </c>
      <c r="B269" s="4" t="inlineStr">
        <is>
          <t>elongation_pct</t>
        </is>
      </c>
      <c r="C269" s="4" t="inlineStr">
        <is>
          <t>Exp2_BO</t>
        </is>
      </c>
      <c r="D269" s="4" t="n">
        <v>1</v>
      </c>
      <c r="E269" s="4" t="n">
        <v>15</v>
      </c>
      <c r="F269" s="4" t="inlineStr">
        <is>
          <t>GP</t>
        </is>
      </c>
      <c r="G269" s="4" t="inlineStr">
        <is>
          <t>rq</t>
        </is>
      </c>
      <c r="H269" s="4" t="b">
        <v>1</v>
      </c>
      <c r="I269" s="4" t="b">
        <v>1</v>
      </c>
      <c r="J269" s="4" t="inlineStr">
        <is>
          <t>std</t>
        </is>
      </c>
      <c r="K269" s="4" t="inlineStr">
        <is>
          <t>log</t>
        </is>
      </c>
      <c r="L269" s="4" t="inlineStr">
        <is>
          <t>full_cure6</t>
        </is>
      </c>
      <c r="M269" s="11" t="n">
        <v>0.9038838796311792</v>
      </c>
      <c r="N269" s="11" t="n">
        <v>-0.756187321914195</v>
      </c>
      <c r="O269" s="11" t="n">
        <v>-5.937323963522911</v>
      </c>
      <c r="P269" s="4" t="n">
        <v>1</v>
      </c>
      <c r="Q269" s="11" t="n">
        <v>0.5565385187392584</v>
      </c>
      <c r="R269" s="11" t="n">
        <v>0</v>
      </c>
      <c r="S269" s="11" t="n">
        <v>37.67109856499189</v>
      </c>
      <c r="T269" s="11" t="n">
        <v>27.08013073866642</v>
      </c>
      <c r="U269" s="11" t="n">
        <v>0.9212962962962964</v>
      </c>
      <c r="V269" s="11" t="n">
        <v>5.083522312474894</v>
      </c>
      <c r="W269" s="12" t="n">
        <v>11.2373583316803</v>
      </c>
    </row>
    <row r="270">
      <c r="A270" s="4" t="n">
        <v>269</v>
      </c>
      <c r="B270" s="4" t="inlineStr">
        <is>
          <t>elongation_pct</t>
        </is>
      </c>
      <c r="C270" s="4" t="inlineStr">
        <is>
          <t>Exp2_BO</t>
        </is>
      </c>
      <c r="D270" s="4" t="n">
        <v>1</v>
      </c>
      <c r="E270" s="4" t="n">
        <v>16</v>
      </c>
      <c r="F270" s="4" t="inlineStr">
        <is>
          <t>GP</t>
        </is>
      </c>
      <c r="G270" s="4" t="inlineStr">
        <is>
          <t>matern32</t>
        </is>
      </c>
      <c r="H270" s="4" t="b">
        <v>0</v>
      </c>
      <c r="I270" s="4" t="b">
        <v>0</v>
      </c>
      <c r="J270" s="4" t="inlineStr">
        <is>
          <t>log1p</t>
        </is>
      </c>
      <c r="K270" s="4" t="inlineStr">
        <is>
          <t>none</t>
        </is>
      </c>
      <c r="L270" s="4" t="inlineStr">
        <is>
          <t>compact</t>
        </is>
      </c>
      <c r="M270" s="11" t="n">
        <v>-0.8239124969222</v>
      </c>
      <c r="N270" s="11" t="n">
        <v>-1.278113800260438</v>
      </c>
      <c r="O270" s="11" t="n">
        <v>-5.697632666552333</v>
      </c>
      <c r="P270" s="4" t="n">
        <v>1</v>
      </c>
      <c r="Q270" s="11" t="n">
        <v>0.5642726405824756</v>
      </c>
      <c r="R270" s="11" t="n">
        <v>0</v>
      </c>
      <c r="S270" s="11" t="n">
        <v>37.34115515158888</v>
      </c>
      <c r="T270" s="11" t="n">
        <v>27.82910518064086</v>
      </c>
      <c r="U270" s="11" t="n">
        <v>0.9351851851851852</v>
      </c>
      <c r="V270" s="11" t="n">
        <v>5.105287061098274</v>
      </c>
      <c r="W270" s="12" t="n">
        <v>2.394556045532227</v>
      </c>
    </row>
    <row r="271">
      <c r="A271" s="4" t="n">
        <v>270</v>
      </c>
      <c r="B271" s="4" t="inlineStr">
        <is>
          <t>elongation_pct</t>
        </is>
      </c>
      <c r="C271" s="4" t="inlineStr">
        <is>
          <t>Exp2_BO</t>
        </is>
      </c>
      <c r="D271" s="4" t="n">
        <v>1</v>
      </c>
      <c r="E271" s="4" t="n">
        <v>17</v>
      </c>
      <c r="F271" s="4" t="inlineStr">
        <is>
          <t>GP</t>
        </is>
      </c>
      <c r="G271" s="4" t="inlineStr">
        <is>
          <t>matern12</t>
        </is>
      </c>
      <c r="H271" s="4" t="b">
        <v>1</v>
      </c>
      <c r="I271" s="4" t="b">
        <v>1</v>
      </c>
      <c r="J271" s="4" t="inlineStr">
        <is>
          <t>std</t>
        </is>
      </c>
      <c r="K271" s="4" t="inlineStr">
        <is>
          <t>log</t>
        </is>
      </c>
      <c r="L271" s="4" t="inlineStr">
        <is>
          <t>compact</t>
        </is>
      </c>
      <c r="M271" s="11" t="n">
        <v>-0.4866064781698362</v>
      </c>
      <c r="N271" s="11" t="n">
        <v>-0.0068929362163268</v>
      </c>
      <c r="O271" s="11" t="n">
        <v>-3.532001461486766</v>
      </c>
      <c r="P271" s="4" t="n">
        <v>1</v>
      </c>
      <c r="Q271" s="11" t="n">
        <v>0.6452844577028656</v>
      </c>
      <c r="R271" s="11" t="n">
        <v>0</v>
      </c>
      <c r="S271" s="11" t="n">
        <v>33.6915074280314</v>
      </c>
      <c r="T271" s="11" t="n">
        <v>24.12341935436066</v>
      </c>
      <c r="U271" s="11" t="n">
        <v>0.9305555555555556</v>
      </c>
      <c r="V271" s="11" t="n">
        <v>5.137185889967249</v>
      </c>
      <c r="W271" s="12" t="n">
        <v>59.22685623168945</v>
      </c>
    </row>
    <row r="272">
      <c r="A272" s="4" t="n">
        <v>271</v>
      </c>
      <c r="B272" s="4" t="inlineStr">
        <is>
          <t>elongation_pct</t>
        </is>
      </c>
      <c r="C272" s="4" t="inlineStr">
        <is>
          <t>Exp2_BO</t>
        </is>
      </c>
      <c r="D272" s="4" t="n">
        <v>1</v>
      </c>
      <c r="E272" s="4" t="n">
        <v>18</v>
      </c>
      <c r="F272" s="4" t="inlineStr">
        <is>
          <t>GP</t>
        </is>
      </c>
      <c r="G272" s="4" t="inlineStr">
        <is>
          <t>matern12</t>
        </is>
      </c>
      <c r="H272" s="4" t="b">
        <v>0</v>
      </c>
      <c r="I272" s="4" t="b">
        <v>0</v>
      </c>
      <c r="J272" s="4" t="inlineStr">
        <is>
          <t>std</t>
        </is>
      </c>
      <c r="K272" s="4" t="inlineStr">
        <is>
          <t>none</t>
        </is>
      </c>
      <c r="L272" s="4" t="inlineStr">
        <is>
          <t>full_agg</t>
        </is>
      </c>
      <c r="M272" s="11" t="n">
        <v>-0.3507490140641025</v>
      </c>
      <c r="N272" s="11" t="n">
        <v>-2.798030662647145</v>
      </c>
      <c r="O272" s="11" t="n">
        <v>-5.849637641862695</v>
      </c>
      <c r="P272" s="4" t="n">
        <v>1</v>
      </c>
      <c r="Q272" s="11" t="n">
        <v>0.5154728531485806</v>
      </c>
      <c r="R272" s="11" t="n">
        <v>0</v>
      </c>
      <c r="S272" s="11" t="n">
        <v>39.37670670991103</v>
      </c>
      <c r="T272" s="11" t="n">
        <v>28.8268470722555</v>
      </c>
      <c r="U272" s="11" t="n">
        <v>0.925925925925926</v>
      </c>
      <c r="V272" s="11" t="n">
        <v>5.161114361503509</v>
      </c>
      <c r="W272" s="12" t="n">
        <v>3.074199676513672</v>
      </c>
    </row>
    <row r="273">
      <c r="A273" s="4" t="n">
        <v>272</v>
      </c>
      <c r="B273" s="4" t="inlineStr">
        <is>
          <t>elongation_pct</t>
        </is>
      </c>
      <c r="C273" s="4" t="inlineStr">
        <is>
          <t>Exp2_BO</t>
        </is>
      </c>
      <c r="D273" s="4" t="n">
        <v>1</v>
      </c>
      <c r="E273" s="4" t="n">
        <v>19</v>
      </c>
      <c r="F273" s="4" t="inlineStr">
        <is>
          <t>GP</t>
        </is>
      </c>
      <c r="G273" s="4" t="inlineStr">
        <is>
          <t>matern12</t>
        </is>
      </c>
      <c r="H273" s="4" t="b">
        <v>1</v>
      </c>
      <c r="I273" s="4" t="b">
        <v>1</v>
      </c>
      <c r="J273" s="4" t="inlineStr">
        <is>
          <t>log1p</t>
        </is>
      </c>
      <c r="K273" s="4" t="inlineStr">
        <is>
          <t>log</t>
        </is>
      </c>
      <c r="L273" s="4" t="inlineStr">
        <is>
          <t>compact</t>
        </is>
      </c>
      <c r="M273" s="11" t="n">
        <v>-0.4866064781698362</v>
      </c>
      <c r="N273" s="11" t="n">
        <v>-0.0068929362163268</v>
      </c>
      <c r="O273" s="11" t="n">
        <v>-3.532001461486766</v>
      </c>
      <c r="P273" s="4" t="n">
        <v>1</v>
      </c>
      <c r="Q273" s="11" t="n">
        <v>0.6224126139239287</v>
      </c>
      <c r="R273" s="11" t="n">
        <v>0</v>
      </c>
      <c r="S273" s="11" t="n">
        <v>34.76074473100073</v>
      </c>
      <c r="T273" s="11" t="n">
        <v>24.3386774393696</v>
      </c>
      <c r="U273" s="11" t="n">
        <v>0.925925925925926</v>
      </c>
      <c r="V273" s="11" t="n">
        <v>5.180422684898803</v>
      </c>
      <c r="W273" s="12" t="n">
        <v>55.79420709609985</v>
      </c>
    </row>
    <row r="274">
      <c r="A274" s="4" t="n">
        <v>273</v>
      </c>
      <c r="B274" s="4" t="inlineStr">
        <is>
          <t>elongation_pct</t>
        </is>
      </c>
      <c r="C274" s="4" t="inlineStr">
        <is>
          <t>Exp2_BO</t>
        </is>
      </c>
      <c r="D274" s="4" t="n">
        <v>1</v>
      </c>
      <c r="E274" s="4" t="n">
        <v>20</v>
      </c>
      <c r="F274" s="4" t="inlineStr">
        <is>
          <t>GP</t>
        </is>
      </c>
      <c r="G274" s="4" t="inlineStr">
        <is>
          <t>matern12</t>
        </is>
      </c>
      <c r="H274" s="4" t="b">
        <v>1</v>
      </c>
      <c r="I274" s="4" t="b">
        <v>0</v>
      </c>
      <c r="J274" s="4" t="inlineStr">
        <is>
          <t>std</t>
        </is>
      </c>
      <c r="K274" s="4" t="inlineStr">
        <is>
          <t>none</t>
        </is>
      </c>
      <c r="L274" s="4" t="inlineStr">
        <is>
          <t>compact</t>
        </is>
      </c>
      <c r="M274" s="11" t="n">
        <v>-0.4168012502651275</v>
      </c>
      <c r="N274" s="11" t="n">
        <v>-0.3566669486487139</v>
      </c>
      <c r="O274" s="11" t="n">
        <v>-2.476114801348823</v>
      </c>
      <c r="P274" s="4" t="n">
        <v>1</v>
      </c>
      <c r="Q274" s="11" t="n">
        <v>0.5919472657264708</v>
      </c>
      <c r="R274" s="11" t="n">
        <v>0</v>
      </c>
      <c r="S274" s="11" t="n">
        <v>36.13586705668941</v>
      </c>
      <c r="T274" s="11" t="n">
        <v>25.88216177467889</v>
      </c>
      <c r="U274" s="11" t="n">
        <v>0.9351851851851852</v>
      </c>
      <c r="V274" s="11" t="n">
        <v>5.11364197704297</v>
      </c>
      <c r="W274" s="12" t="n">
        <v>34.13754391670227</v>
      </c>
    </row>
    <row r="275">
      <c r="A275" s="4" t="n">
        <v>274</v>
      </c>
      <c r="B275" s="4" t="inlineStr">
        <is>
          <t>elongation_pct</t>
        </is>
      </c>
      <c r="C275" s="4" t="inlineStr">
        <is>
          <t>Exp2_BO</t>
        </is>
      </c>
      <c r="D275" s="4" t="n">
        <v>1</v>
      </c>
      <c r="E275" s="4" t="n">
        <v>21</v>
      </c>
      <c r="F275" s="4" t="inlineStr">
        <is>
          <t>GP</t>
        </is>
      </c>
      <c r="G275" s="4" t="inlineStr">
        <is>
          <t>rq</t>
        </is>
      </c>
      <c r="H275" s="4" t="b">
        <v>1</v>
      </c>
      <c r="I275" s="4" t="b">
        <v>0</v>
      </c>
      <c r="J275" s="4" t="inlineStr">
        <is>
          <t>log1p</t>
        </is>
      </c>
      <c r="K275" s="4" t="inlineStr">
        <is>
          <t>log</t>
        </is>
      </c>
      <c r="L275" s="4" t="inlineStr">
        <is>
          <t>compact</t>
        </is>
      </c>
      <c r="M275" s="11" t="n">
        <v>0.9855324064599892</v>
      </c>
      <c r="N275" s="11" t="n">
        <v>-0.7205169378937932</v>
      </c>
      <c r="O275" s="11" t="n">
        <v>-3.011951738362706</v>
      </c>
      <c r="P275" s="4" t="n">
        <v>1</v>
      </c>
      <c r="Q275" s="11" t="n">
        <v>0.5823365372233464</v>
      </c>
      <c r="R275" s="11" t="n">
        <v>0</v>
      </c>
      <c r="S275" s="11" t="n">
        <v>36.55893838844906</v>
      </c>
      <c r="T275" s="11" t="n">
        <v>26.8582886750498</v>
      </c>
      <c r="U275" s="11" t="n">
        <v>0.9398148148148148</v>
      </c>
      <c r="V275" s="11" t="n">
        <v>5.174875540607986</v>
      </c>
      <c r="W275" s="12" t="n">
        <v>4.314387559890747</v>
      </c>
    </row>
    <row r="276">
      <c r="A276" s="4" t="n">
        <v>275</v>
      </c>
      <c r="B276" s="4" t="inlineStr">
        <is>
          <t>elongation_pct</t>
        </is>
      </c>
      <c r="C276" s="4" t="inlineStr">
        <is>
          <t>Exp2_BO</t>
        </is>
      </c>
      <c r="D276" s="4" t="n">
        <v>1</v>
      </c>
      <c r="E276" s="4" t="n">
        <v>22</v>
      </c>
      <c r="F276" s="4" t="inlineStr">
        <is>
          <t>GP</t>
        </is>
      </c>
      <c r="G276" s="4" t="inlineStr">
        <is>
          <t>rq</t>
        </is>
      </c>
      <c r="H276" s="4" t="b">
        <v>0</v>
      </c>
      <c r="I276" s="4" t="b">
        <v>1</v>
      </c>
      <c r="J276" s="4" t="inlineStr">
        <is>
          <t>log1p</t>
        </is>
      </c>
      <c r="K276" s="4" t="inlineStr">
        <is>
          <t>none</t>
        </is>
      </c>
      <c r="L276" s="4" t="inlineStr">
        <is>
          <t>compact</t>
        </is>
      </c>
      <c r="M276" s="11" t="n">
        <v>-0.1848536074868216</v>
      </c>
      <c r="N276" s="11" t="n">
        <v>-2.930454350258322</v>
      </c>
      <c r="O276" s="11" t="n">
        <v>-5.741116460709367</v>
      </c>
      <c r="P276" s="4" t="n">
        <v>1</v>
      </c>
      <c r="Q276" s="11" t="n">
        <v>0.5823840502914505</v>
      </c>
      <c r="R276" s="11" t="n">
        <v>0</v>
      </c>
      <c r="S276" s="11" t="n">
        <v>36.55685887122072</v>
      </c>
      <c r="T276" s="11" t="n">
        <v>26.42829968764352</v>
      </c>
      <c r="U276" s="11" t="n">
        <v>0.9305555555555556</v>
      </c>
      <c r="V276" s="11" t="n">
        <v>5.131941069613714</v>
      </c>
      <c r="W276" s="12" t="n">
        <v>11.12460541725159</v>
      </c>
    </row>
    <row r="277">
      <c r="A277" s="4" t="n">
        <v>276</v>
      </c>
      <c r="B277" s="4" t="inlineStr">
        <is>
          <t>elongation_pct</t>
        </is>
      </c>
      <c r="C277" s="4" t="inlineStr">
        <is>
          <t>Exp2_BO</t>
        </is>
      </c>
      <c r="D277" s="4" t="n">
        <v>1</v>
      </c>
      <c r="E277" s="4" t="n">
        <v>23</v>
      </c>
      <c r="F277" s="4" t="inlineStr">
        <is>
          <t>GP</t>
        </is>
      </c>
      <c r="G277" s="4" t="inlineStr">
        <is>
          <t>matern52</t>
        </is>
      </c>
      <c r="H277" s="4" t="b">
        <v>1</v>
      </c>
      <c r="I277" s="4" t="b">
        <v>1</v>
      </c>
      <c r="J277" s="4" t="inlineStr">
        <is>
          <t>std</t>
        </is>
      </c>
      <c r="K277" s="4" t="inlineStr">
        <is>
          <t>log</t>
        </is>
      </c>
      <c r="L277" s="4" t="inlineStr">
        <is>
          <t>compact</t>
        </is>
      </c>
      <c r="M277" s="11" t="n">
        <v>0.8196748156561957</v>
      </c>
      <c r="N277" s="11" t="n">
        <v>-0.4640061908613839</v>
      </c>
      <c r="O277" s="11" t="n">
        <v>-2.690865858126582</v>
      </c>
      <c r="P277" s="4" t="n">
        <v>1</v>
      </c>
      <c r="Q277" s="11" t="n">
        <v>0.6176595764999395</v>
      </c>
      <c r="R277" s="11" t="n">
        <v>0</v>
      </c>
      <c r="S277" s="11" t="n">
        <v>34.97884315354267</v>
      </c>
      <c r="T277" s="11" t="n">
        <v>25.40393550787457</v>
      </c>
      <c r="U277" s="11" t="n">
        <v>0.925925925925926</v>
      </c>
      <c r="V277" s="11" t="n">
        <v>5.174988561099354</v>
      </c>
      <c r="W277" s="12" t="n">
        <v>65.96876668930054</v>
      </c>
    </row>
    <row r="278">
      <c r="A278" s="4" t="n">
        <v>277</v>
      </c>
      <c r="B278" s="4" t="inlineStr">
        <is>
          <t>elongation_pct</t>
        </is>
      </c>
      <c r="C278" s="4" t="inlineStr">
        <is>
          <t>Exp2_BO</t>
        </is>
      </c>
      <c r="D278" s="4" t="n">
        <v>1</v>
      </c>
      <c r="E278" s="4" t="n">
        <v>24</v>
      </c>
      <c r="F278" s="4" t="inlineStr">
        <is>
          <t>GP</t>
        </is>
      </c>
      <c r="G278" s="4" t="inlineStr">
        <is>
          <t>matern12</t>
        </is>
      </c>
      <c r="H278" s="4" t="b">
        <v>1</v>
      </c>
      <c r="I278" s="4" t="b">
        <v>1</v>
      </c>
      <c r="J278" s="4" t="inlineStr">
        <is>
          <t>std</t>
        </is>
      </c>
      <c r="K278" s="4" t="inlineStr">
        <is>
          <t>log</t>
        </is>
      </c>
      <c r="L278" s="4" t="inlineStr">
        <is>
          <t>compact</t>
        </is>
      </c>
      <c r="M278" s="11" t="n">
        <v>-0.4866064781698362</v>
      </c>
      <c r="N278" s="11" t="n">
        <v>-0.0068929362163268</v>
      </c>
      <c r="O278" s="11" t="n">
        <v>-4.660602622246218</v>
      </c>
      <c r="P278" s="4" t="n">
        <v>1</v>
      </c>
      <c r="Q278" s="11" t="n">
        <v>0.649695233981965</v>
      </c>
      <c r="R278" s="11" t="n">
        <v>0</v>
      </c>
      <c r="S278" s="11" t="n">
        <v>33.48138051644393</v>
      </c>
      <c r="T278" s="11" t="n">
        <v>24.02406848606593</v>
      </c>
      <c r="U278" s="11" t="n">
        <v>0.9305555555555556</v>
      </c>
      <c r="V278" s="11" t="n">
        <v>5.124944679154878</v>
      </c>
      <c r="W278" s="12" t="n">
        <v>68.26061058044434</v>
      </c>
    </row>
    <row r="279">
      <c r="A279" s="4" t="n">
        <v>278</v>
      </c>
      <c r="B279" s="4" t="inlineStr">
        <is>
          <t>elongation_pct</t>
        </is>
      </c>
      <c r="C279" s="4" t="inlineStr">
        <is>
          <t>Exp2_BO</t>
        </is>
      </c>
      <c r="D279" s="4" t="n">
        <v>1</v>
      </c>
      <c r="E279" s="4" t="n">
        <v>25</v>
      </c>
      <c r="F279" s="4" t="inlineStr">
        <is>
          <t>GP</t>
        </is>
      </c>
      <c r="G279" s="4" t="inlineStr">
        <is>
          <t>matern12</t>
        </is>
      </c>
      <c r="H279" s="4" t="b">
        <v>1</v>
      </c>
      <c r="I279" s="4" t="b">
        <v>1</v>
      </c>
      <c r="J279" s="4" t="inlineStr">
        <is>
          <t>std</t>
        </is>
      </c>
      <c r="K279" s="4" t="inlineStr">
        <is>
          <t>none</t>
        </is>
      </c>
      <c r="L279" s="4" t="inlineStr">
        <is>
          <t>compact</t>
        </is>
      </c>
      <c r="M279" s="11" t="n">
        <v>0.9948963290614146</v>
      </c>
      <c r="N279" s="11" t="n">
        <v>-1.376040041445256</v>
      </c>
      <c r="O279" s="11" t="n">
        <v>-5.82340751953557</v>
      </c>
      <c r="P279" s="4" t="n">
        <v>1</v>
      </c>
      <c r="Q279" s="11" t="n">
        <v>0.6258466245168219</v>
      </c>
      <c r="R279" s="11" t="n">
        <v>0</v>
      </c>
      <c r="S279" s="11" t="n">
        <v>34.60231596141521</v>
      </c>
      <c r="T279" s="11" t="n">
        <v>25.20423075910048</v>
      </c>
      <c r="U279" s="11" t="n">
        <v>0.9305555555555556</v>
      </c>
      <c r="V279" s="11" t="n">
        <v>5.087852480060755</v>
      </c>
      <c r="W279" s="12" t="n">
        <v>69.48498678207397</v>
      </c>
    </row>
    <row r="280">
      <c r="A280" s="4" t="n">
        <v>279</v>
      </c>
      <c r="B280" s="4" t="inlineStr">
        <is>
          <t>elongation_pct</t>
        </is>
      </c>
      <c r="C280" s="4" t="inlineStr">
        <is>
          <t>Exp2_BO</t>
        </is>
      </c>
      <c r="D280" s="4" t="n">
        <v>1</v>
      </c>
      <c r="E280" s="4" t="n">
        <v>26</v>
      </c>
      <c r="F280" s="4" t="inlineStr">
        <is>
          <t>GP</t>
        </is>
      </c>
      <c r="G280" s="4" t="inlineStr">
        <is>
          <t>rbf</t>
        </is>
      </c>
      <c r="H280" s="4" t="b">
        <v>1</v>
      </c>
      <c r="I280" s="4" t="b">
        <v>1</v>
      </c>
      <c r="J280" s="4" t="inlineStr">
        <is>
          <t>std</t>
        </is>
      </c>
      <c r="K280" s="4" t="inlineStr">
        <is>
          <t>log</t>
        </is>
      </c>
      <c r="L280" s="4" t="inlineStr">
        <is>
          <t>compact</t>
        </is>
      </c>
      <c r="M280" s="11" t="n">
        <v>-0.4866064781698362</v>
      </c>
      <c r="N280" s="11" t="n">
        <v>-0.0068929362163268</v>
      </c>
      <c r="O280" s="11" t="n">
        <v>-4.660602622246218</v>
      </c>
      <c r="P280" s="4" t="n">
        <v>1</v>
      </c>
      <c r="Q280" s="11" t="n">
        <v>0.6299250552972218</v>
      </c>
      <c r="R280" s="11" t="n">
        <v>0</v>
      </c>
      <c r="S280" s="11" t="n">
        <v>34.41320923975009</v>
      </c>
      <c r="T280" s="11" t="n">
        <v>24.60829640648704</v>
      </c>
      <c r="U280" s="11" t="n">
        <v>0.9212962962962964</v>
      </c>
      <c r="V280" s="11" t="n">
        <v>5.166440650895225</v>
      </c>
      <c r="W280" s="12" t="n">
        <v>29.49738025665283</v>
      </c>
    </row>
    <row r="281">
      <c r="A281" s="4" t="n">
        <v>280</v>
      </c>
      <c r="B281" s="4" t="inlineStr">
        <is>
          <t>elongation_pct</t>
        </is>
      </c>
      <c r="C281" s="4" t="inlineStr">
        <is>
          <t>Exp2_BO</t>
        </is>
      </c>
      <c r="D281" s="4" t="n">
        <v>1</v>
      </c>
      <c r="E281" s="4" t="n">
        <v>27</v>
      </c>
      <c r="F281" s="4" t="inlineStr">
        <is>
          <t>GP</t>
        </is>
      </c>
      <c r="G281" s="4" t="inlineStr">
        <is>
          <t>matern12</t>
        </is>
      </c>
      <c r="H281" s="4" t="b">
        <v>1</v>
      </c>
      <c r="I281" s="4" t="b">
        <v>0</v>
      </c>
      <c r="J281" s="4" t="inlineStr">
        <is>
          <t>std</t>
        </is>
      </c>
      <c r="K281" s="4" t="inlineStr">
        <is>
          <t>log</t>
        </is>
      </c>
      <c r="L281" s="4" t="inlineStr">
        <is>
          <t>compact</t>
        </is>
      </c>
      <c r="M281" s="11" t="n">
        <v>-0.4663445006471365</v>
      </c>
      <c r="N281" s="11" t="n">
        <v>-1.129690146884917</v>
      </c>
      <c r="O281" s="11" t="n">
        <v>-5.439034619174159</v>
      </c>
      <c r="P281" s="4" t="n">
        <v>1</v>
      </c>
      <c r="Q281" s="11" t="n">
        <v>0.5866949184044846</v>
      </c>
      <c r="R281" s="11" t="n">
        <v>0</v>
      </c>
      <c r="S281" s="11" t="n">
        <v>36.3676891353348</v>
      </c>
      <c r="T281" s="11" t="n">
        <v>25.5193086435225</v>
      </c>
      <c r="U281" s="11" t="n">
        <v>0.9351851851851852</v>
      </c>
      <c r="V281" s="11" t="n">
        <v>5.219409214875193</v>
      </c>
      <c r="W281" s="12" t="n">
        <v>53.10531044006348</v>
      </c>
    </row>
    <row r="282">
      <c r="A282" s="4" t="n">
        <v>281</v>
      </c>
      <c r="B282" s="4" t="inlineStr">
        <is>
          <t>elongation_pct</t>
        </is>
      </c>
      <c r="C282" s="4" t="inlineStr">
        <is>
          <t>Exp2_BO</t>
        </is>
      </c>
      <c r="D282" s="4" t="n">
        <v>1</v>
      </c>
      <c r="E282" s="4" t="n">
        <v>28</v>
      </c>
      <c r="F282" s="4" t="inlineStr">
        <is>
          <t>GP</t>
        </is>
      </c>
      <c r="G282" s="4" t="inlineStr">
        <is>
          <t>matern12</t>
        </is>
      </c>
      <c r="H282" s="4" t="b">
        <v>1</v>
      </c>
      <c r="I282" s="4" t="b">
        <v>1</v>
      </c>
      <c r="J282" s="4" t="inlineStr">
        <is>
          <t>std</t>
        </is>
      </c>
      <c r="K282" s="4" t="inlineStr">
        <is>
          <t>log</t>
        </is>
      </c>
      <c r="L282" s="4" t="inlineStr">
        <is>
          <t>compact</t>
        </is>
      </c>
      <c r="M282" s="11" t="n">
        <v>-1</v>
      </c>
      <c r="N282" s="11" t="n">
        <v>-0.0068929362163268</v>
      </c>
      <c r="O282" s="11" t="n">
        <v>-4.660602622246218</v>
      </c>
      <c r="P282" s="4" t="n">
        <v>1</v>
      </c>
      <c r="Q282" s="11" t="n">
        <v>0.6376650961821482</v>
      </c>
      <c r="R282" s="11" t="n">
        <v>0</v>
      </c>
      <c r="S282" s="11" t="n">
        <v>34.05143506140183</v>
      </c>
      <c r="T282" s="11" t="n">
        <v>24.30389931973637</v>
      </c>
      <c r="U282" s="11" t="n">
        <v>0.9305555555555556</v>
      </c>
      <c r="V282" s="11" t="n">
        <v>5.129667378578956</v>
      </c>
      <c r="W282" s="12" t="n">
        <v>46.53006362915039</v>
      </c>
    </row>
    <row r="283">
      <c r="A283" s="4" t="n">
        <v>282</v>
      </c>
      <c r="B283" s="4" t="inlineStr">
        <is>
          <t>elongation_pct</t>
        </is>
      </c>
      <c r="C283" s="4" t="inlineStr">
        <is>
          <t>Exp2_BO</t>
        </is>
      </c>
      <c r="D283" s="4" t="n">
        <v>1</v>
      </c>
      <c r="E283" s="4" t="n">
        <v>29</v>
      </c>
      <c r="F283" s="4" t="inlineStr">
        <is>
          <t>GP</t>
        </is>
      </c>
      <c r="G283" s="4" t="inlineStr">
        <is>
          <t>matern12</t>
        </is>
      </c>
      <c r="H283" s="4" t="b">
        <v>0</v>
      </c>
      <c r="I283" s="4" t="b">
        <v>0</v>
      </c>
      <c r="J283" s="4" t="inlineStr">
        <is>
          <t>std</t>
        </is>
      </c>
      <c r="K283" s="4" t="inlineStr">
        <is>
          <t>none</t>
        </is>
      </c>
      <c r="L283" s="4" t="inlineStr">
        <is>
          <t>compact</t>
        </is>
      </c>
      <c r="M283" s="11" t="n">
        <v>0.988033582592874</v>
      </c>
      <c r="N283" s="11" t="n">
        <v>-0.8703455916864606</v>
      </c>
      <c r="O283" s="11" t="n">
        <v>-5.410240444977115</v>
      </c>
      <c r="P283" s="4" t="n">
        <v>1</v>
      </c>
      <c r="Q283" s="11" t="n">
        <v>0.5804734496368047</v>
      </c>
      <c r="R283" s="11" t="n">
        <v>0</v>
      </c>
      <c r="S283" s="11" t="n">
        <v>36.64038759489675</v>
      </c>
      <c r="T283" s="11" t="n">
        <v>26.3917260032295</v>
      </c>
      <c r="U283" s="11" t="n">
        <v>0.9305555555555556</v>
      </c>
      <c r="V283" s="11" t="n">
        <v>5.112331131987589</v>
      </c>
      <c r="W283" s="12" t="n">
        <v>2.308413505554199</v>
      </c>
    </row>
    <row r="284">
      <c r="A284" s="4" t="n">
        <v>283</v>
      </c>
      <c r="B284" s="4" t="inlineStr">
        <is>
          <t>elongation_pct</t>
        </is>
      </c>
      <c r="C284" s="4" t="inlineStr">
        <is>
          <t>Exp2_BO</t>
        </is>
      </c>
      <c r="D284" s="4" t="n">
        <v>2</v>
      </c>
      <c r="E284" s="4" t="n">
        <v>0</v>
      </c>
      <c r="F284" s="4" t="inlineStr">
        <is>
          <t>GP</t>
        </is>
      </c>
      <c r="G284" s="4" t="inlineStr">
        <is>
          <t>rq</t>
        </is>
      </c>
      <c r="H284" s="4" t="b">
        <v>1</v>
      </c>
      <c r="I284" s="4" t="b">
        <v>0</v>
      </c>
      <c r="J284" s="4" t="inlineStr">
        <is>
          <t>std</t>
        </is>
      </c>
      <c r="K284" s="4" t="inlineStr">
        <is>
          <t>none</t>
        </is>
      </c>
      <c r="L284" s="4" t="inlineStr">
        <is>
          <t>compact</t>
        </is>
      </c>
      <c r="M284" s="11" t="n">
        <v>-0.8161681157298062</v>
      </c>
      <c r="N284" s="11" t="n">
        <v>-1.199698422103038</v>
      </c>
      <c r="O284" s="11" t="n">
        <v>-3.085757892752821</v>
      </c>
      <c r="P284" s="4" t="n">
        <v>1</v>
      </c>
      <c r="Q284" s="11" t="n">
        <v>0.5846139561413508</v>
      </c>
      <c r="R284" s="11" t="n">
        <v>0</v>
      </c>
      <c r="S284" s="11" t="n">
        <v>36.45912857136219</v>
      </c>
      <c r="T284" s="11" t="n">
        <v>26.31425041591794</v>
      </c>
      <c r="U284" s="11" t="n">
        <v>0.9305555555555556</v>
      </c>
      <c r="V284" s="11" t="n">
        <v>5.121590597322497</v>
      </c>
      <c r="W284" s="12" t="n">
        <v>6.008929967880249</v>
      </c>
    </row>
    <row r="285">
      <c r="A285" s="4" t="n">
        <v>284</v>
      </c>
      <c r="B285" s="4" t="inlineStr">
        <is>
          <t>elongation_pct</t>
        </is>
      </c>
      <c r="C285" s="4" t="inlineStr">
        <is>
          <t>Exp2_BO</t>
        </is>
      </c>
      <c r="D285" s="4" t="n">
        <v>2</v>
      </c>
      <c r="E285" s="4" t="n">
        <v>1</v>
      </c>
      <c r="F285" s="4" t="inlineStr">
        <is>
          <t>GP</t>
        </is>
      </c>
      <c r="G285" s="4" t="inlineStr">
        <is>
          <t>rq</t>
        </is>
      </c>
      <c r="H285" s="4" t="b">
        <v>1</v>
      </c>
      <c r="I285" s="4" t="b">
        <v>1</v>
      </c>
      <c r="J285" s="4" t="inlineStr">
        <is>
          <t>std</t>
        </is>
      </c>
      <c r="K285" s="4" t="inlineStr">
        <is>
          <t>log</t>
        </is>
      </c>
      <c r="L285" s="4" t="inlineStr">
        <is>
          <t>full_agg</t>
        </is>
      </c>
      <c r="M285" s="11" t="n">
        <v>0.3148660297511851</v>
      </c>
      <c r="N285" s="11" t="n">
        <v>-1.313203011658716</v>
      </c>
      <c r="O285" s="11" t="n">
        <v>-5.399750946778656</v>
      </c>
      <c r="P285" s="4" t="n">
        <v>1</v>
      </c>
      <c r="Q285" s="11" t="n">
        <v>0.5281304757698007</v>
      </c>
      <c r="R285" s="11" t="n">
        <v>0</v>
      </c>
      <c r="S285" s="11" t="n">
        <v>38.8589711908995</v>
      </c>
      <c r="T285" s="11" t="n">
        <v>28.29559458028861</v>
      </c>
      <c r="U285" s="11" t="n">
        <v>0.9212962962962964</v>
      </c>
      <c r="V285" s="11" t="n">
        <v>5.184248084257706</v>
      </c>
      <c r="W285" s="12" t="n">
        <v>24.76400327682495</v>
      </c>
    </row>
    <row r="286">
      <c r="A286" s="4" t="n">
        <v>285</v>
      </c>
      <c r="B286" s="4" t="inlineStr">
        <is>
          <t>elongation_pct</t>
        </is>
      </c>
      <c r="C286" s="4" t="inlineStr">
        <is>
          <t>Exp2_BO</t>
        </is>
      </c>
      <c r="D286" s="4" t="n">
        <v>2</v>
      </c>
      <c r="E286" s="4" t="n">
        <v>2</v>
      </c>
      <c r="F286" s="4" t="inlineStr">
        <is>
          <t>GP</t>
        </is>
      </c>
      <c r="G286" s="4" t="inlineStr">
        <is>
          <t>matern52</t>
        </is>
      </c>
      <c r="H286" s="4" t="b">
        <v>1</v>
      </c>
      <c r="I286" s="4" t="b">
        <v>1</v>
      </c>
      <c r="J286" s="4" t="inlineStr">
        <is>
          <t>log1p</t>
        </is>
      </c>
      <c r="K286" s="4" t="inlineStr">
        <is>
          <t>log</t>
        </is>
      </c>
      <c r="L286" s="4" t="inlineStr">
        <is>
          <t>full_agg</t>
        </is>
      </c>
      <c r="M286" s="11" t="n">
        <v>0.2663687985482328</v>
      </c>
      <c r="N286" s="11" t="n">
        <v>-0.0976921425189702</v>
      </c>
      <c r="O286" s="11" t="n">
        <v>-3.267740710761499</v>
      </c>
      <c r="P286" s="4" t="n">
        <v>1</v>
      </c>
      <c r="Q286" s="11" t="n">
        <v>0.6087643270805634</v>
      </c>
      <c r="R286" s="11" t="n">
        <v>0</v>
      </c>
      <c r="S286" s="11" t="n">
        <v>35.38339959773004</v>
      </c>
      <c r="T286" s="11" t="n">
        <v>26.02997732669722</v>
      </c>
      <c r="U286" s="11" t="n">
        <v>0.9212962962962964</v>
      </c>
      <c r="V286" s="11" t="n">
        <v>5.214879030560642</v>
      </c>
      <c r="W286" s="12" t="n">
        <v>117.7742049694061</v>
      </c>
    </row>
    <row r="287">
      <c r="A287" s="4" t="n">
        <v>286</v>
      </c>
      <c r="B287" s="4" t="inlineStr">
        <is>
          <t>elongation_pct</t>
        </is>
      </c>
      <c r="C287" s="4" t="inlineStr">
        <is>
          <t>Exp2_BO</t>
        </is>
      </c>
      <c r="D287" s="4" t="n">
        <v>2</v>
      </c>
      <c r="E287" s="4" t="n">
        <v>3</v>
      </c>
      <c r="F287" s="4" t="inlineStr">
        <is>
          <t>GP</t>
        </is>
      </c>
      <c r="G287" s="4" t="inlineStr">
        <is>
          <t>matern12</t>
        </is>
      </c>
      <c r="H287" s="4" t="b">
        <v>1</v>
      </c>
      <c r="I287" s="4" t="b">
        <v>0</v>
      </c>
      <c r="J287" s="4" t="inlineStr">
        <is>
          <t>std</t>
        </is>
      </c>
      <c r="K287" s="4" t="inlineStr">
        <is>
          <t>none</t>
        </is>
      </c>
      <c r="L287" s="4" t="inlineStr">
        <is>
          <t>full_agg</t>
        </is>
      </c>
      <c r="M287" s="11" t="n">
        <v>0.0221319471391541</v>
      </c>
      <c r="N287" s="11" t="n">
        <v>-0.3263717714982626</v>
      </c>
      <c r="O287" s="11" t="n">
        <v>-2.897744230109242</v>
      </c>
      <c r="P287" s="4" t="n">
        <v>1</v>
      </c>
      <c r="Q287" s="11" t="n">
        <v>0.5945570835755091</v>
      </c>
      <c r="R287" s="11" t="n">
        <v>0</v>
      </c>
      <c r="S287" s="11" t="n">
        <v>36.0201230602057</v>
      </c>
      <c r="T287" s="11" t="n">
        <v>25.79229403579154</v>
      </c>
      <c r="U287" s="11" t="n">
        <v>0.9212962962962964</v>
      </c>
      <c r="V287" s="11" t="n">
        <v>5.129399658371621</v>
      </c>
      <c r="W287" s="12" t="n">
        <v>92.5581591129303</v>
      </c>
    </row>
    <row r="288">
      <c r="A288" s="4" t="n">
        <v>287</v>
      </c>
      <c r="B288" s="4" t="inlineStr">
        <is>
          <t>elongation_pct</t>
        </is>
      </c>
      <c r="C288" s="4" t="inlineStr">
        <is>
          <t>Exp2_BO</t>
        </is>
      </c>
      <c r="D288" s="4" t="n">
        <v>2</v>
      </c>
      <c r="E288" s="4" t="n">
        <v>4</v>
      </c>
      <c r="F288" s="4" t="inlineStr">
        <is>
          <t>GP</t>
        </is>
      </c>
      <c r="G288" s="4" t="inlineStr">
        <is>
          <t>rq</t>
        </is>
      </c>
      <c r="H288" s="4" t="b">
        <v>1</v>
      </c>
      <c r="I288" s="4" t="b">
        <v>1</v>
      </c>
      <c r="J288" s="4" t="inlineStr">
        <is>
          <t>log1p</t>
        </is>
      </c>
      <c r="K288" s="4" t="inlineStr">
        <is>
          <t>none</t>
        </is>
      </c>
      <c r="L288" s="4" t="inlineStr">
        <is>
          <t>full_agg</t>
        </is>
      </c>
      <c r="M288" s="11" t="n">
        <v>0.3875176844044601</v>
      </c>
      <c r="N288" s="11" t="n">
        <v>-2.678378074639236</v>
      </c>
      <c r="O288" s="11" t="n">
        <v>-5.581825766268234</v>
      </c>
      <c r="P288" s="4" t="n">
        <v>1</v>
      </c>
      <c r="Q288" s="11" t="n">
        <v>0.5012466128418105</v>
      </c>
      <c r="R288" s="11" t="n">
        <v>0</v>
      </c>
      <c r="S288" s="11" t="n">
        <v>39.95059600005678</v>
      </c>
      <c r="T288" s="11" t="n">
        <v>29.15784918461048</v>
      </c>
      <c r="U288" s="11" t="n">
        <v>0.925925925925926</v>
      </c>
      <c r="V288" s="11" t="n">
        <v>5.200511378476962</v>
      </c>
      <c r="W288" s="12" t="n">
        <v>9.774218320846558</v>
      </c>
    </row>
    <row r="289">
      <c r="A289" s="4" t="n">
        <v>288</v>
      </c>
      <c r="B289" s="4" t="inlineStr">
        <is>
          <t>elongation_pct</t>
        </is>
      </c>
      <c r="C289" s="4" t="inlineStr">
        <is>
          <t>Exp2_BO</t>
        </is>
      </c>
      <c r="D289" s="4" t="n">
        <v>2</v>
      </c>
      <c r="E289" s="4" t="n">
        <v>5</v>
      </c>
      <c r="F289" s="4" t="inlineStr">
        <is>
          <t>GP</t>
        </is>
      </c>
      <c r="G289" s="4" t="inlineStr">
        <is>
          <t>rq</t>
        </is>
      </c>
      <c r="H289" s="4" t="b">
        <v>1</v>
      </c>
      <c r="I289" s="4" t="b">
        <v>0</v>
      </c>
      <c r="J289" s="4" t="inlineStr">
        <is>
          <t>log1p</t>
        </is>
      </c>
      <c r="K289" s="4" t="inlineStr">
        <is>
          <t>log</t>
        </is>
      </c>
      <c r="L289" s="4" t="inlineStr">
        <is>
          <t>full_cure6</t>
        </is>
      </c>
      <c r="M289" s="11" t="n">
        <v>0.6984726472288691</v>
      </c>
      <c r="N289" s="11" t="n">
        <v>-1.066691192383448</v>
      </c>
      <c r="O289" s="11" t="n">
        <v>-4.373830409297854</v>
      </c>
      <c r="P289" s="4" t="n">
        <v>1</v>
      </c>
      <c r="Q289" s="11" t="n">
        <v>0.507496705343861</v>
      </c>
      <c r="R289" s="11" t="n">
        <v>0</v>
      </c>
      <c r="S289" s="11" t="n">
        <v>39.69948781150009</v>
      </c>
      <c r="T289" s="11" t="n">
        <v>29.21047333298612</v>
      </c>
      <c r="U289" s="11" t="n">
        <v>0.9351851851851852</v>
      </c>
      <c r="V289" s="11" t="n">
        <v>5.142910668221025</v>
      </c>
      <c r="W289" s="12" t="n">
        <v>3.687505483627319</v>
      </c>
    </row>
    <row r="290">
      <c r="A290" s="4" t="n">
        <v>289</v>
      </c>
      <c r="B290" s="4" t="inlineStr">
        <is>
          <t>elongation_pct</t>
        </is>
      </c>
      <c r="C290" s="4" t="inlineStr">
        <is>
          <t>Exp2_BO</t>
        </is>
      </c>
      <c r="D290" s="4" t="n">
        <v>2</v>
      </c>
      <c r="E290" s="4" t="n">
        <v>6</v>
      </c>
      <c r="F290" s="4" t="inlineStr">
        <is>
          <t>GP</t>
        </is>
      </c>
      <c r="G290" s="4" t="inlineStr">
        <is>
          <t>matern32</t>
        </is>
      </c>
      <c r="H290" s="4" t="b">
        <v>0</v>
      </c>
      <c r="I290" s="4" t="b">
        <v>1</v>
      </c>
      <c r="J290" s="4" t="inlineStr">
        <is>
          <t>log1p</t>
        </is>
      </c>
      <c r="K290" s="4" t="inlineStr">
        <is>
          <t>none</t>
        </is>
      </c>
      <c r="L290" s="4" t="inlineStr">
        <is>
          <t>compact</t>
        </is>
      </c>
      <c r="M290" s="11" t="n">
        <v>-0.12362766768175</v>
      </c>
      <c r="N290" s="11" t="n">
        <v>-0.3232796701000713</v>
      </c>
      <c r="O290" s="11" t="n">
        <v>-3.545132246389651</v>
      </c>
      <c r="P290" s="4" t="n">
        <v>1</v>
      </c>
      <c r="Q290" s="11" t="n">
        <v>0.5851353691874706</v>
      </c>
      <c r="R290" s="11" t="n">
        <v>0</v>
      </c>
      <c r="S290" s="11" t="n">
        <v>36.43623873795161</v>
      </c>
      <c r="T290" s="11" t="n">
        <v>26.43737234312178</v>
      </c>
      <c r="U290" s="11" t="n">
        <v>0.9351851851851852</v>
      </c>
      <c r="V290" s="11" t="n">
        <v>5.095414813735134</v>
      </c>
      <c r="W290" s="12" t="n">
        <v>7.827133655548096</v>
      </c>
    </row>
    <row r="291">
      <c r="A291" s="4" t="n">
        <v>290</v>
      </c>
      <c r="B291" s="4" t="inlineStr">
        <is>
          <t>elongation_pct</t>
        </is>
      </c>
      <c r="C291" s="4" t="inlineStr">
        <is>
          <t>Exp2_BO</t>
        </is>
      </c>
      <c r="D291" s="4" t="n">
        <v>2</v>
      </c>
      <c r="E291" s="4" t="n">
        <v>7</v>
      </c>
      <c r="F291" s="4" t="inlineStr">
        <is>
          <t>GP</t>
        </is>
      </c>
      <c r="G291" s="4" t="inlineStr">
        <is>
          <t>rbf</t>
        </is>
      </c>
      <c r="H291" s="4" t="b">
        <v>0</v>
      </c>
      <c r="I291" s="4" t="b">
        <v>0</v>
      </c>
      <c r="J291" s="4" t="inlineStr">
        <is>
          <t>std</t>
        </is>
      </c>
      <c r="K291" s="4" t="inlineStr">
        <is>
          <t>none</t>
        </is>
      </c>
      <c r="L291" s="4" t="inlineStr">
        <is>
          <t>full_cure6</t>
        </is>
      </c>
      <c r="M291" s="11" t="n">
        <v>-0.3219492507013799</v>
      </c>
      <c r="N291" s="11" t="n">
        <v>-1.431514488228708</v>
      </c>
      <c r="O291" s="11" t="n">
        <v>-5.135106435923943</v>
      </c>
      <c r="P291" s="4" t="n">
        <v>1</v>
      </c>
      <c r="Q291" s="11" t="n">
        <v>0.4920844003104293</v>
      </c>
      <c r="R291" s="11" t="n">
        <v>0</v>
      </c>
      <c r="S291" s="11" t="n">
        <v>40.31587680401739</v>
      </c>
      <c r="T291" s="11" t="n">
        <v>29.64972681499535</v>
      </c>
      <c r="U291" s="11" t="n">
        <v>0.9351851851851852</v>
      </c>
      <c r="V291" s="11" t="n">
        <v>5.138375558291818</v>
      </c>
      <c r="W291" s="12" t="n">
        <v>1.862170934677124</v>
      </c>
    </row>
    <row r="292">
      <c r="A292" s="4" t="n">
        <v>291</v>
      </c>
      <c r="B292" s="4" t="inlineStr">
        <is>
          <t>elongation_pct</t>
        </is>
      </c>
      <c r="C292" s="4" t="inlineStr">
        <is>
          <t>Exp2_BO</t>
        </is>
      </c>
      <c r="D292" s="4" t="n">
        <v>2</v>
      </c>
      <c r="E292" s="4" t="n">
        <v>8</v>
      </c>
      <c r="F292" s="4" t="inlineStr">
        <is>
          <t>GP</t>
        </is>
      </c>
      <c r="G292" s="4" t="inlineStr">
        <is>
          <t>matern52</t>
        </is>
      </c>
      <c r="H292" s="4" t="b">
        <v>0</v>
      </c>
      <c r="I292" s="4" t="b">
        <v>1</v>
      </c>
      <c r="J292" s="4" t="inlineStr">
        <is>
          <t>std</t>
        </is>
      </c>
      <c r="K292" s="4" t="inlineStr">
        <is>
          <t>none</t>
        </is>
      </c>
      <c r="L292" s="4" t="inlineStr">
        <is>
          <t>compact</t>
        </is>
      </c>
      <c r="M292" s="11" t="n">
        <v>0.9949751384265748</v>
      </c>
      <c r="N292" s="11" t="n">
        <v>-0.7345955528160788</v>
      </c>
      <c r="O292" s="11" t="n">
        <v>-4.329358811579931</v>
      </c>
      <c r="P292" s="4" t="n">
        <v>1</v>
      </c>
      <c r="Q292" s="11" t="n">
        <v>0.5984011381924609</v>
      </c>
      <c r="R292" s="11" t="n">
        <v>0</v>
      </c>
      <c r="S292" s="11" t="n">
        <v>35.84896076234416</v>
      </c>
      <c r="T292" s="11" t="n">
        <v>25.4985746524524</v>
      </c>
      <c r="U292" s="11" t="n">
        <v>0.9305555555555556</v>
      </c>
      <c r="V292" s="11" t="n">
        <v>5.086606537820568</v>
      </c>
      <c r="W292" s="12" t="n">
        <v>8.921797037124634</v>
      </c>
    </row>
    <row r="293">
      <c r="A293" s="4" t="n">
        <v>292</v>
      </c>
      <c r="B293" s="4" t="inlineStr">
        <is>
          <t>elongation_pct</t>
        </is>
      </c>
      <c r="C293" s="4" t="inlineStr">
        <is>
          <t>Exp2_BO</t>
        </is>
      </c>
      <c r="D293" s="4" t="n">
        <v>2</v>
      </c>
      <c r="E293" s="4" t="n">
        <v>9</v>
      </c>
      <c r="F293" s="4" t="inlineStr">
        <is>
          <t>GP</t>
        </is>
      </c>
      <c r="G293" s="4" t="inlineStr">
        <is>
          <t>matern52</t>
        </is>
      </c>
      <c r="H293" s="4" t="b">
        <v>1</v>
      </c>
      <c r="I293" s="4" t="b">
        <v>1</v>
      </c>
      <c r="J293" s="4" t="inlineStr">
        <is>
          <t>log1p</t>
        </is>
      </c>
      <c r="K293" s="4" t="inlineStr">
        <is>
          <t>none</t>
        </is>
      </c>
      <c r="L293" s="4" t="inlineStr">
        <is>
          <t>full</t>
        </is>
      </c>
      <c r="M293" s="11" t="n">
        <v>0.3433147062167734</v>
      </c>
      <c r="N293" s="11" t="n">
        <v>-0.1765228220931489</v>
      </c>
      <c r="O293" s="11" t="n">
        <v>-2.084171358438793</v>
      </c>
      <c r="P293" s="4" t="n">
        <v>1</v>
      </c>
      <c r="Q293" s="11" t="n">
        <v>0.5676914104861204</v>
      </c>
      <c r="R293" s="11" t="n">
        <v>0</v>
      </c>
      <c r="S293" s="11" t="n">
        <v>37.19437504651475</v>
      </c>
      <c r="T293" s="11" t="n">
        <v>27.39525157381271</v>
      </c>
      <c r="U293" s="11" t="n">
        <v>0.9166666666666666</v>
      </c>
      <c r="V293" s="11" t="n">
        <v>5.16908588484275</v>
      </c>
      <c r="W293" s="12" t="n">
        <v>65.55995512008667</v>
      </c>
    </row>
    <row r="294">
      <c r="A294" s="4" t="n">
        <v>293</v>
      </c>
      <c r="B294" s="4" t="inlineStr">
        <is>
          <t>elongation_pct</t>
        </is>
      </c>
      <c r="C294" s="4" t="inlineStr">
        <is>
          <t>Exp2_BO</t>
        </is>
      </c>
      <c r="D294" s="4" t="n">
        <v>2</v>
      </c>
      <c r="E294" s="4" t="n">
        <v>10</v>
      </c>
      <c r="F294" s="4" t="inlineStr">
        <is>
          <t>GP</t>
        </is>
      </c>
      <c r="G294" s="4" t="inlineStr">
        <is>
          <t>matern12</t>
        </is>
      </c>
      <c r="H294" s="4" t="b">
        <v>0</v>
      </c>
      <c r="I294" s="4" t="b">
        <v>1</v>
      </c>
      <c r="J294" s="4" t="inlineStr">
        <is>
          <t>log1p</t>
        </is>
      </c>
      <c r="K294" s="4" t="inlineStr">
        <is>
          <t>log</t>
        </is>
      </c>
      <c r="L294" s="4" t="inlineStr">
        <is>
          <t>full_agg</t>
        </is>
      </c>
      <c r="M294" s="11" t="n">
        <v>-0.3598575293763872</v>
      </c>
      <c r="N294" s="11" t="n">
        <v>-0.0807710064531859</v>
      </c>
      <c r="O294" s="11" t="n">
        <v>-5.263148312126949</v>
      </c>
      <c r="P294" s="4" t="n">
        <v>1</v>
      </c>
      <c r="Q294" s="11" t="n">
        <v>0.484619434971334</v>
      </c>
      <c r="R294" s="11" t="n">
        <v>0</v>
      </c>
      <c r="S294" s="11" t="n">
        <v>40.61106252615206</v>
      </c>
      <c r="T294" s="11" t="n">
        <v>29.46097236796793</v>
      </c>
      <c r="U294" s="11" t="n">
        <v>0.9166666666666666</v>
      </c>
      <c r="V294" s="11" t="n">
        <v>5.235431839672485</v>
      </c>
      <c r="W294" s="12" t="n">
        <v>4.665544748306274</v>
      </c>
    </row>
    <row r="295">
      <c r="A295" s="4" t="n">
        <v>294</v>
      </c>
      <c r="B295" s="4" t="inlineStr">
        <is>
          <t>elongation_pct</t>
        </is>
      </c>
      <c r="C295" s="4" t="inlineStr">
        <is>
          <t>Exp2_BO</t>
        </is>
      </c>
      <c r="D295" s="4" t="n">
        <v>2</v>
      </c>
      <c r="E295" s="4" t="n">
        <v>11</v>
      </c>
      <c r="F295" s="4" t="inlineStr">
        <is>
          <t>GP</t>
        </is>
      </c>
      <c r="G295" s="4" t="inlineStr">
        <is>
          <t>rbf</t>
        </is>
      </c>
      <c r="H295" s="4" t="b">
        <v>1</v>
      </c>
      <c r="I295" s="4" t="b">
        <v>1</v>
      </c>
      <c r="J295" s="4" t="inlineStr">
        <is>
          <t>std</t>
        </is>
      </c>
      <c r="K295" s="4" t="inlineStr">
        <is>
          <t>log</t>
        </is>
      </c>
      <c r="L295" s="4" t="inlineStr">
        <is>
          <t>full_agg</t>
        </is>
      </c>
      <c r="M295" s="11" t="n">
        <v>0.2830027788126881</v>
      </c>
      <c r="N295" s="11" t="n">
        <v>-1.824921508757693</v>
      </c>
      <c r="O295" s="11" t="n">
        <v>-2.023391030051814</v>
      </c>
      <c r="P295" s="4" t="n">
        <v>1</v>
      </c>
      <c r="Q295" s="11" t="n">
        <v>0.4878079725008538</v>
      </c>
      <c r="R295" s="11" t="n">
        <v>0</v>
      </c>
      <c r="S295" s="11" t="n">
        <v>40.48524210473636</v>
      </c>
      <c r="T295" s="11" t="n">
        <v>29.12681266440225</v>
      </c>
      <c r="U295" s="11" t="n">
        <v>0.8981481481481481</v>
      </c>
      <c r="V295" s="11" t="n">
        <v>5.315809283064664</v>
      </c>
      <c r="W295" s="12" t="n">
        <v>61.77315020561218</v>
      </c>
    </row>
    <row r="296">
      <c r="A296" s="4" t="n">
        <v>295</v>
      </c>
      <c r="B296" s="4" t="inlineStr">
        <is>
          <t>elongation_pct</t>
        </is>
      </c>
      <c r="C296" s="4" t="inlineStr">
        <is>
          <t>Exp2_BO</t>
        </is>
      </c>
      <c r="D296" s="4" t="n">
        <v>2</v>
      </c>
      <c r="E296" s="4" t="n">
        <v>12</v>
      </c>
      <c r="F296" s="4" t="inlineStr">
        <is>
          <t>GP</t>
        </is>
      </c>
      <c r="G296" s="4" t="inlineStr">
        <is>
          <t>matern52</t>
        </is>
      </c>
      <c r="H296" s="4" t="b">
        <v>1</v>
      </c>
      <c r="I296" s="4" t="b">
        <v>1</v>
      </c>
      <c r="J296" s="4" t="inlineStr">
        <is>
          <t>std</t>
        </is>
      </c>
      <c r="K296" s="4" t="inlineStr">
        <is>
          <t>log</t>
        </is>
      </c>
      <c r="L296" s="4" t="inlineStr">
        <is>
          <t>full_agg</t>
        </is>
      </c>
      <c r="M296" s="11" t="n">
        <v>0.8779357754379689</v>
      </c>
      <c r="N296" s="11" t="n">
        <v>-1.543920824311528</v>
      </c>
      <c r="O296" s="11" t="n">
        <v>-5.979197169274361</v>
      </c>
      <c r="P296" s="4" t="n">
        <v>1</v>
      </c>
      <c r="Q296" s="11" t="n">
        <v>0.5620706835517872</v>
      </c>
      <c r="R296" s="11" t="n">
        <v>0</v>
      </c>
      <c r="S296" s="11" t="n">
        <v>37.43538839092675</v>
      </c>
      <c r="T296" s="11" t="n">
        <v>26.50498584521264</v>
      </c>
      <c r="U296" s="11" t="n">
        <v>0.9120370370370372</v>
      </c>
      <c r="V296" s="11" t="n">
        <v>5.283044733294087</v>
      </c>
      <c r="W296" s="12" t="n">
        <v>81.89673113822937</v>
      </c>
    </row>
    <row r="297">
      <c r="A297" s="4" t="n">
        <v>296</v>
      </c>
      <c r="B297" s="4" t="inlineStr">
        <is>
          <t>elongation_pct</t>
        </is>
      </c>
      <c r="C297" s="4" t="inlineStr">
        <is>
          <t>Exp2_BO</t>
        </is>
      </c>
      <c r="D297" s="4" t="n">
        <v>2</v>
      </c>
      <c r="E297" s="4" t="n">
        <v>13</v>
      </c>
      <c r="F297" s="4" t="inlineStr">
        <is>
          <t>GP</t>
        </is>
      </c>
      <c r="G297" s="4" t="inlineStr">
        <is>
          <t>matern52</t>
        </is>
      </c>
      <c r="H297" s="4" t="b">
        <v>0</v>
      </c>
      <c r="I297" s="4" t="b">
        <v>1</v>
      </c>
      <c r="J297" s="4" t="inlineStr">
        <is>
          <t>std</t>
        </is>
      </c>
      <c r="K297" s="4" t="inlineStr">
        <is>
          <t>log</t>
        </is>
      </c>
      <c r="L297" s="4" t="inlineStr">
        <is>
          <t>full_agg</t>
        </is>
      </c>
      <c r="M297" s="11" t="n">
        <v>0.4043190282066067</v>
      </c>
      <c r="N297" s="11" t="n">
        <v>-2.276996493547977</v>
      </c>
      <c r="O297" s="11" t="n">
        <v>-2.017783236370814</v>
      </c>
      <c r="P297" s="4" t="n">
        <v>1</v>
      </c>
      <c r="Q297" s="11" t="n">
        <v>0.5290382698417159</v>
      </c>
      <c r="R297" s="11" t="n">
        <v>0</v>
      </c>
      <c r="S297" s="11" t="n">
        <v>38.82157427883497</v>
      </c>
      <c r="T297" s="11" t="n">
        <v>28.29444661075352</v>
      </c>
      <c r="U297" s="11" t="n">
        <v>0.9212962962962964</v>
      </c>
      <c r="V297" s="11" t="n">
        <v>5.177371420127616</v>
      </c>
      <c r="W297" s="12" t="n">
        <v>8.029341220855713</v>
      </c>
    </row>
    <row r="298">
      <c r="A298" s="4" t="n">
        <v>297</v>
      </c>
      <c r="B298" s="4" t="inlineStr">
        <is>
          <t>elongation_pct</t>
        </is>
      </c>
      <c r="C298" s="4" t="inlineStr">
        <is>
          <t>Exp2_BO</t>
        </is>
      </c>
      <c r="D298" s="4" t="n">
        <v>2</v>
      </c>
      <c r="E298" s="4" t="n">
        <v>14</v>
      </c>
      <c r="F298" s="4" t="inlineStr">
        <is>
          <t>GP</t>
        </is>
      </c>
      <c r="G298" s="4" t="inlineStr">
        <is>
          <t>matern52</t>
        </is>
      </c>
      <c r="H298" s="4" t="b">
        <v>0</v>
      </c>
      <c r="I298" s="4" t="b">
        <v>1</v>
      </c>
      <c r="J298" s="4" t="inlineStr">
        <is>
          <t>log1p</t>
        </is>
      </c>
      <c r="K298" s="4" t="inlineStr">
        <is>
          <t>none</t>
        </is>
      </c>
      <c r="L298" s="4" t="inlineStr">
        <is>
          <t>compact</t>
        </is>
      </c>
      <c r="M298" s="11" t="n">
        <v>0.5725167611158606</v>
      </c>
      <c r="N298" s="11" t="n">
        <v>-2.949603134950183</v>
      </c>
      <c r="O298" s="11" t="n">
        <v>-5.746514670739116</v>
      </c>
      <c r="P298" s="4" t="n">
        <v>1</v>
      </c>
      <c r="Q298" s="11" t="n">
        <v>0.5846095430268485</v>
      </c>
      <c r="R298" s="11" t="n">
        <v>0</v>
      </c>
      <c r="S298" s="11" t="n">
        <v>36.45932224407227</v>
      </c>
      <c r="T298" s="11" t="n">
        <v>26.482117001679</v>
      </c>
      <c r="U298" s="11" t="n">
        <v>0.9351851851851852</v>
      </c>
      <c r="V298" s="11" t="n">
        <v>5.089984325826968</v>
      </c>
      <c r="W298" s="12" t="n">
        <v>5.604543685913086</v>
      </c>
    </row>
    <row r="299">
      <c r="A299" s="4" t="n">
        <v>298</v>
      </c>
      <c r="B299" s="4" t="inlineStr">
        <is>
          <t>elongation_pct</t>
        </is>
      </c>
      <c r="C299" s="4" t="inlineStr">
        <is>
          <t>Exp2_BO</t>
        </is>
      </c>
      <c r="D299" s="4" t="n">
        <v>2</v>
      </c>
      <c r="E299" s="4" t="n">
        <v>15</v>
      </c>
      <c r="F299" s="4" t="inlineStr">
        <is>
          <t>GP</t>
        </is>
      </c>
      <c r="G299" s="4" t="inlineStr">
        <is>
          <t>matern52</t>
        </is>
      </c>
      <c r="H299" s="4" t="b">
        <v>1</v>
      </c>
      <c r="I299" s="4" t="b">
        <v>1</v>
      </c>
      <c r="J299" s="4" t="inlineStr">
        <is>
          <t>log1p</t>
        </is>
      </c>
      <c r="K299" s="4" t="inlineStr">
        <is>
          <t>none</t>
        </is>
      </c>
      <c r="L299" s="4" t="inlineStr">
        <is>
          <t>full</t>
        </is>
      </c>
      <c r="M299" s="11" t="n">
        <v>-0.8030009224428374</v>
      </c>
      <c r="N299" s="11" t="n">
        <v>-2.17920135028536</v>
      </c>
      <c r="O299" s="11" t="n">
        <v>-4.0775670575148</v>
      </c>
      <c r="P299" s="4" t="n">
        <v>1</v>
      </c>
      <c r="Q299" s="11" t="n">
        <v>0.5165960817212994</v>
      </c>
      <c r="R299" s="11" t="n">
        <v>0</v>
      </c>
      <c r="S299" s="11" t="n">
        <v>39.33103877880785</v>
      </c>
      <c r="T299" s="11" t="n">
        <v>28.2166154517125</v>
      </c>
      <c r="U299" s="11" t="n">
        <v>0.9212962962962964</v>
      </c>
      <c r="V299" s="11" t="n">
        <v>5.249308652785328</v>
      </c>
      <c r="W299" s="12" t="n">
        <v>74.78695368766785</v>
      </c>
    </row>
    <row r="300">
      <c r="A300" s="4" t="n">
        <v>299</v>
      </c>
      <c r="B300" s="4" t="inlineStr">
        <is>
          <t>elongation_pct</t>
        </is>
      </c>
      <c r="C300" s="4" t="inlineStr">
        <is>
          <t>Exp2_BO</t>
        </is>
      </c>
      <c r="D300" s="4" t="n">
        <v>2</v>
      </c>
      <c r="E300" s="4" t="n">
        <v>16</v>
      </c>
      <c r="F300" s="4" t="inlineStr">
        <is>
          <t>GP</t>
        </is>
      </c>
      <c r="G300" s="4" t="inlineStr">
        <is>
          <t>matern32</t>
        </is>
      </c>
      <c r="H300" s="4" t="b">
        <v>0</v>
      </c>
      <c r="I300" s="4" t="b">
        <v>1</v>
      </c>
      <c r="J300" s="4" t="inlineStr">
        <is>
          <t>log1p</t>
        </is>
      </c>
      <c r="K300" s="4" t="inlineStr">
        <is>
          <t>log</t>
        </is>
      </c>
      <c r="L300" s="4" t="inlineStr">
        <is>
          <t>full_agg</t>
        </is>
      </c>
      <c r="M300" s="11" t="n">
        <v>0.971834033176989</v>
      </c>
      <c r="N300" s="11" t="n">
        <v>-0.5849960444612234</v>
      </c>
      <c r="O300" s="11" t="n">
        <v>-2.031323374180882</v>
      </c>
      <c r="P300" s="4" t="n">
        <v>1</v>
      </c>
      <c r="Q300" s="11" t="n">
        <v>0.4862590434966036</v>
      </c>
      <c r="R300" s="11" t="n">
        <v>0</v>
      </c>
      <c r="S300" s="11" t="n">
        <v>40.54641196316243</v>
      </c>
      <c r="T300" s="11" t="n">
        <v>29.442029989947</v>
      </c>
      <c r="U300" s="11" t="n">
        <v>0.9166666666666666</v>
      </c>
      <c r="V300" s="11" t="n">
        <v>5.224161035526027</v>
      </c>
      <c r="W300" s="12" t="n">
        <v>12.45429468154907</v>
      </c>
    </row>
    <row r="301">
      <c r="A301" s="4" t="n">
        <v>300</v>
      </c>
      <c r="B301" s="4" t="inlineStr">
        <is>
          <t>elongation_pct</t>
        </is>
      </c>
      <c r="C301" s="4" t="inlineStr">
        <is>
          <t>Exp2_BO</t>
        </is>
      </c>
      <c r="D301" s="4" t="n">
        <v>2</v>
      </c>
      <c r="E301" s="4" t="n">
        <v>17</v>
      </c>
      <c r="F301" s="4" t="inlineStr">
        <is>
          <t>GP</t>
        </is>
      </c>
      <c r="G301" s="4" t="inlineStr">
        <is>
          <t>rq</t>
        </is>
      </c>
      <c r="H301" s="4" t="b">
        <v>0</v>
      </c>
      <c r="I301" s="4" t="b">
        <v>0</v>
      </c>
      <c r="J301" s="4" t="inlineStr">
        <is>
          <t>std</t>
        </is>
      </c>
      <c r="K301" s="4" t="inlineStr">
        <is>
          <t>log</t>
        </is>
      </c>
      <c r="L301" s="4" t="inlineStr">
        <is>
          <t>full</t>
        </is>
      </c>
      <c r="M301" s="11" t="n">
        <v>-0.5998116262209656</v>
      </c>
      <c r="N301" s="11" t="n">
        <v>-2.737738556569257</v>
      </c>
      <c r="O301" s="11" t="n">
        <v>-3.590065561267977</v>
      </c>
      <c r="P301" s="4" t="n">
        <v>1</v>
      </c>
      <c r="Q301" s="11" t="n">
        <v>0.5041187296520724</v>
      </c>
      <c r="R301" s="11" t="n">
        <v>0</v>
      </c>
      <c r="S301" s="11" t="n">
        <v>39.83540034641026</v>
      </c>
      <c r="T301" s="11" t="n">
        <v>29.46002674226764</v>
      </c>
      <c r="U301" s="11" t="n">
        <v>0.9305555555555556</v>
      </c>
      <c r="V301" s="11" t="n">
        <v>5.207080945145877</v>
      </c>
      <c r="W301" s="12" t="n">
        <v>8.214898586273193</v>
      </c>
    </row>
    <row r="302">
      <c r="A302" s="4" t="n">
        <v>301</v>
      </c>
      <c r="B302" s="4" t="inlineStr">
        <is>
          <t>elongation_pct</t>
        </is>
      </c>
      <c r="C302" s="4" t="inlineStr">
        <is>
          <t>Exp2_BO</t>
        </is>
      </c>
      <c r="D302" s="4" t="n">
        <v>2</v>
      </c>
      <c r="E302" s="4" t="n">
        <v>18</v>
      </c>
      <c r="F302" s="4" t="inlineStr">
        <is>
          <t>GP</t>
        </is>
      </c>
      <c r="G302" s="4" t="inlineStr">
        <is>
          <t>rq</t>
        </is>
      </c>
      <c r="H302" s="4" t="b">
        <v>0</v>
      </c>
      <c r="I302" s="4" t="b">
        <v>1</v>
      </c>
      <c r="J302" s="4" t="inlineStr">
        <is>
          <t>std</t>
        </is>
      </c>
      <c r="K302" s="4" t="inlineStr">
        <is>
          <t>none</t>
        </is>
      </c>
      <c r="L302" s="4" t="inlineStr">
        <is>
          <t>compact</t>
        </is>
      </c>
      <c r="M302" s="11" t="n">
        <v>0.8708043407214117</v>
      </c>
      <c r="N302" s="11" t="n">
        <v>-1.234156126362712</v>
      </c>
      <c r="O302" s="11" t="n">
        <v>-4.309402885269861</v>
      </c>
      <c r="P302" s="4" t="n">
        <v>1</v>
      </c>
      <c r="Q302" s="11" t="n">
        <v>0.597895503961809</v>
      </c>
      <c r="R302" s="11" t="n">
        <v>0</v>
      </c>
      <c r="S302" s="11" t="n">
        <v>35.87152153313219</v>
      </c>
      <c r="T302" s="11" t="n">
        <v>25.44507600943344</v>
      </c>
      <c r="U302" s="11" t="n">
        <v>0.9305555555555556</v>
      </c>
      <c r="V302" s="11" t="n">
        <v>5.117126256078398</v>
      </c>
      <c r="W302" s="12" t="n">
        <v>13.04884958267212</v>
      </c>
    </row>
    <row r="303">
      <c r="A303" s="4" t="n">
        <v>302</v>
      </c>
      <c r="B303" s="4" t="inlineStr">
        <is>
          <t>elongation_pct</t>
        </is>
      </c>
      <c r="C303" s="4" t="inlineStr">
        <is>
          <t>Exp2_BO</t>
        </is>
      </c>
      <c r="D303" s="4" t="n">
        <v>2</v>
      </c>
      <c r="E303" s="4" t="n">
        <v>19</v>
      </c>
      <c r="F303" s="4" t="inlineStr">
        <is>
          <t>GP</t>
        </is>
      </c>
      <c r="G303" s="4" t="inlineStr">
        <is>
          <t>matern52</t>
        </is>
      </c>
      <c r="H303" s="4" t="b">
        <v>1</v>
      </c>
      <c r="I303" s="4" t="b">
        <v>1</v>
      </c>
      <c r="J303" s="4" t="inlineStr">
        <is>
          <t>log1p</t>
        </is>
      </c>
      <c r="K303" s="4" t="inlineStr">
        <is>
          <t>none</t>
        </is>
      </c>
      <c r="L303" s="4" t="inlineStr">
        <is>
          <t>full_agg</t>
        </is>
      </c>
      <c r="M303" s="11" t="n">
        <v>0.2663687985482328</v>
      </c>
      <c r="N303" s="11" t="n">
        <v>-0.0976921425189702</v>
      </c>
      <c r="O303" s="11" t="n">
        <v>-3.267740710761499</v>
      </c>
      <c r="P303" s="4" t="n">
        <v>1</v>
      </c>
      <c r="Q303" s="11" t="n">
        <v>0.6207997001111347</v>
      </c>
      <c r="R303" s="11" t="n">
        <v>0</v>
      </c>
      <c r="S303" s="11" t="n">
        <v>34.83490814524917</v>
      </c>
      <c r="T303" s="11" t="n">
        <v>25.61257657494863</v>
      </c>
      <c r="U303" s="11" t="n">
        <v>0.9305555555555556</v>
      </c>
      <c r="V303" s="11" t="n">
        <v>5.104849097486984</v>
      </c>
      <c r="W303" s="12" t="n">
        <v>82.21390867233276</v>
      </c>
    </row>
    <row r="304">
      <c r="A304" s="4" t="n">
        <v>303</v>
      </c>
      <c r="B304" s="4" t="inlineStr">
        <is>
          <t>elongation_pct</t>
        </is>
      </c>
      <c r="C304" s="4" t="inlineStr">
        <is>
          <t>Exp2_BO</t>
        </is>
      </c>
      <c r="D304" s="4" t="n">
        <v>2</v>
      </c>
      <c r="E304" s="4" t="n">
        <v>20</v>
      </c>
      <c r="F304" s="4" t="inlineStr">
        <is>
          <t>GP</t>
        </is>
      </c>
      <c r="G304" s="4" t="inlineStr">
        <is>
          <t>matern52</t>
        </is>
      </c>
      <c r="H304" s="4" t="b">
        <v>1</v>
      </c>
      <c r="I304" s="4" t="b">
        <v>1</v>
      </c>
      <c r="J304" s="4" t="inlineStr">
        <is>
          <t>std</t>
        </is>
      </c>
      <c r="K304" s="4" t="inlineStr">
        <is>
          <t>log</t>
        </is>
      </c>
      <c r="L304" s="4" t="inlineStr">
        <is>
          <t>compact</t>
        </is>
      </c>
      <c r="M304" s="11" t="n">
        <v>-0.8479961952814188</v>
      </c>
      <c r="N304" s="11" t="n">
        <v>-2.946142538678156</v>
      </c>
      <c r="O304" s="11" t="n">
        <v>-2.239985593298475</v>
      </c>
      <c r="P304" s="4" t="n">
        <v>1</v>
      </c>
      <c r="Q304" s="11" t="n">
        <v>0.6365437068683684</v>
      </c>
      <c r="R304" s="11" t="n">
        <v>0</v>
      </c>
      <c r="S304" s="11" t="n">
        <v>34.1040872017661</v>
      </c>
      <c r="T304" s="11" t="n">
        <v>24.48941919064302</v>
      </c>
      <c r="U304" s="11" t="n">
        <v>0.925925925925926</v>
      </c>
      <c r="V304" s="11" t="n">
        <v>5.144439584837127</v>
      </c>
      <c r="W304" s="12" t="n">
        <v>48.04951524734497</v>
      </c>
    </row>
    <row r="305">
      <c r="A305" s="4" t="n">
        <v>304</v>
      </c>
      <c r="B305" s="4" t="inlineStr">
        <is>
          <t>elongation_pct</t>
        </is>
      </c>
      <c r="C305" s="4" t="inlineStr">
        <is>
          <t>Exp2_BO</t>
        </is>
      </c>
      <c r="D305" s="4" t="n">
        <v>2</v>
      </c>
      <c r="E305" s="4" t="n">
        <v>21</v>
      </c>
      <c r="F305" s="4" t="inlineStr">
        <is>
          <t>GP</t>
        </is>
      </c>
      <c r="G305" s="4" t="inlineStr">
        <is>
          <t>matern52</t>
        </is>
      </c>
      <c r="H305" s="4" t="b">
        <v>1</v>
      </c>
      <c r="I305" s="4" t="b">
        <v>0</v>
      </c>
      <c r="J305" s="4" t="inlineStr">
        <is>
          <t>log1p</t>
        </is>
      </c>
      <c r="K305" s="4" t="inlineStr">
        <is>
          <t>log</t>
        </is>
      </c>
      <c r="L305" s="4" t="inlineStr">
        <is>
          <t>compact</t>
        </is>
      </c>
      <c r="M305" s="11" t="n">
        <v>-0.6595254796271397</v>
      </c>
      <c r="N305" s="11" t="n">
        <v>-1.790590506942385</v>
      </c>
      <c r="O305" s="11" t="n">
        <v>-2.460693103628782</v>
      </c>
      <c r="P305" s="4" t="n">
        <v>1</v>
      </c>
      <c r="Q305" s="11" t="n">
        <v>0.6008204065349482</v>
      </c>
      <c r="R305" s="11" t="n">
        <v>0</v>
      </c>
      <c r="S305" s="11" t="n">
        <v>35.74081894000722</v>
      </c>
      <c r="T305" s="11" t="n">
        <v>25.9823518732477</v>
      </c>
      <c r="U305" s="11" t="n">
        <v>0.9166666666666666</v>
      </c>
      <c r="V305" s="11" t="n">
        <v>5.160109824098937</v>
      </c>
      <c r="W305" s="12" t="n">
        <v>33.89174914360046</v>
      </c>
    </row>
    <row r="306">
      <c r="A306" s="4" t="n">
        <v>305</v>
      </c>
      <c r="B306" s="4" t="inlineStr">
        <is>
          <t>elongation_pct</t>
        </is>
      </c>
      <c r="C306" s="4" t="inlineStr">
        <is>
          <t>Exp2_BO</t>
        </is>
      </c>
      <c r="D306" s="4" t="n">
        <v>2</v>
      </c>
      <c r="E306" s="4" t="n">
        <v>22</v>
      </c>
      <c r="F306" s="4" t="inlineStr">
        <is>
          <t>GP</t>
        </is>
      </c>
      <c r="G306" s="4" t="inlineStr">
        <is>
          <t>matern52</t>
        </is>
      </c>
      <c r="H306" s="4" t="b">
        <v>1</v>
      </c>
      <c r="I306" s="4" t="b">
        <v>1</v>
      </c>
      <c r="J306" s="4" t="inlineStr">
        <is>
          <t>log1p</t>
        </is>
      </c>
      <c r="K306" s="4" t="inlineStr">
        <is>
          <t>log</t>
        </is>
      </c>
      <c r="L306" s="4" t="inlineStr">
        <is>
          <t>compact</t>
        </is>
      </c>
      <c r="M306" s="11" t="n">
        <v>-0.9720407362940742</v>
      </c>
      <c r="N306" s="11" t="n">
        <v>-1.370895584416934</v>
      </c>
      <c r="O306" s="11" t="n">
        <v>-2.15433441468578</v>
      </c>
      <c r="P306" s="4" t="n">
        <v>1</v>
      </c>
      <c r="Q306" s="11" t="n">
        <v>0.6260835053918672</v>
      </c>
      <c r="R306" s="11" t="n">
        <v>0</v>
      </c>
      <c r="S306" s="11" t="n">
        <v>34.59136066182869</v>
      </c>
      <c r="T306" s="11" t="n">
        <v>24.48966178698558</v>
      </c>
      <c r="U306" s="11" t="n">
        <v>0.9166666666666666</v>
      </c>
      <c r="V306" s="11" t="n">
        <v>5.160931001916987</v>
      </c>
      <c r="W306" s="12" t="n">
        <v>44.00439834594727</v>
      </c>
    </row>
    <row r="307">
      <c r="A307" s="4" t="n">
        <v>306</v>
      </c>
      <c r="B307" s="4" t="inlineStr">
        <is>
          <t>elongation_pct</t>
        </is>
      </c>
      <c r="C307" s="4" t="inlineStr">
        <is>
          <t>Exp2_BO</t>
        </is>
      </c>
      <c r="D307" s="4" t="n">
        <v>2</v>
      </c>
      <c r="E307" s="4" t="n">
        <v>23</v>
      </c>
      <c r="F307" s="4" t="inlineStr">
        <is>
          <t>GP</t>
        </is>
      </c>
      <c r="G307" s="4" t="inlineStr">
        <is>
          <t>rbf</t>
        </is>
      </c>
      <c r="H307" s="4" t="b">
        <v>1</v>
      </c>
      <c r="I307" s="4" t="b">
        <v>1</v>
      </c>
      <c r="J307" s="4" t="inlineStr">
        <is>
          <t>log1p</t>
        </is>
      </c>
      <c r="K307" s="4" t="inlineStr">
        <is>
          <t>log</t>
        </is>
      </c>
      <c r="L307" s="4" t="inlineStr">
        <is>
          <t>compact</t>
        </is>
      </c>
      <c r="M307" s="11" t="n">
        <v>-0.20599559132464</v>
      </c>
      <c r="N307" s="11" t="n">
        <v>-2.967198377860202</v>
      </c>
      <c r="O307" s="11" t="n">
        <v>-4.686581601280173</v>
      </c>
      <c r="P307" s="4" t="n">
        <v>1</v>
      </c>
      <c r="Q307" s="11" t="n">
        <v>0.5908576502876033</v>
      </c>
      <c r="R307" s="11" t="n">
        <v>0</v>
      </c>
      <c r="S307" s="11" t="n">
        <v>36.18408135024709</v>
      </c>
      <c r="T307" s="11" t="n">
        <v>25.81331702991123</v>
      </c>
      <c r="U307" s="11" t="n">
        <v>0.9166666666666666</v>
      </c>
      <c r="V307" s="11" t="n">
        <v>5.189281884283361</v>
      </c>
      <c r="W307" s="12" t="n">
        <v>29.14642524719238</v>
      </c>
    </row>
    <row r="308">
      <c r="A308" s="4" t="n">
        <v>307</v>
      </c>
      <c r="B308" s="4" t="inlineStr">
        <is>
          <t>elongation_pct</t>
        </is>
      </c>
      <c r="C308" s="4" t="inlineStr">
        <is>
          <t>Exp2_BO</t>
        </is>
      </c>
      <c r="D308" s="4" t="n">
        <v>2</v>
      </c>
      <c r="E308" s="4" t="n">
        <v>24</v>
      </c>
      <c r="F308" s="4" t="inlineStr">
        <is>
          <t>GP</t>
        </is>
      </c>
      <c r="G308" s="4" t="inlineStr">
        <is>
          <t>matern52</t>
        </is>
      </c>
      <c r="H308" s="4" t="b">
        <v>1</v>
      </c>
      <c r="I308" s="4" t="b">
        <v>1</v>
      </c>
      <c r="J308" s="4" t="inlineStr">
        <is>
          <t>std</t>
        </is>
      </c>
      <c r="K308" s="4" t="inlineStr">
        <is>
          <t>none</t>
        </is>
      </c>
      <c r="L308" s="4" t="inlineStr">
        <is>
          <t>compact</t>
        </is>
      </c>
      <c r="M308" s="11" t="n">
        <v>-0.8479961952814188</v>
      </c>
      <c r="N308" s="11" t="n">
        <v>-2.946142538678156</v>
      </c>
      <c r="O308" s="11" t="n">
        <v>-2.239985593298475</v>
      </c>
      <c r="P308" s="4" t="n">
        <v>1</v>
      </c>
      <c r="Q308" s="11" t="n">
        <v>0.6286510756306076</v>
      </c>
      <c r="R308" s="11" t="n">
        <v>0</v>
      </c>
      <c r="S308" s="11" t="n">
        <v>34.47239193109058</v>
      </c>
      <c r="T308" s="11" t="n">
        <v>24.50137912129608</v>
      </c>
      <c r="U308" s="11" t="n">
        <v>0.9305555555555556</v>
      </c>
      <c r="V308" s="11" t="n">
        <v>5.084864525365898</v>
      </c>
      <c r="W308" s="12" t="n">
        <v>39.61958241462708</v>
      </c>
    </row>
    <row r="309">
      <c r="A309" s="4" t="n">
        <v>308</v>
      </c>
      <c r="B309" s="4" t="inlineStr">
        <is>
          <t>elongation_pct</t>
        </is>
      </c>
      <c r="C309" s="4" t="inlineStr">
        <is>
          <t>Exp2_BO</t>
        </is>
      </c>
      <c r="D309" s="4" t="n">
        <v>2</v>
      </c>
      <c r="E309" s="4" t="n">
        <v>25</v>
      </c>
      <c r="F309" s="4" t="inlineStr">
        <is>
          <t>GP</t>
        </is>
      </c>
      <c r="G309" s="4" t="inlineStr">
        <is>
          <t>rq</t>
        </is>
      </c>
      <c r="H309" s="4" t="b">
        <v>1</v>
      </c>
      <c r="I309" s="4" t="b">
        <v>1</v>
      </c>
      <c r="J309" s="4" t="inlineStr">
        <is>
          <t>std</t>
        </is>
      </c>
      <c r="K309" s="4" t="inlineStr">
        <is>
          <t>log</t>
        </is>
      </c>
      <c r="L309" s="4" t="inlineStr">
        <is>
          <t>compact</t>
        </is>
      </c>
      <c r="M309" s="11" t="n">
        <v>-0.8479961952814188</v>
      </c>
      <c r="N309" s="11" t="n">
        <v>-2.946142538678156</v>
      </c>
      <c r="O309" s="11" t="n">
        <v>-2.239985593298475</v>
      </c>
      <c r="P309" s="4" t="n">
        <v>1</v>
      </c>
      <c r="Q309" s="11" t="n">
        <v>0.5901838727040813</v>
      </c>
      <c r="R309" s="11" t="n">
        <v>0</v>
      </c>
      <c r="S309" s="11" t="n">
        <v>36.21386315342982</v>
      </c>
      <c r="T309" s="11" t="n">
        <v>25.55952344714338</v>
      </c>
      <c r="U309" s="11" t="n">
        <v>0.9212962962962964</v>
      </c>
      <c r="V309" s="11" t="n">
        <v>5.166100251181625</v>
      </c>
      <c r="W309" s="12" t="n">
        <v>7.656474828720093</v>
      </c>
    </row>
    <row r="310">
      <c r="A310" s="4" t="n">
        <v>309</v>
      </c>
      <c r="B310" s="4" t="inlineStr">
        <is>
          <t>elongation_pct</t>
        </is>
      </c>
      <c r="C310" s="4" t="inlineStr">
        <is>
          <t>Exp2_BO</t>
        </is>
      </c>
      <c r="D310" s="4" t="n">
        <v>2</v>
      </c>
      <c r="E310" s="4" t="n">
        <v>26</v>
      </c>
      <c r="F310" s="4" t="inlineStr">
        <is>
          <t>GP</t>
        </is>
      </c>
      <c r="G310" s="4" t="inlineStr">
        <is>
          <t>matern52</t>
        </is>
      </c>
      <c r="H310" s="4" t="b">
        <v>1</v>
      </c>
      <c r="I310" s="4" t="b">
        <v>0</v>
      </c>
      <c r="J310" s="4" t="inlineStr">
        <is>
          <t>log1p</t>
        </is>
      </c>
      <c r="K310" s="4" t="inlineStr">
        <is>
          <t>none</t>
        </is>
      </c>
      <c r="L310" s="4" t="inlineStr">
        <is>
          <t>full_agg</t>
        </is>
      </c>
      <c r="M310" s="11" t="n">
        <v>-0.8188576570975119</v>
      </c>
      <c r="N310" s="11" t="n">
        <v>-0.1014057726071309</v>
      </c>
      <c r="O310" s="11" t="n">
        <v>-4.982847768776292</v>
      </c>
      <c r="P310" s="4" t="n">
        <v>1</v>
      </c>
      <c r="Q310" s="11" t="n">
        <v>0.5015470240848952</v>
      </c>
      <c r="R310" s="11" t="n">
        <v>0</v>
      </c>
      <c r="S310" s="11" t="n">
        <v>39.93856258206434</v>
      </c>
      <c r="T310" s="11" t="n">
        <v>28.12670287784715</v>
      </c>
      <c r="U310" s="11" t="n">
        <v>0.9120370370370372</v>
      </c>
      <c r="V310" s="11" t="n">
        <v>5.188058496479249</v>
      </c>
      <c r="W310" s="12" t="n">
        <v>109.8033573627472</v>
      </c>
    </row>
    <row r="311">
      <c r="A311" s="4" t="n">
        <v>310</v>
      </c>
      <c r="B311" s="4" t="inlineStr">
        <is>
          <t>elongation_pct</t>
        </is>
      </c>
      <c r="C311" s="4" t="inlineStr">
        <is>
          <t>Exp2_BO</t>
        </is>
      </c>
      <c r="D311" s="4" t="n">
        <v>2</v>
      </c>
      <c r="E311" s="4" t="n">
        <v>27</v>
      </c>
      <c r="F311" s="4" t="inlineStr">
        <is>
          <t>GP</t>
        </is>
      </c>
      <c r="G311" s="4" t="inlineStr">
        <is>
          <t>matern12</t>
        </is>
      </c>
      <c r="H311" s="4" t="b">
        <v>1</v>
      </c>
      <c r="I311" s="4" t="b">
        <v>1</v>
      </c>
      <c r="J311" s="4" t="inlineStr">
        <is>
          <t>std</t>
        </is>
      </c>
      <c r="K311" s="4" t="inlineStr">
        <is>
          <t>log</t>
        </is>
      </c>
      <c r="L311" s="4" t="inlineStr">
        <is>
          <t>compact</t>
        </is>
      </c>
      <c r="M311" s="11" t="n">
        <v>-0.9543172579398838</v>
      </c>
      <c r="N311" s="11" t="n">
        <v>-2.576810162393311</v>
      </c>
      <c r="O311" s="11" t="n">
        <v>-2.044752570795492</v>
      </c>
      <c r="P311" s="4" t="n">
        <v>1</v>
      </c>
      <c r="Q311" s="11" t="n">
        <v>0.6439975405539554</v>
      </c>
      <c r="R311" s="11" t="n">
        <v>0</v>
      </c>
      <c r="S311" s="11" t="n">
        <v>33.75256892456184</v>
      </c>
      <c r="T311" s="11" t="n">
        <v>24.15265510442241</v>
      </c>
      <c r="U311" s="11" t="n">
        <v>0.9305555555555556</v>
      </c>
      <c r="V311" s="11" t="n">
        <v>5.137603539595432</v>
      </c>
      <c r="W311" s="12" t="n">
        <v>82.46688222885132</v>
      </c>
    </row>
    <row r="312">
      <c r="A312" s="4" t="n">
        <v>311</v>
      </c>
      <c r="B312" s="4" t="inlineStr">
        <is>
          <t>elongation_pct</t>
        </is>
      </c>
      <c r="C312" s="4" t="inlineStr">
        <is>
          <t>Exp2_BO</t>
        </is>
      </c>
      <c r="D312" s="4" t="n">
        <v>2</v>
      </c>
      <c r="E312" s="4" t="n">
        <v>28</v>
      </c>
      <c r="F312" s="4" t="inlineStr">
        <is>
          <t>GP</t>
        </is>
      </c>
      <c r="G312" s="4" t="inlineStr">
        <is>
          <t>matern12</t>
        </is>
      </c>
      <c r="H312" s="4" t="b">
        <v>1</v>
      </c>
      <c r="I312" s="4" t="b">
        <v>1</v>
      </c>
      <c r="J312" s="4" t="inlineStr">
        <is>
          <t>std</t>
        </is>
      </c>
      <c r="K312" s="4" t="inlineStr">
        <is>
          <t>log</t>
        </is>
      </c>
      <c r="L312" s="4" t="inlineStr">
        <is>
          <t>compact</t>
        </is>
      </c>
      <c r="M312" s="11" t="n">
        <v>-0.6365565689045289</v>
      </c>
      <c r="N312" s="11" t="n">
        <v>-0.2787074668694975</v>
      </c>
      <c r="O312" s="11" t="n">
        <v>-5.833101954607596</v>
      </c>
      <c r="P312" s="4" t="n">
        <v>1</v>
      </c>
      <c r="Q312" s="11" t="n">
        <v>0.6441406686524949</v>
      </c>
      <c r="R312" s="11" t="n">
        <v>0</v>
      </c>
      <c r="S312" s="11" t="n">
        <v>33.74578325982657</v>
      </c>
      <c r="T312" s="11" t="n">
        <v>24.19537100828701</v>
      </c>
      <c r="U312" s="11" t="n">
        <v>0.9305555555555556</v>
      </c>
      <c r="V312" s="11" t="n">
        <v>5.127546333990189</v>
      </c>
      <c r="W312" s="12" t="n">
        <v>68.62891745567322</v>
      </c>
    </row>
    <row r="313">
      <c r="A313" s="4" t="n">
        <v>312</v>
      </c>
      <c r="B313" s="4" t="inlineStr">
        <is>
          <t>elongation_pct</t>
        </is>
      </c>
      <c r="C313" s="4" t="inlineStr">
        <is>
          <t>Exp2_BO</t>
        </is>
      </c>
      <c r="D313" s="4" t="n">
        <v>2</v>
      </c>
      <c r="E313" s="4" t="n">
        <v>29</v>
      </c>
      <c r="F313" s="4" t="inlineStr">
        <is>
          <t>GP</t>
        </is>
      </c>
      <c r="G313" s="4" t="inlineStr">
        <is>
          <t>matern12</t>
        </is>
      </c>
      <c r="H313" s="4" t="b">
        <v>0</v>
      </c>
      <c r="I313" s="4" t="b">
        <v>1</v>
      </c>
      <c r="J313" s="4" t="inlineStr">
        <is>
          <t>std</t>
        </is>
      </c>
      <c r="K313" s="4" t="inlineStr">
        <is>
          <t>log</t>
        </is>
      </c>
      <c r="L313" s="4" t="inlineStr">
        <is>
          <t>compact</t>
        </is>
      </c>
      <c r="M313" s="11" t="n">
        <v>0.621627648894747</v>
      </c>
      <c r="N313" s="11" t="n">
        <v>-1.282328644653223</v>
      </c>
      <c r="O313" s="11" t="n">
        <v>-4.171172722286779</v>
      </c>
      <c r="P313" s="4" t="n">
        <v>1</v>
      </c>
      <c r="Q313" s="11" t="n">
        <v>0.595780047326391</v>
      </c>
      <c r="R313" s="11" t="n">
        <v>0</v>
      </c>
      <c r="S313" s="11" t="n">
        <v>35.96575711630196</v>
      </c>
      <c r="T313" s="11" t="n">
        <v>25.6020857494996</v>
      </c>
      <c r="U313" s="11" t="n">
        <v>0.9305555555555556</v>
      </c>
      <c r="V313" s="11" t="n">
        <v>5.15064206855847</v>
      </c>
      <c r="W313" s="12" t="n">
        <v>10.09188103675842</v>
      </c>
    </row>
    <row r="314">
      <c r="A314" s="4" t="n">
        <v>313</v>
      </c>
      <c r="B314" s="4" t="inlineStr">
        <is>
          <t>elongation_pct</t>
        </is>
      </c>
      <c r="C314" s="4" t="inlineStr">
        <is>
          <t>Exp3_robust</t>
        </is>
      </c>
      <c r="D314" s="4" t="n"/>
      <c r="E314" s="4" t="n"/>
      <c r="F314" s="4" t="inlineStr">
        <is>
          <t>GP</t>
        </is>
      </c>
      <c r="G314" s="4" t="inlineStr">
        <is>
          <t>matern12</t>
        </is>
      </c>
      <c r="H314" s="4" t="b">
        <v>1</v>
      </c>
      <c r="I314" s="4" t="b">
        <v>1</v>
      </c>
      <c r="J314" s="4" t="inlineStr">
        <is>
          <t>std</t>
        </is>
      </c>
      <c r="K314" s="4" t="inlineStr">
        <is>
          <t>none</t>
        </is>
      </c>
      <c r="L314" s="4" t="inlineStr">
        <is>
          <t>compact</t>
        </is>
      </c>
      <c r="M314" s="11" t="n">
        <v>-0.2899323204988355</v>
      </c>
      <c r="N314" s="11" t="n">
        <v>-2.969553973402257</v>
      </c>
      <c r="O314" s="11" t="n">
        <v>-2.706758439569493</v>
      </c>
      <c r="P314" s="4" t="n">
        <v>3</v>
      </c>
      <c r="Q314" s="11" t="n">
        <v>0.6273137918759717</v>
      </c>
      <c r="R314" s="11" t="n">
        <v>0.0231863743738965</v>
      </c>
      <c r="S314" s="11" t="n">
        <v>34.5180853688511</v>
      </c>
      <c r="T314" s="11" t="n">
        <v>24.36328478789752</v>
      </c>
      <c r="U314" s="11" t="n">
        <v>0.9342592592592592</v>
      </c>
      <c r="V314" s="11" t="n">
        <v>5.042180683852736</v>
      </c>
      <c r="W314" s="12" t="n">
        <v>507.5809967517853</v>
      </c>
    </row>
    <row r="315">
      <c r="A315" s="4" t="n">
        <v>314</v>
      </c>
      <c r="B315" s="4" t="inlineStr">
        <is>
          <t>elongation_pct</t>
        </is>
      </c>
      <c r="C315" s="4" t="inlineStr">
        <is>
          <t>Exp3_robust</t>
        </is>
      </c>
      <c r="D315" s="4" t="n"/>
      <c r="E315" s="4" t="n"/>
      <c r="F315" s="4" t="inlineStr">
        <is>
          <t>GP</t>
        </is>
      </c>
      <c r="G315" s="4" t="inlineStr">
        <is>
          <t>matern12</t>
        </is>
      </c>
      <c r="H315" s="4" t="b">
        <v>1</v>
      </c>
      <c r="I315" s="4" t="b">
        <v>1</v>
      </c>
      <c r="J315" s="4" t="inlineStr">
        <is>
          <t>std</t>
        </is>
      </c>
      <c r="K315" s="4" t="inlineStr">
        <is>
          <t>log</t>
        </is>
      </c>
      <c r="L315" s="4" t="inlineStr">
        <is>
          <t>compact</t>
        </is>
      </c>
      <c r="M315" s="11" t="n">
        <v>-0.4866064781698362</v>
      </c>
      <c r="N315" s="11" t="n">
        <v>-0.0068929362163268</v>
      </c>
      <c r="O315" s="11" t="n">
        <v>-4.660602622246218</v>
      </c>
      <c r="P315" s="4" t="n">
        <v>3</v>
      </c>
      <c r="Q315" s="11" t="n">
        <v>0.6301492788852464</v>
      </c>
      <c r="R315" s="11" t="n">
        <v>0.0119326669630735</v>
      </c>
      <c r="S315" s="11" t="n">
        <v>34.39838890183997</v>
      </c>
      <c r="T315" s="11" t="n">
        <v>24.21495987044464</v>
      </c>
      <c r="U315" s="11" t="n">
        <v>0.9305555555555556</v>
      </c>
      <c r="V315" s="11" t="n">
        <v>5.116162232536478</v>
      </c>
      <c r="W315" s="12" t="n">
        <v>416.1802461147308</v>
      </c>
    </row>
    <row r="316">
      <c r="A316" s="4" t="n">
        <v>315</v>
      </c>
      <c r="B316" s="4" t="inlineStr">
        <is>
          <t>elongation_pct</t>
        </is>
      </c>
      <c r="C316" s="4" t="inlineStr">
        <is>
          <t>Exp3_robust</t>
        </is>
      </c>
      <c r="D316" s="4" t="n"/>
      <c r="E316" s="4" t="n"/>
      <c r="F316" s="4" t="inlineStr">
        <is>
          <t>GP</t>
        </is>
      </c>
      <c r="G316" s="4" t="inlineStr">
        <is>
          <t>matern52</t>
        </is>
      </c>
      <c r="H316" s="4" t="b">
        <v>1</v>
      </c>
      <c r="I316" s="4" t="b">
        <v>1</v>
      </c>
      <c r="J316" s="4" t="inlineStr">
        <is>
          <t>std</t>
        </is>
      </c>
      <c r="K316" s="4" t="inlineStr">
        <is>
          <t>log</t>
        </is>
      </c>
      <c r="L316" s="4" t="inlineStr">
        <is>
          <t>compact</t>
        </is>
      </c>
      <c r="M316" s="11" t="n">
        <v>-0.8479961952814188</v>
      </c>
      <c r="N316" s="11" t="n">
        <v>-2.946142538678156</v>
      </c>
      <c r="O316" s="11" t="n">
        <v>-2.239985593298475</v>
      </c>
      <c r="P316" s="4" t="n">
        <v>3</v>
      </c>
      <c r="Q316" s="11" t="n">
        <v>0.625293751198344</v>
      </c>
      <c r="R316" s="11" t="n">
        <v>0.0075175721407013</v>
      </c>
      <c r="S316" s="11" t="n">
        <v>34.62612457397334</v>
      </c>
      <c r="T316" s="11" t="n">
        <v>24.62153935703227</v>
      </c>
      <c r="U316" s="11" t="n">
        <v>0.9314814814814816</v>
      </c>
      <c r="V316" s="11" t="n">
        <v>5.119817949734265</v>
      </c>
      <c r="W316" s="12" t="n">
        <v>316.0246553421021</v>
      </c>
    </row>
    <row r="317">
      <c r="A317" s="4" t="n">
        <v>316</v>
      </c>
      <c r="B317" s="4" t="inlineStr">
        <is>
          <t>m100_MPa</t>
        </is>
      </c>
      <c r="C317" s="4" t="inlineStr">
        <is>
          <t>Exp0_baseline</t>
        </is>
      </c>
      <c r="D317" s="4" t="n"/>
      <c r="E317" s="4" t="n"/>
      <c r="F317" s="4" t="inlineStr">
        <is>
          <t>GP_sklearn_default</t>
        </is>
      </c>
      <c r="G317" s="4" t="n"/>
      <c r="H317" s="4" t="n"/>
      <c r="I317" s="4" t="n"/>
      <c r="J317" s="4" t="n"/>
      <c r="K317" s="4" t="n"/>
      <c r="L317" s="4" t="n"/>
      <c r="M317" s="11" t="n"/>
      <c r="N317" s="11" t="n"/>
      <c r="O317" s="11" t="n"/>
      <c r="P317" s="4" t="n"/>
      <c r="Q317" s="11" t="n">
        <v>-1198.94140886317</v>
      </c>
      <c r="R317" s="11" t="n"/>
      <c r="S317" s="11" t="n">
        <v>129.9110341187056</v>
      </c>
      <c r="T317" s="11" t="n">
        <v>22.38138606106119</v>
      </c>
      <c r="U317" s="11" t="n"/>
      <c r="V317" s="11" t="n"/>
      <c r="W317" s="12" t="n"/>
    </row>
    <row r="318">
      <c r="A318" s="4" t="n">
        <v>317</v>
      </c>
      <c r="B318" s="4" t="inlineStr">
        <is>
          <t>m100_MPa</t>
        </is>
      </c>
      <c r="C318" s="4" t="inlineStr">
        <is>
          <t>Exp0_baseline</t>
        </is>
      </c>
      <c r="D318" s="4" t="n"/>
      <c r="E318" s="4" t="n"/>
      <c r="F318" s="4" t="inlineStr">
        <is>
          <t>Ridge</t>
        </is>
      </c>
      <c r="G318" s="4" t="n"/>
      <c r="H318" s="4" t="n"/>
      <c r="I318" s="4" t="n"/>
      <c r="J318" s="4" t="n"/>
      <c r="K318" s="4" t="n"/>
      <c r="L318" s="4" t="n"/>
      <c r="M318" s="11" t="n"/>
      <c r="N318" s="11" t="n"/>
      <c r="O318" s="11" t="n"/>
      <c r="P318" s="4" t="n"/>
      <c r="Q318" s="11" t="n">
        <v>0.4582738773914124</v>
      </c>
      <c r="R318" s="11" t="n"/>
      <c r="S318" s="11" t="n">
        <v>2.774953814235023</v>
      </c>
      <c r="T318" s="11" t="n">
        <v>2.048836191610388</v>
      </c>
      <c r="U318" s="11" t="n"/>
      <c r="V318" s="11" t="n"/>
      <c r="W318" s="12" t="n"/>
    </row>
    <row r="319">
      <c r="A319" s="4" t="n">
        <v>318</v>
      </c>
      <c r="B319" s="4" t="inlineStr">
        <is>
          <t>m100_MPa</t>
        </is>
      </c>
      <c r="C319" s="4" t="inlineStr">
        <is>
          <t>Exp0_baseline</t>
        </is>
      </c>
      <c r="D319" s="4" t="n"/>
      <c r="E319" s="4" t="n"/>
      <c r="F319" s="4" t="inlineStr">
        <is>
          <t>RandomForest</t>
        </is>
      </c>
      <c r="G319" s="4" t="n"/>
      <c r="H319" s="4" t="n"/>
      <c r="I319" s="4" t="n"/>
      <c r="J319" s="4" t="n"/>
      <c r="K319" s="4" t="n"/>
      <c r="L319" s="4" t="n"/>
      <c r="M319" s="11" t="n"/>
      <c r="N319" s="11" t="n"/>
      <c r="O319" s="11" t="n"/>
      <c r="P319" s="4" t="n"/>
      <c r="Q319" s="11" t="n">
        <v>0.6038076316815797</v>
      </c>
      <c r="R319" s="11" t="n"/>
      <c r="S319" s="11" t="n">
        <v>2.372642512081038</v>
      </c>
      <c r="T319" s="11" t="n">
        <v>1.543013672351258</v>
      </c>
      <c r="U319" s="11" t="n"/>
      <c r="V319" s="11" t="n"/>
      <c r="W319" s="12" t="n"/>
    </row>
    <row r="320">
      <c r="A320" s="4" t="n">
        <v>319</v>
      </c>
      <c r="B320" s="4" t="inlineStr">
        <is>
          <t>m100_MPa</t>
        </is>
      </c>
      <c r="C320" s="4" t="inlineStr">
        <is>
          <t>Exp1_kernel_screen</t>
        </is>
      </c>
      <c r="D320" s="4" t="n"/>
      <c r="E320" s="4" t="n"/>
      <c r="F320" s="4" t="inlineStr">
        <is>
          <t>GP</t>
        </is>
      </c>
      <c r="G320" s="4" t="inlineStr">
        <is>
          <t>rbf</t>
        </is>
      </c>
      <c r="H320" s="4" t="b">
        <v>1</v>
      </c>
      <c r="I320" s="4" t="b">
        <v>0</v>
      </c>
      <c r="J320" s="4" t="inlineStr">
        <is>
          <t>log1p</t>
        </is>
      </c>
      <c r="K320" s="4" t="inlineStr">
        <is>
          <t>none</t>
        </is>
      </c>
      <c r="L320" s="4" t="inlineStr">
        <is>
          <t>full</t>
        </is>
      </c>
      <c r="M320" s="11" t="n">
        <v>0</v>
      </c>
      <c r="N320" s="11" t="n">
        <v>-1</v>
      </c>
      <c r="O320" s="11" t="n">
        <v>-4</v>
      </c>
      <c r="P320" s="4" t="n">
        <v>1</v>
      </c>
      <c r="Q320" s="11" t="n">
        <v>0.5148936919302318</v>
      </c>
      <c r="R320" s="11" t="n">
        <v>0</v>
      </c>
      <c r="S320" s="11" t="n">
        <v>2.626029039525088</v>
      </c>
      <c r="T320" s="11" t="n">
        <v>1.731714639305629</v>
      </c>
      <c r="U320" s="11" t="n">
        <v>0.924170616113744</v>
      </c>
      <c r="V320" s="11" t="n">
        <v>2.36934891117934</v>
      </c>
      <c r="W320" s="12" t="n">
        <v>40.90420961380005</v>
      </c>
    </row>
    <row r="321">
      <c r="A321" s="4" t="n">
        <v>320</v>
      </c>
      <c r="B321" s="4" t="inlineStr">
        <is>
          <t>m100_MPa</t>
        </is>
      </c>
      <c r="C321" s="4" t="inlineStr">
        <is>
          <t>Exp1_kernel_screen</t>
        </is>
      </c>
      <c r="D321" s="4" t="n"/>
      <c r="E321" s="4" t="n"/>
      <c r="F321" s="4" t="inlineStr">
        <is>
          <t>GP</t>
        </is>
      </c>
      <c r="G321" s="4" t="inlineStr">
        <is>
          <t>rbf</t>
        </is>
      </c>
      <c r="H321" s="4" t="b">
        <v>0</v>
      </c>
      <c r="I321" s="4" t="b">
        <v>0</v>
      </c>
      <c r="J321" s="4" t="inlineStr">
        <is>
          <t>log1p</t>
        </is>
      </c>
      <c r="K321" s="4" t="inlineStr">
        <is>
          <t>none</t>
        </is>
      </c>
      <c r="L321" s="4" t="inlineStr">
        <is>
          <t>full</t>
        </is>
      </c>
      <c r="M321" s="11" t="n">
        <v>0</v>
      </c>
      <c r="N321" s="11" t="n">
        <v>-1</v>
      </c>
      <c r="O321" s="11" t="n">
        <v>-4</v>
      </c>
      <c r="P321" s="4" t="n">
        <v>1</v>
      </c>
      <c r="Q321" s="11" t="n">
        <v>0.6018750945539115</v>
      </c>
      <c r="R321" s="11" t="n">
        <v>0</v>
      </c>
      <c r="S321" s="11" t="n">
        <v>2.378979702384486</v>
      </c>
      <c r="T321" s="11" t="n">
        <v>1.553319755279689</v>
      </c>
      <c r="U321" s="11" t="n">
        <v>0.9383886255924172</v>
      </c>
      <c r="V321" s="11" t="n">
        <v>2.304094699180004</v>
      </c>
      <c r="W321" s="12" t="n">
        <v>1.667345523834228</v>
      </c>
    </row>
    <row r="322">
      <c r="A322" s="4" t="n">
        <v>321</v>
      </c>
      <c r="B322" s="4" t="inlineStr">
        <is>
          <t>m100_MPa</t>
        </is>
      </c>
      <c r="C322" s="4" t="inlineStr">
        <is>
          <t>Exp1_kernel_screen</t>
        </is>
      </c>
      <c r="D322" s="4" t="n"/>
      <c r="E322" s="4" t="n"/>
      <c r="F322" s="4" t="inlineStr">
        <is>
          <t>GP</t>
        </is>
      </c>
      <c r="G322" s="4" t="inlineStr">
        <is>
          <t>matern12</t>
        </is>
      </c>
      <c r="H322" s="4" t="b">
        <v>1</v>
      </c>
      <c r="I322" s="4" t="b">
        <v>0</v>
      </c>
      <c r="J322" s="4" t="inlineStr">
        <is>
          <t>log1p</t>
        </is>
      </c>
      <c r="K322" s="4" t="inlineStr">
        <is>
          <t>none</t>
        </is>
      </c>
      <c r="L322" s="4" t="inlineStr">
        <is>
          <t>full</t>
        </is>
      </c>
      <c r="M322" s="11" t="n">
        <v>0</v>
      </c>
      <c r="N322" s="11" t="n">
        <v>-1</v>
      </c>
      <c r="O322" s="11" t="n">
        <v>-4</v>
      </c>
      <c r="P322" s="4" t="n">
        <v>1</v>
      </c>
      <c r="Q322" s="11" t="n">
        <v>0.5409709814068759</v>
      </c>
      <c r="R322" s="11" t="n">
        <v>0</v>
      </c>
      <c r="S322" s="11" t="n">
        <v>2.554471925651978</v>
      </c>
      <c r="T322" s="11" t="n">
        <v>1.693104589723253</v>
      </c>
      <c r="U322" s="11" t="n">
        <v>0.924170616113744</v>
      </c>
      <c r="V322" s="11" t="n">
        <v>2.344309859669787</v>
      </c>
      <c r="W322" s="12" t="n">
        <v>40.33097863197327</v>
      </c>
    </row>
    <row r="323">
      <c r="A323" s="4" t="n">
        <v>322</v>
      </c>
      <c r="B323" s="4" t="inlineStr">
        <is>
          <t>m100_MPa</t>
        </is>
      </c>
      <c r="C323" s="4" t="inlineStr">
        <is>
          <t>Exp1_kernel_screen</t>
        </is>
      </c>
      <c r="D323" s="4" t="n"/>
      <c r="E323" s="4" t="n"/>
      <c r="F323" s="4" t="inlineStr">
        <is>
          <t>GP</t>
        </is>
      </c>
      <c r="G323" s="4" t="inlineStr">
        <is>
          <t>matern12</t>
        </is>
      </c>
      <c r="H323" s="4" t="b">
        <v>0</v>
      </c>
      <c r="I323" s="4" t="b">
        <v>0</v>
      </c>
      <c r="J323" s="4" t="inlineStr">
        <is>
          <t>log1p</t>
        </is>
      </c>
      <c r="K323" s="4" t="inlineStr">
        <is>
          <t>none</t>
        </is>
      </c>
      <c r="L323" s="4" t="inlineStr">
        <is>
          <t>full</t>
        </is>
      </c>
      <c r="M323" s="11" t="n">
        <v>0</v>
      </c>
      <c r="N323" s="11" t="n">
        <v>-1</v>
      </c>
      <c r="O323" s="11" t="n">
        <v>-4</v>
      </c>
      <c r="P323" s="4" t="n">
        <v>1</v>
      </c>
      <c r="Q323" s="11" t="n">
        <v>0.6179446061595932</v>
      </c>
      <c r="R323" s="11" t="n">
        <v>0</v>
      </c>
      <c r="S323" s="11" t="n">
        <v>2.330473833568748</v>
      </c>
      <c r="T323" s="11" t="n">
        <v>1.542510562301482</v>
      </c>
      <c r="U323" s="11" t="n">
        <v>0.943127962085308</v>
      </c>
      <c r="V323" s="11" t="n">
        <v>2.274698582343528</v>
      </c>
      <c r="W323" s="12" t="n">
        <v>1.935389995574951</v>
      </c>
    </row>
    <row r="324">
      <c r="A324" s="4" t="n">
        <v>323</v>
      </c>
      <c r="B324" s="4" t="inlineStr">
        <is>
          <t>m100_MPa</t>
        </is>
      </c>
      <c r="C324" s="4" t="inlineStr">
        <is>
          <t>Exp1_kernel_screen</t>
        </is>
      </c>
      <c r="D324" s="4" t="n"/>
      <c r="E324" s="4" t="n"/>
      <c r="F324" s="4" t="inlineStr">
        <is>
          <t>GP</t>
        </is>
      </c>
      <c r="G324" s="4" t="inlineStr">
        <is>
          <t>matern32</t>
        </is>
      </c>
      <c r="H324" s="4" t="b">
        <v>1</v>
      </c>
      <c r="I324" s="4" t="b">
        <v>0</v>
      </c>
      <c r="J324" s="4" t="inlineStr">
        <is>
          <t>log1p</t>
        </is>
      </c>
      <c r="K324" s="4" t="inlineStr">
        <is>
          <t>none</t>
        </is>
      </c>
      <c r="L324" s="4" t="inlineStr">
        <is>
          <t>full</t>
        </is>
      </c>
      <c r="M324" s="11" t="n">
        <v>0</v>
      </c>
      <c r="N324" s="11" t="n">
        <v>-1</v>
      </c>
      <c r="O324" s="11" t="n">
        <v>-4</v>
      </c>
      <c r="P324" s="4" t="n">
        <v>1</v>
      </c>
      <c r="Q324" s="11" t="n">
        <v>0.5454594714052398</v>
      </c>
      <c r="R324" s="11" t="n">
        <v>0</v>
      </c>
      <c r="S324" s="11" t="n">
        <v>2.541952141814993</v>
      </c>
      <c r="T324" s="11" t="n">
        <v>1.67499882718495</v>
      </c>
      <c r="U324" s="11" t="n">
        <v>0.919431279620853</v>
      </c>
      <c r="V324" s="11" t="n">
        <v>2.338979878863382</v>
      </c>
      <c r="W324" s="12" t="n">
        <v>47.03515791893005</v>
      </c>
    </row>
    <row r="325">
      <c r="A325" s="4" t="n">
        <v>324</v>
      </c>
      <c r="B325" s="4" t="inlineStr">
        <is>
          <t>m100_MPa</t>
        </is>
      </c>
      <c r="C325" s="4" t="inlineStr">
        <is>
          <t>Exp1_kernel_screen</t>
        </is>
      </c>
      <c r="D325" s="4" t="n"/>
      <c r="E325" s="4" t="n"/>
      <c r="F325" s="4" t="inlineStr">
        <is>
          <t>GP</t>
        </is>
      </c>
      <c r="G325" s="4" t="inlineStr">
        <is>
          <t>matern32</t>
        </is>
      </c>
      <c r="H325" s="4" t="b">
        <v>0</v>
      </c>
      <c r="I325" s="4" t="b">
        <v>0</v>
      </c>
      <c r="J325" s="4" t="inlineStr">
        <is>
          <t>log1p</t>
        </is>
      </c>
      <c r="K325" s="4" t="inlineStr">
        <is>
          <t>none</t>
        </is>
      </c>
      <c r="L325" s="4" t="inlineStr">
        <is>
          <t>full</t>
        </is>
      </c>
      <c r="M325" s="11" t="n">
        <v>0</v>
      </c>
      <c r="N325" s="11" t="n">
        <v>-1</v>
      </c>
      <c r="O325" s="11" t="n">
        <v>-4</v>
      </c>
      <c r="P325" s="4" t="n">
        <v>1</v>
      </c>
      <c r="Q325" s="11" t="n">
        <v>0.616799289525748</v>
      </c>
      <c r="R325" s="11" t="n">
        <v>0</v>
      </c>
      <c r="S325" s="11" t="n">
        <v>2.333964339288593</v>
      </c>
      <c r="T325" s="11" t="n">
        <v>1.522375367410769</v>
      </c>
      <c r="U325" s="11" t="n">
        <v>0.9383886255924172</v>
      </c>
      <c r="V325" s="11" t="n">
        <v>2.283840076530284</v>
      </c>
      <c r="W325" s="12" t="n">
        <v>1.796703577041626</v>
      </c>
    </row>
    <row r="326">
      <c r="A326" s="4" t="n">
        <v>325</v>
      </c>
      <c r="B326" s="4" t="inlineStr">
        <is>
          <t>m100_MPa</t>
        </is>
      </c>
      <c r="C326" s="4" t="inlineStr">
        <is>
          <t>Exp1_kernel_screen</t>
        </is>
      </c>
      <c r="D326" s="4" t="n"/>
      <c r="E326" s="4" t="n"/>
      <c r="F326" s="4" t="inlineStr">
        <is>
          <t>GP</t>
        </is>
      </c>
      <c r="G326" s="4" t="inlineStr">
        <is>
          <t>matern52</t>
        </is>
      </c>
      <c r="H326" s="4" t="b">
        <v>1</v>
      </c>
      <c r="I326" s="4" t="b">
        <v>0</v>
      </c>
      <c r="J326" s="4" t="inlineStr">
        <is>
          <t>log1p</t>
        </is>
      </c>
      <c r="K326" s="4" t="inlineStr">
        <is>
          <t>none</t>
        </is>
      </c>
      <c r="L326" s="4" t="inlineStr">
        <is>
          <t>full</t>
        </is>
      </c>
      <c r="M326" s="11" t="n">
        <v>0</v>
      </c>
      <c r="N326" s="11" t="n">
        <v>-1</v>
      </c>
      <c r="O326" s="11" t="n">
        <v>-4</v>
      </c>
      <c r="P326" s="4" t="n">
        <v>1</v>
      </c>
      <c r="Q326" s="11" t="n">
        <v>0.5337155126590353</v>
      </c>
      <c r="R326" s="11" t="n">
        <v>0</v>
      </c>
      <c r="S326" s="11" t="n">
        <v>2.574580923538619</v>
      </c>
      <c r="T326" s="11" t="n">
        <v>1.69338880017555</v>
      </c>
      <c r="U326" s="11" t="n">
        <v>0.924170616113744</v>
      </c>
      <c r="V326" s="11" t="n">
        <v>2.354201924308104</v>
      </c>
      <c r="W326" s="12" t="n">
        <v>50.3531379699707</v>
      </c>
    </row>
    <row r="327">
      <c r="A327" s="4" t="n">
        <v>326</v>
      </c>
      <c r="B327" s="4" t="inlineStr">
        <is>
          <t>m100_MPa</t>
        </is>
      </c>
      <c r="C327" s="4" t="inlineStr">
        <is>
          <t>Exp1_kernel_screen</t>
        </is>
      </c>
      <c r="D327" s="4" t="n"/>
      <c r="E327" s="4" t="n"/>
      <c r="F327" s="4" t="inlineStr">
        <is>
          <t>GP</t>
        </is>
      </c>
      <c r="G327" s="4" t="inlineStr">
        <is>
          <t>matern52</t>
        </is>
      </c>
      <c r="H327" s="4" t="b">
        <v>0</v>
      </c>
      <c r="I327" s="4" t="b">
        <v>0</v>
      </c>
      <c r="J327" s="4" t="inlineStr">
        <is>
          <t>log1p</t>
        </is>
      </c>
      <c r="K327" s="4" t="inlineStr">
        <is>
          <t>none</t>
        </is>
      </c>
      <c r="L327" s="4" t="inlineStr">
        <is>
          <t>full</t>
        </is>
      </c>
      <c r="M327" s="11" t="n">
        <v>0</v>
      </c>
      <c r="N327" s="11" t="n">
        <v>-1</v>
      </c>
      <c r="O327" s="11" t="n">
        <v>-4</v>
      </c>
      <c r="P327" s="4" t="n">
        <v>1</v>
      </c>
      <c r="Q327" s="11" t="n">
        <v>0.611833399353062</v>
      </c>
      <c r="R327" s="11" t="n">
        <v>0</v>
      </c>
      <c r="S327" s="11" t="n">
        <v>2.349038557945046</v>
      </c>
      <c r="T327" s="11" t="n">
        <v>1.528726299819964</v>
      </c>
      <c r="U327" s="11" t="n">
        <v>0.933649289099526</v>
      </c>
      <c r="V327" s="11" t="n">
        <v>2.290764571308409</v>
      </c>
      <c r="W327" s="12" t="n">
        <v>1.665937662124634</v>
      </c>
    </row>
    <row r="328">
      <c r="A328" s="4" t="n">
        <v>327</v>
      </c>
      <c r="B328" s="4" t="inlineStr">
        <is>
          <t>m100_MPa</t>
        </is>
      </c>
      <c r="C328" s="4" t="inlineStr">
        <is>
          <t>Exp1_kernel_screen</t>
        </is>
      </c>
      <c r="D328" s="4" t="n"/>
      <c r="E328" s="4" t="n"/>
      <c r="F328" s="4" t="inlineStr">
        <is>
          <t>GP</t>
        </is>
      </c>
      <c r="G328" s="4" t="inlineStr">
        <is>
          <t>rq</t>
        </is>
      </c>
      <c r="H328" s="4" t="b">
        <v>0</v>
      </c>
      <c r="I328" s="4" t="b">
        <v>0</v>
      </c>
      <c r="J328" s="4" t="inlineStr">
        <is>
          <t>log1p</t>
        </is>
      </c>
      <c r="K328" s="4" t="inlineStr">
        <is>
          <t>none</t>
        </is>
      </c>
      <c r="L328" s="4" t="inlineStr">
        <is>
          <t>full</t>
        </is>
      </c>
      <c r="M328" s="11" t="n">
        <v>0</v>
      </c>
      <c r="N328" s="11" t="n">
        <v>-1</v>
      </c>
      <c r="O328" s="11" t="n">
        <v>-4</v>
      </c>
      <c r="P328" s="4" t="n">
        <v>1</v>
      </c>
      <c r="Q328" s="11" t="n">
        <v>0.6112781891076224</v>
      </c>
      <c r="R328" s="11" t="n">
        <v>0</v>
      </c>
      <c r="S328" s="11" t="n">
        <v>2.35071791964091</v>
      </c>
      <c r="T328" s="11" t="n">
        <v>1.529050506537331</v>
      </c>
      <c r="U328" s="11" t="n">
        <v>0.933649289099526</v>
      </c>
      <c r="V328" s="11" t="n">
        <v>2.289147838460833</v>
      </c>
      <c r="W328" s="12" t="n">
        <v>3.45375394821167</v>
      </c>
    </row>
    <row r="329">
      <c r="A329" s="4" t="n">
        <v>328</v>
      </c>
      <c r="B329" s="4" t="inlineStr">
        <is>
          <t>m100_MPa</t>
        </is>
      </c>
      <c r="C329" s="4" t="inlineStr">
        <is>
          <t>Exp2_BO</t>
        </is>
      </c>
      <c r="D329" s="4" t="n">
        <v>0</v>
      </c>
      <c r="E329" s="4" t="n">
        <v>0</v>
      </c>
      <c r="F329" s="4" t="inlineStr">
        <is>
          <t>GP</t>
        </is>
      </c>
      <c r="G329" s="4" t="inlineStr">
        <is>
          <t>rq</t>
        </is>
      </c>
      <c r="H329" s="4" t="b">
        <v>0</v>
      </c>
      <c r="I329" s="4" t="b">
        <v>1</v>
      </c>
      <c r="J329" s="4" t="inlineStr">
        <is>
          <t>std</t>
        </is>
      </c>
      <c r="K329" s="4" t="inlineStr">
        <is>
          <t>none</t>
        </is>
      </c>
      <c r="L329" s="4" t="inlineStr">
        <is>
          <t>full</t>
        </is>
      </c>
      <c r="M329" s="11" t="n">
        <v>-0.9669447289429418</v>
      </c>
      <c r="N329" s="11" t="n">
        <v>-0.5601892823991825</v>
      </c>
      <c r="O329" s="11" t="n">
        <v>-2.348977690889113</v>
      </c>
      <c r="P329" s="4" t="n">
        <v>1</v>
      </c>
      <c r="Q329" s="11" t="n">
        <v>0.6934787227333654</v>
      </c>
      <c r="R329" s="11" t="n">
        <v>0</v>
      </c>
      <c r="S329" s="11" t="n">
        <v>2.08742738481122</v>
      </c>
      <c r="T329" s="11" t="n">
        <v>1.456017328140447</v>
      </c>
      <c r="U329" s="11" t="n">
        <v>0.9383886255924172</v>
      </c>
      <c r="V329" s="11" t="n">
        <v>2.164513285676368</v>
      </c>
      <c r="W329" s="12" t="n">
        <v>7.748080253601074</v>
      </c>
    </row>
    <row r="330">
      <c r="A330" s="4" t="n">
        <v>329</v>
      </c>
      <c r="B330" s="4" t="inlineStr">
        <is>
          <t>m100_MPa</t>
        </is>
      </c>
      <c r="C330" s="4" t="inlineStr">
        <is>
          <t>Exp2_BO</t>
        </is>
      </c>
      <c r="D330" s="4" t="n">
        <v>0</v>
      </c>
      <c r="E330" s="4" t="n">
        <v>1</v>
      </c>
      <c r="F330" s="4" t="inlineStr">
        <is>
          <t>GP</t>
        </is>
      </c>
      <c r="G330" s="4" t="inlineStr">
        <is>
          <t>matern32</t>
        </is>
      </c>
      <c r="H330" s="4" t="b">
        <v>0</v>
      </c>
      <c r="I330" s="4" t="b">
        <v>1</v>
      </c>
      <c r="J330" s="4" t="inlineStr">
        <is>
          <t>log1p</t>
        </is>
      </c>
      <c r="K330" s="4" t="inlineStr">
        <is>
          <t>log</t>
        </is>
      </c>
      <c r="L330" s="4" t="inlineStr">
        <is>
          <t>full_cure6</t>
        </is>
      </c>
      <c r="M330" s="11" t="n">
        <v>0.8701448475755365</v>
      </c>
      <c r="N330" s="11" t="n">
        <v>-0.5524393376354038</v>
      </c>
      <c r="O330" s="11" t="n">
        <v>-5.989045999319408</v>
      </c>
      <c r="P330" s="4" t="n">
        <v>1</v>
      </c>
      <c r="Q330" s="11" t="n">
        <v>0.6762574449949418</v>
      </c>
      <c r="R330" s="11" t="n">
        <v>0</v>
      </c>
      <c r="S330" s="11" t="n">
        <v>2.145265054309051</v>
      </c>
      <c r="T330" s="11" t="n">
        <v>1.382764007733541</v>
      </c>
      <c r="U330" s="11" t="n">
        <v>0.933649289099526</v>
      </c>
      <c r="V330" s="11" t="n">
        <v>2.151132786184258</v>
      </c>
      <c r="W330" s="12" t="n">
        <v>6.102428913116455</v>
      </c>
    </row>
    <row r="331">
      <c r="A331" s="4" t="n">
        <v>330</v>
      </c>
      <c r="B331" s="4" t="inlineStr">
        <is>
          <t>m100_MPa</t>
        </is>
      </c>
      <c r="C331" s="4" t="inlineStr">
        <is>
          <t>Exp2_BO</t>
        </is>
      </c>
      <c r="D331" s="4" t="n">
        <v>0</v>
      </c>
      <c r="E331" s="4" t="n">
        <v>2</v>
      </c>
      <c r="F331" s="4" t="inlineStr">
        <is>
          <t>GP</t>
        </is>
      </c>
      <c r="G331" s="4" t="inlineStr">
        <is>
          <t>matern12</t>
        </is>
      </c>
      <c r="H331" s="4" t="b">
        <v>0</v>
      </c>
      <c r="I331" s="4" t="b">
        <v>1</v>
      </c>
      <c r="J331" s="4" t="inlineStr">
        <is>
          <t>std</t>
        </is>
      </c>
      <c r="K331" s="4" t="inlineStr">
        <is>
          <t>log</t>
        </is>
      </c>
      <c r="L331" s="4" t="inlineStr">
        <is>
          <t>full_cure6</t>
        </is>
      </c>
      <c r="M331" s="11" t="n">
        <v>-0.648688758794882</v>
      </c>
      <c r="N331" s="11" t="n">
        <v>-0.4104632329503404</v>
      </c>
      <c r="O331" s="11" t="n">
        <v>-3.834155119003633</v>
      </c>
      <c r="P331" s="4" t="n">
        <v>1</v>
      </c>
      <c r="Q331" s="11" t="n">
        <v>0.603613886502845</v>
      </c>
      <c r="R331" s="11" t="n">
        <v>0</v>
      </c>
      <c r="S331" s="11" t="n">
        <v>2.37377897626242</v>
      </c>
      <c r="T331" s="11" t="n">
        <v>1.429407609390371</v>
      </c>
      <c r="U331" s="11" t="n">
        <v>0.933649289099526</v>
      </c>
      <c r="V331" s="11" t="n">
        <v>2.068511376398926</v>
      </c>
      <c r="W331" s="12" t="n">
        <v>5.539446353912354</v>
      </c>
    </row>
    <row r="332">
      <c r="A332" s="4" t="n">
        <v>331</v>
      </c>
      <c r="B332" s="4" t="inlineStr">
        <is>
          <t>m100_MPa</t>
        </is>
      </c>
      <c r="C332" s="4" t="inlineStr">
        <is>
          <t>Exp2_BO</t>
        </is>
      </c>
      <c r="D332" s="4" t="n">
        <v>0</v>
      </c>
      <c r="E332" s="4" t="n">
        <v>3</v>
      </c>
      <c r="F332" s="4" t="inlineStr">
        <is>
          <t>GP</t>
        </is>
      </c>
      <c r="G332" s="4" t="inlineStr">
        <is>
          <t>rbf</t>
        </is>
      </c>
      <c r="H332" s="4" t="b">
        <v>1</v>
      </c>
      <c r="I332" s="4" t="b">
        <v>0</v>
      </c>
      <c r="J332" s="4" t="inlineStr">
        <is>
          <t>std</t>
        </is>
      </c>
      <c r="K332" s="4" t="inlineStr">
        <is>
          <t>none</t>
        </is>
      </c>
      <c r="L332" s="4" t="inlineStr">
        <is>
          <t>full</t>
        </is>
      </c>
      <c r="M332" s="11" t="n">
        <v>-0.7514334470008721</v>
      </c>
      <c r="N332" s="11" t="n">
        <v>-0.9881267559191088</v>
      </c>
      <c r="O332" s="11" t="n">
        <v>-3.411241953703</v>
      </c>
      <c r="P332" s="4" t="n">
        <v>1</v>
      </c>
      <c r="Q332" s="11" t="n">
        <v>0.579428703147667</v>
      </c>
      <c r="R332" s="11" t="n">
        <v>0</v>
      </c>
      <c r="S332" s="11" t="n">
        <v>2.445123942025011</v>
      </c>
      <c r="T332" s="11" t="n">
        <v>1.625160022456394</v>
      </c>
      <c r="U332" s="11" t="n">
        <v>0.9289099526066352</v>
      </c>
      <c r="V332" s="11" t="n">
        <v>2.261489126851713</v>
      </c>
      <c r="W332" s="12" t="n">
        <v>27.73420143127441</v>
      </c>
    </row>
    <row r="333">
      <c r="A333" s="4" t="n">
        <v>332</v>
      </c>
      <c r="B333" s="4" t="inlineStr">
        <is>
          <t>m100_MPa</t>
        </is>
      </c>
      <c r="C333" s="4" t="inlineStr">
        <is>
          <t>Exp2_BO</t>
        </is>
      </c>
      <c r="D333" s="4" t="n">
        <v>0</v>
      </c>
      <c r="E333" s="4" t="n">
        <v>4</v>
      </c>
      <c r="F333" s="4" t="inlineStr">
        <is>
          <t>GP</t>
        </is>
      </c>
      <c r="G333" s="4" t="inlineStr">
        <is>
          <t>matern12</t>
        </is>
      </c>
      <c r="H333" s="4" t="b">
        <v>0</v>
      </c>
      <c r="I333" s="4" t="b">
        <v>1</v>
      </c>
      <c r="J333" s="4" t="inlineStr">
        <is>
          <t>std</t>
        </is>
      </c>
      <c r="K333" s="4" t="inlineStr">
        <is>
          <t>none</t>
        </is>
      </c>
      <c r="L333" s="4" t="inlineStr">
        <is>
          <t>compact</t>
        </is>
      </c>
      <c r="M333" s="11" t="n">
        <v>0.9616706775524602</v>
      </c>
      <c r="N333" s="11" t="n">
        <v>-0.943374046557916</v>
      </c>
      <c r="O333" s="11" t="n">
        <v>-3.398162894928735</v>
      </c>
      <c r="P333" s="4" t="n">
        <v>1</v>
      </c>
      <c r="Q333" s="11" t="n">
        <v>0.6585089360617435</v>
      </c>
      <c r="R333" s="11" t="n">
        <v>0</v>
      </c>
      <c r="S333" s="11" t="n">
        <v>2.203285291206047</v>
      </c>
      <c r="T333" s="11" t="n">
        <v>1.538230866139904</v>
      </c>
      <c r="U333" s="11" t="n">
        <v>0.9289099526066352</v>
      </c>
      <c r="V333" s="11" t="n">
        <v>2.222214743731517</v>
      </c>
      <c r="W333" s="12" t="n">
        <v>5.104648113250732</v>
      </c>
    </row>
    <row r="334">
      <c r="A334" s="4" t="n">
        <v>333</v>
      </c>
      <c r="B334" s="4" t="inlineStr">
        <is>
          <t>m100_MPa</t>
        </is>
      </c>
      <c r="C334" s="4" t="inlineStr">
        <is>
          <t>Exp2_BO</t>
        </is>
      </c>
      <c r="D334" s="4" t="n">
        <v>0</v>
      </c>
      <c r="E334" s="4" t="n">
        <v>5</v>
      </c>
      <c r="F334" s="4" t="inlineStr">
        <is>
          <t>GP</t>
        </is>
      </c>
      <c r="G334" s="4" t="inlineStr">
        <is>
          <t>rq</t>
        </is>
      </c>
      <c r="H334" s="4" t="b">
        <v>0</v>
      </c>
      <c r="I334" s="4" t="b">
        <v>1</v>
      </c>
      <c r="J334" s="4" t="inlineStr">
        <is>
          <t>std</t>
        </is>
      </c>
      <c r="K334" s="4" t="inlineStr">
        <is>
          <t>log</t>
        </is>
      </c>
      <c r="L334" s="4" t="inlineStr">
        <is>
          <t>full</t>
        </is>
      </c>
      <c r="M334" s="11" t="n">
        <v>0.4429766803881634</v>
      </c>
      <c r="N334" s="11" t="n">
        <v>-1.423937032572822</v>
      </c>
      <c r="O334" s="11" t="n">
        <v>-4.759032497764178</v>
      </c>
      <c r="P334" s="4" t="n">
        <v>1</v>
      </c>
      <c r="Q334" s="11" t="n">
        <v>0.6354868786188359</v>
      </c>
      <c r="R334" s="11" t="n">
        <v>0</v>
      </c>
      <c r="S334" s="11" t="n">
        <v>2.276342707557734</v>
      </c>
      <c r="T334" s="11" t="n">
        <v>1.495016782640666</v>
      </c>
      <c r="U334" s="11" t="n">
        <v>0.919431279620853</v>
      </c>
      <c r="V334" s="11" t="n">
        <v>2.108595456585431</v>
      </c>
      <c r="W334" s="12" t="n">
        <v>7.99882984161377</v>
      </c>
    </row>
    <row r="335">
      <c r="A335" s="4" t="n">
        <v>334</v>
      </c>
      <c r="B335" s="4" t="inlineStr">
        <is>
          <t>m100_MPa</t>
        </is>
      </c>
      <c r="C335" s="4" t="inlineStr">
        <is>
          <t>Exp2_BO</t>
        </is>
      </c>
      <c r="D335" s="4" t="n">
        <v>0</v>
      </c>
      <c r="E335" s="4" t="n">
        <v>6</v>
      </c>
      <c r="F335" s="4" t="inlineStr">
        <is>
          <t>GP</t>
        </is>
      </c>
      <c r="G335" s="4" t="inlineStr">
        <is>
          <t>matern32</t>
        </is>
      </c>
      <c r="H335" s="4" t="b">
        <v>1</v>
      </c>
      <c r="I335" s="4" t="b">
        <v>1</v>
      </c>
      <c r="J335" s="4" t="inlineStr">
        <is>
          <t>log1p</t>
        </is>
      </c>
      <c r="K335" s="4" t="inlineStr">
        <is>
          <t>none</t>
        </is>
      </c>
      <c r="L335" s="4" t="inlineStr">
        <is>
          <t>compact</t>
        </is>
      </c>
      <c r="M335" s="11" t="n">
        <v>-0.2844096065818595</v>
      </c>
      <c r="N335" s="11" t="n">
        <v>-1.285410507810717</v>
      </c>
      <c r="O335" s="11" t="n">
        <v>-4.712522435696231</v>
      </c>
      <c r="P335" s="4" t="n">
        <v>1</v>
      </c>
      <c r="Q335" s="11" t="n">
        <v>0.620208334364456</v>
      </c>
      <c r="R335" s="11" t="n">
        <v>0</v>
      </c>
      <c r="S335" s="11" t="n">
        <v>2.323559394896844</v>
      </c>
      <c r="T335" s="11" t="n">
        <v>1.605639444849905</v>
      </c>
      <c r="U335" s="11" t="n">
        <v>0.919431279620853</v>
      </c>
      <c r="V335" s="11" t="n">
        <v>2.277962444589362</v>
      </c>
      <c r="W335" s="12" t="n">
        <v>35.33597445487976</v>
      </c>
    </row>
    <row r="336">
      <c r="A336" s="4" t="n">
        <v>335</v>
      </c>
      <c r="B336" s="4" t="inlineStr">
        <is>
          <t>m100_MPa</t>
        </is>
      </c>
      <c r="C336" s="4" t="inlineStr">
        <is>
          <t>Exp2_BO</t>
        </is>
      </c>
      <c r="D336" s="4" t="n">
        <v>0</v>
      </c>
      <c r="E336" s="4" t="n">
        <v>7</v>
      </c>
      <c r="F336" s="4" t="inlineStr">
        <is>
          <t>GP</t>
        </is>
      </c>
      <c r="G336" s="4" t="inlineStr">
        <is>
          <t>matern52</t>
        </is>
      </c>
      <c r="H336" s="4" t="b">
        <v>0</v>
      </c>
      <c r="I336" s="4" t="b">
        <v>1</v>
      </c>
      <c r="J336" s="4" t="inlineStr">
        <is>
          <t>std</t>
        </is>
      </c>
      <c r="K336" s="4" t="inlineStr">
        <is>
          <t>log</t>
        </is>
      </c>
      <c r="L336" s="4" t="inlineStr">
        <is>
          <t>full_agg</t>
        </is>
      </c>
      <c r="M336" s="11" t="n">
        <v>0.7805487040095846</v>
      </c>
      <c r="N336" s="11" t="n">
        <v>-2.318527219399861</v>
      </c>
      <c r="O336" s="11" t="n">
        <v>-3.50725142125583</v>
      </c>
      <c r="P336" s="4" t="n">
        <v>1</v>
      </c>
      <c r="Q336" s="11" t="n">
        <v>0.6216546113768128</v>
      </c>
      <c r="R336" s="11" t="n">
        <v>0</v>
      </c>
      <c r="S336" s="11" t="n">
        <v>2.319131025051884</v>
      </c>
      <c r="T336" s="11" t="n">
        <v>1.462020170157383</v>
      </c>
      <c r="U336" s="11" t="n">
        <v>0.914691943127962</v>
      </c>
      <c r="V336" s="11" t="n">
        <v>2.088620898038598</v>
      </c>
      <c r="W336" s="12" t="n">
        <v>4.738148212432861</v>
      </c>
    </row>
    <row r="337">
      <c r="A337" s="4" t="n">
        <v>336</v>
      </c>
      <c r="B337" s="4" t="inlineStr">
        <is>
          <t>m100_MPa</t>
        </is>
      </c>
      <c r="C337" s="4" t="inlineStr">
        <is>
          <t>Exp2_BO</t>
        </is>
      </c>
      <c r="D337" s="4" t="n">
        <v>0</v>
      </c>
      <c r="E337" s="4" t="n">
        <v>8</v>
      </c>
      <c r="F337" s="4" t="inlineStr">
        <is>
          <t>GP</t>
        </is>
      </c>
      <c r="G337" s="4" t="inlineStr">
        <is>
          <t>matern12</t>
        </is>
      </c>
      <c r="H337" s="4" t="b">
        <v>0</v>
      </c>
      <c r="I337" s="4" t="b">
        <v>1</v>
      </c>
      <c r="J337" s="4" t="inlineStr">
        <is>
          <t>std</t>
        </is>
      </c>
      <c r="K337" s="4" t="inlineStr">
        <is>
          <t>none</t>
        </is>
      </c>
      <c r="L337" s="4" t="inlineStr">
        <is>
          <t>full_cure6</t>
        </is>
      </c>
      <c r="M337" s="11" t="n">
        <v>0.9219744817257234</v>
      </c>
      <c r="N337" s="11" t="n">
        <v>-2.711809448103386</v>
      </c>
      <c r="O337" s="11" t="n">
        <v>-5.709593265912936</v>
      </c>
      <c r="P337" s="4" t="n">
        <v>1</v>
      </c>
      <c r="Q337" s="11" t="n">
        <v>0.7286320208335783</v>
      </c>
      <c r="R337" s="11" t="n">
        <v>0</v>
      </c>
      <c r="S337" s="11" t="n">
        <v>1.964085383235533</v>
      </c>
      <c r="T337" s="11" t="n">
        <v>1.3725248753531</v>
      </c>
      <c r="U337" s="11" t="n">
        <v>0.95260663507109</v>
      </c>
      <c r="V337" s="11" t="n">
        <v>2.109650033979653</v>
      </c>
      <c r="W337" s="12" t="n">
        <v>6.339093208312988</v>
      </c>
    </row>
    <row r="338">
      <c r="A338" s="4" t="n">
        <v>337</v>
      </c>
      <c r="B338" s="4" t="inlineStr">
        <is>
          <t>m100_MPa</t>
        </is>
      </c>
      <c r="C338" s="4" t="inlineStr">
        <is>
          <t>Exp2_BO</t>
        </is>
      </c>
      <c r="D338" s="4" t="n">
        <v>0</v>
      </c>
      <c r="E338" s="4" t="n">
        <v>9</v>
      </c>
      <c r="F338" s="4" t="inlineStr">
        <is>
          <t>GP</t>
        </is>
      </c>
      <c r="G338" s="4" t="inlineStr">
        <is>
          <t>rq</t>
        </is>
      </c>
      <c r="H338" s="4" t="b">
        <v>0</v>
      </c>
      <c r="I338" s="4" t="b">
        <v>1</v>
      </c>
      <c r="J338" s="4" t="inlineStr">
        <is>
          <t>std</t>
        </is>
      </c>
      <c r="K338" s="4" t="inlineStr">
        <is>
          <t>none</t>
        </is>
      </c>
      <c r="L338" s="4" t="inlineStr">
        <is>
          <t>full_cure6</t>
        </is>
      </c>
      <c r="M338" s="11" t="n">
        <v>0.1975794839644973</v>
      </c>
      <c r="N338" s="11" t="n">
        <v>-2.297250884557806</v>
      </c>
      <c r="O338" s="11" t="n">
        <v>-5.902408423815511</v>
      </c>
      <c r="P338" s="4" t="n">
        <v>1</v>
      </c>
      <c r="Q338" s="11" t="n">
        <v>0.7258909584917905</v>
      </c>
      <c r="R338" s="11" t="n">
        <v>0</v>
      </c>
      <c r="S338" s="11" t="n">
        <v>1.973979980444462</v>
      </c>
      <c r="T338" s="11" t="n">
        <v>1.390626851395684</v>
      </c>
      <c r="U338" s="11" t="n">
        <v>0.943127962085308</v>
      </c>
      <c r="V338" s="11" t="n">
        <v>2.10520739303781</v>
      </c>
      <c r="W338" s="12" t="n">
        <v>9.062526941299438</v>
      </c>
    </row>
    <row r="339">
      <c r="A339" s="4" t="n">
        <v>338</v>
      </c>
      <c r="B339" s="4" t="inlineStr">
        <is>
          <t>m100_MPa</t>
        </is>
      </c>
      <c r="C339" s="4" t="inlineStr">
        <is>
          <t>Exp2_BO</t>
        </is>
      </c>
      <c r="D339" s="4" t="n">
        <v>0</v>
      </c>
      <c r="E339" s="4" t="n">
        <v>10</v>
      </c>
      <c r="F339" s="4" t="inlineStr">
        <is>
          <t>GP</t>
        </is>
      </c>
      <c r="G339" s="4" t="inlineStr">
        <is>
          <t>rbf</t>
        </is>
      </c>
      <c r="H339" s="4" t="b">
        <v>0</v>
      </c>
      <c r="I339" s="4" t="b">
        <v>1</v>
      </c>
      <c r="J339" s="4" t="inlineStr">
        <is>
          <t>std</t>
        </is>
      </c>
      <c r="K339" s="4" t="inlineStr">
        <is>
          <t>none</t>
        </is>
      </c>
      <c r="L339" s="4" t="inlineStr">
        <is>
          <t>full_cure6</t>
        </is>
      </c>
      <c r="M339" s="11" t="n">
        <v>0.9219744817257234</v>
      </c>
      <c r="N339" s="11" t="n">
        <v>-2.711809448103386</v>
      </c>
      <c r="O339" s="11" t="n">
        <v>-5.709593265912936</v>
      </c>
      <c r="P339" s="4" t="n">
        <v>1</v>
      </c>
      <c r="Q339" s="11" t="n">
        <v>0.7258898500051776</v>
      </c>
      <c r="R339" s="11" t="n">
        <v>0</v>
      </c>
      <c r="S339" s="11" t="n">
        <v>1.973983971790677</v>
      </c>
      <c r="T339" s="11" t="n">
        <v>1.390652922992098</v>
      </c>
      <c r="U339" s="11" t="n">
        <v>0.943127962085308</v>
      </c>
      <c r="V339" s="11" t="n">
        <v>2.105207857688983</v>
      </c>
      <c r="W339" s="12" t="n">
        <v>4.769228935241699</v>
      </c>
    </row>
    <row r="340">
      <c r="A340" s="4" t="n">
        <v>339</v>
      </c>
      <c r="B340" s="4" t="inlineStr">
        <is>
          <t>m100_MPa</t>
        </is>
      </c>
      <c r="C340" s="4" t="inlineStr">
        <is>
          <t>Exp2_BO</t>
        </is>
      </c>
      <c r="D340" s="4" t="n">
        <v>0</v>
      </c>
      <c r="E340" s="4" t="n">
        <v>11</v>
      </c>
      <c r="F340" s="4" t="inlineStr">
        <is>
          <t>GP</t>
        </is>
      </c>
      <c r="G340" s="4" t="inlineStr">
        <is>
          <t>matern12</t>
        </is>
      </c>
      <c r="H340" s="4" t="b">
        <v>1</v>
      </c>
      <c r="I340" s="4" t="b">
        <v>1</v>
      </c>
      <c r="J340" s="4" t="inlineStr">
        <is>
          <t>std</t>
        </is>
      </c>
      <c r="K340" s="4" t="inlineStr">
        <is>
          <t>none</t>
        </is>
      </c>
      <c r="L340" s="4" t="inlineStr">
        <is>
          <t>full_cure6</t>
        </is>
      </c>
      <c r="M340" s="11" t="n">
        <v>0.9219744817257234</v>
      </c>
      <c r="N340" s="11" t="n">
        <v>-2.711809448103386</v>
      </c>
      <c r="O340" s="11" t="n">
        <v>-5.709593265912936</v>
      </c>
      <c r="P340" s="4" t="n">
        <v>1</v>
      </c>
      <c r="Q340" s="11" t="n">
        <v>0.7032119075702636</v>
      </c>
      <c r="R340" s="11" t="n">
        <v>0</v>
      </c>
      <c r="S340" s="11" t="n">
        <v>2.054018257451185</v>
      </c>
      <c r="T340" s="11" t="n">
        <v>1.481434107557535</v>
      </c>
      <c r="U340" s="11" t="n">
        <v>0.924170616113744</v>
      </c>
      <c r="V340" s="11" t="n">
        <v>2.196486638496042</v>
      </c>
      <c r="W340" s="12" t="n">
        <v>67.88355207443237</v>
      </c>
    </row>
    <row r="341">
      <c r="A341" s="4" t="n">
        <v>340</v>
      </c>
      <c r="B341" s="4" t="inlineStr">
        <is>
          <t>m100_MPa</t>
        </is>
      </c>
      <c r="C341" s="4" t="inlineStr">
        <is>
          <t>Exp2_BO</t>
        </is>
      </c>
      <c r="D341" s="4" t="n">
        <v>0</v>
      </c>
      <c r="E341" s="4" t="n">
        <v>12</v>
      </c>
      <c r="F341" s="4" t="inlineStr">
        <is>
          <t>GP</t>
        </is>
      </c>
      <c r="G341" s="4" t="inlineStr">
        <is>
          <t>matern32</t>
        </is>
      </c>
      <c r="H341" s="4" t="b">
        <v>0</v>
      </c>
      <c r="I341" s="4" t="b">
        <v>1</v>
      </c>
      <c r="J341" s="4" t="inlineStr">
        <is>
          <t>std</t>
        </is>
      </c>
      <c r="K341" s="4" t="inlineStr">
        <is>
          <t>none</t>
        </is>
      </c>
      <c r="L341" s="4" t="inlineStr">
        <is>
          <t>full_cure6</t>
        </is>
      </c>
      <c r="M341" s="11" t="n">
        <v>0.9219744817257234</v>
      </c>
      <c r="N341" s="11" t="n">
        <v>-2.711809448103386</v>
      </c>
      <c r="O341" s="11" t="n">
        <v>-5.709593265912936</v>
      </c>
      <c r="P341" s="4" t="n">
        <v>1</v>
      </c>
      <c r="Q341" s="11" t="n">
        <v>0.7273657383135432</v>
      </c>
      <c r="R341" s="11" t="n">
        <v>0</v>
      </c>
      <c r="S341" s="11" t="n">
        <v>1.968662548855305</v>
      </c>
      <c r="T341" s="11" t="n">
        <v>1.370312111601601</v>
      </c>
      <c r="U341" s="11" t="n">
        <v>0.9478672985781992</v>
      </c>
      <c r="V341" s="11" t="n">
        <v>2.107356866698821</v>
      </c>
      <c r="W341" s="12" t="n">
        <v>5.197118759155273</v>
      </c>
    </row>
    <row r="342">
      <c r="A342" s="4" t="n">
        <v>341</v>
      </c>
      <c r="B342" s="4" t="inlineStr">
        <is>
          <t>m100_MPa</t>
        </is>
      </c>
      <c r="C342" s="4" t="inlineStr">
        <is>
          <t>Exp2_BO</t>
        </is>
      </c>
      <c r="D342" s="4" t="n">
        <v>0</v>
      </c>
      <c r="E342" s="4" t="n">
        <v>13</v>
      </c>
      <c r="F342" s="4" t="inlineStr">
        <is>
          <t>GP</t>
        </is>
      </c>
      <c r="G342" s="4" t="inlineStr">
        <is>
          <t>matern12</t>
        </is>
      </c>
      <c r="H342" s="4" t="b">
        <v>0</v>
      </c>
      <c r="I342" s="4" t="b">
        <v>1</v>
      </c>
      <c r="J342" s="4" t="inlineStr">
        <is>
          <t>log1p</t>
        </is>
      </c>
      <c r="K342" s="4" t="inlineStr">
        <is>
          <t>none</t>
        </is>
      </c>
      <c r="L342" s="4" t="inlineStr">
        <is>
          <t>full_cure6</t>
        </is>
      </c>
      <c r="M342" s="11" t="n">
        <v>0.9219744817257234</v>
      </c>
      <c r="N342" s="11" t="n">
        <v>-2.711809448103386</v>
      </c>
      <c r="O342" s="11" t="n">
        <v>-5.709593265912936</v>
      </c>
      <c r="P342" s="4" t="n">
        <v>1</v>
      </c>
      <c r="Q342" s="11" t="n">
        <v>0.6617022438809408</v>
      </c>
      <c r="R342" s="11" t="n">
        <v>0</v>
      </c>
      <c r="S342" s="11" t="n">
        <v>2.192959554687852</v>
      </c>
      <c r="T342" s="11" t="n">
        <v>1.445698288989625</v>
      </c>
      <c r="U342" s="11" t="n">
        <v>0.9478672985781992</v>
      </c>
      <c r="V342" s="11" t="n">
        <v>2.216112306389967</v>
      </c>
      <c r="W342" s="12" t="n">
        <v>4.671668529510498</v>
      </c>
    </row>
    <row r="343">
      <c r="A343" s="4" t="n">
        <v>342</v>
      </c>
      <c r="B343" s="4" t="inlineStr">
        <is>
          <t>m100_MPa</t>
        </is>
      </c>
      <c r="C343" s="4" t="inlineStr">
        <is>
          <t>Exp2_BO</t>
        </is>
      </c>
      <c r="D343" s="4" t="n">
        <v>0</v>
      </c>
      <c r="E343" s="4" t="n">
        <v>14</v>
      </c>
      <c r="F343" s="4" t="inlineStr">
        <is>
          <t>GP</t>
        </is>
      </c>
      <c r="G343" s="4" t="inlineStr">
        <is>
          <t>matern32</t>
        </is>
      </c>
      <c r="H343" s="4" t="b">
        <v>0</v>
      </c>
      <c r="I343" s="4" t="b">
        <v>1</v>
      </c>
      <c r="J343" s="4" t="inlineStr">
        <is>
          <t>log1p</t>
        </is>
      </c>
      <c r="K343" s="4" t="inlineStr">
        <is>
          <t>log</t>
        </is>
      </c>
      <c r="L343" s="4" t="inlineStr">
        <is>
          <t>compact</t>
        </is>
      </c>
      <c r="M343" s="11" t="n">
        <v>0.0234693852523459</v>
      </c>
      <c r="N343" s="11" t="n">
        <v>-2.893592028450661</v>
      </c>
      <c r="O343" s="11" t="n">
        <v>-4.294738145959652</v>
      </c>
      <c r="P343" s="4" t="n">
        <v>1</v>
      </c>
      <c r="Q343" s="11" t="n">
        <v>0.6000308335572864</v>
      </c>
      <c r="R343" s="11" t="n">
        <v>0</v>
      </c>
      <c r="S343" s="11" t="n">
        <v>2.384483490354248</v>
      </c>
      <c r="T343" s="11" t="n">
        <v>1.569233666909832</v>
      </c>
      <c r="U343" s="11" t="n">
        <v>0.9383886255924172</v>
      </c>
      <c r="V343" s="11" t="n">
        <v>2.166746349993368</v>
      </c>
      <c r="W343" s="12" t="n">
        <v>4.890555143356323</v>
      </c>
    </row>
    <row r="344">
      <c r="A344" s="4" t="n">
        <v>343</v>
      </c>
      <c r="B344" s="4" t="inlineStr">
        <is>
          <t>m100_MPa</t>
        </is>
      </c>
      <c r="C344" s="4" t="inlineStr">
        <is>
          <t>Exp2_BO</t>
        </is>
      </c>
      <c r="D344" s="4" t="n">
        <v>0</v>
      </c>
      <c r="E344" s="4" t="n">
        <v>15</v>
      </c>
      <c r="F344" s="4" t="inlineStr">
        <is>
          <t>GP</t>
        </is>
      </c>
      <c r="G344" s="4" t="inlineStr">
        <is>
          <t>rbf</t>
        </is>
      </c>
      <c r="H344" s="4" t="b">
        <v>0</v>
      </c>
      <c r="I344" s="4" t="b">
        <v>0</v>
      </c>
      <c r="J344" s="4" t="inlineStr">
        <is>
          <t>log1p</t>
        </is>
      </c>
      <c r="K344" s="4" t="inlineStr">
        <is>
          <t>log</t>
        </is>
      </c>
      <c r="L344" s="4" t="inlineStr">
        <is>
          <t>full_cure6</t>
        </is>
      </c>
      <c r="M344" s="11" t="n">
        <v>0.254829063782122</v>
      </c>
      <c r="N344" s="11" t="n">
        <v>-1.61892825394494</v>
      </c>
      <c r="O344" s="11" t="n">
        <v>-3.281860111699115</v>
      </c>
      <c r="P344" s="4" t="n">
        <v>1</v>
      </c>
      <c r="Q344" s="11" t="n">
        <v>0.6583227860135268</v>
      </c>
      <c r="R344" s="11" t="n">
        <v>0</v>
      </c>
      <c r="S344" s="11" t="n">
        <v>2.203885725344289</v>
      </c>
      <c r="T344" s="11" t="n">
        <v>1.410257721551357</v>
      </c>
      <c r="U344" s="11" t="n">
        <v>0.943127962085308</v>
      </c>
      <c r="V344" s="11" t="n">
        <v>2.195129956174744</v>
      </c>
      <c r="W344" s="12" t="n">
        <v>1.362359523773193</v>
      </c>
    </row>
    <row r="345">
      <c r="A345" s="4" t="n">
        <v>344</v>
      </c>
      <c r="B345" s="4" t="inlineStr">
        <is>
          <t>m100_MPa</t>
        </is>
      </c>
      <c r="C345" s="4" t="inlineStr">
        <is>
          <t>Exp2_BO</t>
        </is>
      </c>
      <c r="D345" s="4" t="n">
        <v>0</v>
      </c>
      <c r="E345" s="4" t="n">
        <v>16</v>
      </c>
      <c r="F345" s="4" t="inlineStr">
        <is>
          <t>GP</t>
        </is>
      </c>
      <c r="G345" s="4" t="inlineStr">
        <is>
          <t>matern12</t>
        </is>
      </c>
      <c r="H345" s="4" t="b">
        <v>1</v>
      </c>
      <c r="I345" s="4" t="b">
        <v>0</v>
      </c>
      <c r="J345" s="4" t="inlineStr">
        <is>
          <t>std</t>
        </is>
      </c>
      <c r="K345" s="4" t="inlineStr">
        <is>
          <t>log</t>
        </is>
      </c>
      <c r="L345" s="4" t="inlineStr">
        <is>
          <t>compact</t>
        </is>
      </c>
      <c r="M345" s="11" t="n">
        <v>-0.7886679814805388</v>
      </c>
      <c r="N345" s="11" t="n">
        <v>-2.488985000352425</v>
      </c>
      <c r="O345" s="11" t="n">
        <v>-5.109220148622682</v>
      </c>
      <c r="P345" s="4" t="n">
        <v>1</v>
      </c>
      <c r="Q345" s="11" t="n">
        <v>0.6020910795415619</v>
      </c>
      <c r="R345" s="11" t="n">
        <v>0</v>
      </c>
      <c r="S345" s="11" t="n">
        <v>2.378334309944067</v>
      </c>
      <c r="T345" s="11" t="n">
        <v>1.618934185001013</v>
      </c>
      <c r="U345" s="11" t="n">
        <v>0.924170616113744</v>
      </c>
      <c r="V345" s="11" t="n">
        <v>2.260067791900396</v>
      </c>
      <c r="W345" s="12" t="n">
        <v>46.07963752746582</v>
      </c>
    </row>
    <row r="346">
      <c r="A346" s="4" t="n">
        <v>345</v>
      </c>
      <c r="B346" s="4" t="inlineStr">
        <is>
          <t>m100_MPa</t>
        </is>
      </c>
      <c r="C346" s="4" t="inlineStr">
        <is>
          <t>Exp2_BO</t>
        </is>
      </c>
      <c r="D346" s="4" t="n">
        <v>0</v>
      </c>
      <c r="E346" s="4" t="n">
        <v>17</v>
      </c>
      <c r="F346" s="4" t="inlineStr">
        <is>
          <t>GP</t>
        </is>
      </c>
      <c r="G346" s="4" t="inlineStr">
        <is>
          <t>rq</t>
        </is>
      </c>
      <c r="H346" s="4" t="b">
        <v>1</v>
      </c>
      <c r="I346" s="4" t="b">
        <v>0</v>
      </c>
      <c r="J346" s="4" t="inlineStr">
        <is>
          <t>log1p</t>
        </is>
      </c>
      <c r="K346" s="4" t="inlineStr">
        <is>
          <t>none</t>
        </is>
      </c>
      <c r="L346" s="4" t="inlineStr">
        <is>
          <t>compact</t>
        </is>
      </c>
      <c r="M346" s="11" t="n">
        <v>0.1826180893734101</v>
      </c>
      <c r="N346" s="11" t="n">
        <v>-2.985482321155386</v>
      </c>
      <c r="O346" s="11" t="n">
        <v>-5.464558325475711</v>
      </c>
      <c r="P346" s="4" t="n">
        <v>1</v>
      </c>
      <c r="Q346" s="11" t="n">
        <v>0.5865951416249029</v>
      </c>
      <c r="R346" s="11" t="n">
        <v>0</v>
      </c>
      <c r="S346" s="11" t="n">
        <v>2.424202258214663</v>
      </c>
      <c r="T346" s="11" t="n">
        <v>1.624471101659243</v>
      </c>
      <c r="U346" s="11" t="n">
        <v>0.914691943127962</v>
      </c>
      <c r="V346" s="11" t="n">
        <v>2.312917725087811</v>
      </c>
      <c r="W346" s="12" t="n">
        <v>4.340795516967773</v>
      </c>
    </row>
    <row r="347">
      <c r="A347" s="4" t="n">
        <v>346</v>
      </c>
      <c r="B347" s="4" t="inlineStr">
        <is>
          <t>m100_MPa</t>
        </is>
      </c>
      <c r="C347" s="4" t="inlineStr">
        <is>
          <t>Exp2_BO</t>
        </is>
      </c>
      <c r="D347" s="4" t="n">
        <v>0</v>
      </c>
      <c r="E347" s="4" t="n">
        <v>18</v>
      </c>
      <c r="F347" s="4" t="inlineStr">
        <is>
          <t>GP</t>
        </is>
      </c>
      <c r="G347" s="4" t="inlineStr">
        <is>
          <t>matern12</t>
        </is>
      </c>
      <c r="H347" s="4" t="b">
        <v>1</v>
      </c>
      <c r="I347" s="4" t="b">
        <v>1</v>
      </c>
      <c r="J347" s="4" t="inlineStr">
        <is>
          <t>log1p</t>
        </is>
      </c>
      <c r="K347" s="4" t="inlineStr">
        <is>
          <t>log</t>
        </is>
      </c>
      <c r="L347" s="4" t="inlineStr">
        <is>
          <t>full</t>
        </is>
      </c>
      <c r="M347" s="11" t="n">
        <v>-0.97246789720044</v>
      </c>
      <c r="N347" s="11" t="n">
        <v>-1.090711253716965</v>
      </c>
      <c r="O347" s="11" t="n">
        <v>-2.076391618563224</v>
      </c>
      <c r="P347" s="4" t="n">
        <v>1</v>
      </c>
      <c r="Q347" s="11" t="n">
        <v>0.4427374931856521</v>
      </c>
      <c r="R347" s="11" t="n">
        <v>0</v>
      </c>
      <c r="S347" s="11" t="n">
        <v>2.81456300854164</v>
      </c>
      <c r="T347" s="11" t="n">
        <v>1.71801466055512</v>
      </c>
      <c r="U347" s="11" t="n">
        <v>0.8957345971563981</v>
      </c>
      <c r="V347" s="11" t="n">
        <v>2.236939069269028</v>
      </c>
      <c r="W347" s="12" t="n">
        <v>68.65578055381775</v>
      </c>
    </row>
    <row r="348">
      <c r="A348" s="4" t="n">
        <v>347</v>
      </c>
      <c r="B348" s="4" t="inlineStr">
        <is>
          <t>m100_MPa</t>
        </is>
      </c>
      <c r="C348" s="4" t="inlineStr">
        <is>
          <t>Exp2_BO</t>
        </is>
      </c>
      <c r="D348" s="4" t="n">
        <v>0</v>
      </c>
      <c r="E348" s="4" t="n">
        <v>19</v>
      </c>
      <c r="F348" s="4" t="inlineStr">
        <is>
          <t>GP</t>
        </is>
      </c>
      <c r="G348" s="4" t="inlineStr">
        <is>
          <t>matern52</t>
        </is>
      </c>
      <c r="H348" s="4" t="b">
        <v>0</v>
      </c>
      <c r="I348" s="4" t="b">
        <v>1</v>
      </c>
      <c r="J348" s="4" t="inlineStr">
        <is>
          <t>std</t>
        </is>
      </c>
      <c r="K348" s="4" t="inlineStr">
        <is>
          <t>none</t>
        </is>
      </c>
      <c r="L348" s="4" t="inlineStr">
        <is>
          <t>full_agg</t>
        </is>
      </c>
      <c r="M348" s="11" t="n">
        <v>0.7939375475534636</v>
      </c>
      <c r="N348" s="11" t="n">
        <v>-1.284029896801803</v>
      </c>
      <c r="O348" s="11" t="n">
        <v>-5.761373304058036</v>
      </c>
      <c r="P348" s="4" t="n">
        <v>1</v>
      </c>
      <c r="Q348" s="11" t="n">
        <v>0.6876789415457403</v>
      </c>
      <c r="R348" s="11" t="n">
        <v>0</v>
      </c>
      <c r="S348" s="11" t="n">
        <v>2.107083262206403</v>
      </c>
      <c r="T348" s="11" t="n">
        <v>1.45466275049102</v>
      </c>
      <c r="U348" s="11" t="n">
        <v>0.9478672985781992</v>
      </c>
      <c r="V348" s="11" t="n">
        <v>2.168348260812932</v>
      </c>
      <c r="W348" s="12" t="n">
        <v>5.420751571655273</v>
      </c>
    </row>
    <row r="349">
      <c r="A349" s="4" t="n">
        <v>348</v>
      </c>
      <c r="B349" s="4" t="inlineStr">
        <is>
          <t>m100_MPa</t>
        </is>
      </c>
      <c r="C349" s="4" t="inlineStr">
        <is>
          <t>Exp2_BO</t>
        </is>
      </c>
      <c r="D349" s="4" t="n">
        <v>0</v>
      </c>
      <c r="E349" s="4" t="n">
        <v>20</v>
      </c>
      <c r="F349" s="4" t="inlineStr">
        <is>
          <t>GP</t>
        </is>
      </c>
      <c r="G349" s="4" t="inlineStr">
        <is>
          <t>matern12</t>
        </is>
      </c>
      <c r="H349" s="4" t="b">
        <v>1</v>
      </c>
      <c r="I349" s="4" t="b">
        <v>1</v>
      </c>
      <c r="J349" s="4" t="inlineStr">
        <is>
          <t>std</t>
        </is>
      </c>
      <c r="K349" s="4" t="inlineStr">
        <is>
          <t>none</t>
        </is>
      </c>
      <c r="L349" s="4" t="inlineStr">
        <is>
          <t>full_agg</t>
        </is>
      </c>
      <c r="M349" s="11" t="n">
        <v>0.3573091798332088</v>
      </c>
      <c r="N349" s="11" t="n">
        <v>-2.175615980504992</v>
      </c>
      <c r="O349" s="11" t="n">
        <v>-2.031899007888132</v>
      </c>
      <c r="P349" s="4" t="n">
        <v>1</v>
      </c>
      <c r="Q349" s="11" t="n">
        <v>0.6872519484830019</v>
      </c>
      <c r="R349" s="11" t="n">
        <v>0</v>
      </c>
      <c r="S349" s="11" t="n">
        <v>2.10852313090762</v>
      </c>
      <c r="T349" s="11" t="n">
        <v>1.48562462747647</v>
      </c>
      <c r="U349" s="11" t="n">
        <v>0.924170616113744</v>
      </c>
      <c r="V349" s="11" t="n">
        <v>2.214492691130654</v>
      </c>
      <c r="W349" s="12" t="n">
        <v>76.57131600379944</v>
      </c>
    </row>
    <row r="350">
      <c r="A350" s="4" t="n">
        <v>349</v>
      </c>
      <c r="B350" s="4" t="inlineStr">
        <is>
          <t>m100_MPa</t>
        </is>
      </c>
      <c r="C350" s="4" t="inlineStr">
        <is>
          <t>Exp2_BO</t>
        </is>
      </c>
      <c r="D350" s="4" t="n">
        <v>0</v>
      </c>
      <c r="E350" s="4" t="n">
        <v>21</v>
      </c>
      <c r="F350" s="4" t="inlineStr">
        <is>
          <t>GP</t>
        </is>
      </c>
      <c r="G350" s="4" t="inlineStr">
        <is>
          <t>matern12</t>
        </is>
      </c>
      <c r="H350" s="4" t="b">
        <v>0</v>
      </c>
      <c r="I350" s="4" t="b">
        <v>1</v>
      </c>
      <c r="J350" s="4" t="inlineStr">
        <is>
          <t>std</t>
        </is>
      </c>
      <c r="K350" s="4" t="inlineStr">
        <is>
          <t>none</t>
        </is>
      </c>
      <c r="L350" s="4" t="inlineStr">
        <is>
          <t>full</t>
        </is>
      </c>
      <c r="M350" s="11" t="n">
        <v>-0.7997917248364812</v>
      </c>
      <c r="N350" s="11" t="n">
        <v>-2.973087275274437</v>
      </c>
      <c r="O350" s="11" t="n">
        <v>-3.331100768824005</v>
      </c>
      <c r="P350" s="4" t="n">
        <v>1</v>
      </c>
      <c r="Q350" s="11" t="n">
        <v>0.6969136124240272</v>
      </c>
      <c r="R350" s="11" t="n">
        <v>0</v>
      </c>
      <c r="S350" s="11" t="n">
        <v>2.075698536377665</v>
      </c>
      <c r="T350" s="11" t="n">
        <v>1.463613891762435</v>
      </c>
      <c r="U350" s="11" t="n">
        <v>0.943127962085308</v>
      </c>
      <c r="V350" s="11" t="n">
        <v>2.165989585088952</v>
      </c>
      <c r="W350" s="12" t="n">
        <v>7.037058353424072</v>
      </c>
    </row>
    <row r="351">
      <c r="A351" s="4" t="n">
        <v>350</v>
      </c>
      <c r="B351" s="4" t="inlineStr">
        <is>
          <t>m100_MPa</t>
        </is>
      </c>
      <c r="C351" s="4" t="inlineStr">
        <is>
          <t>Exp2_BO</t>
        </is>
      </c>
      <c r="D351" s="4" t="n">
        <v>0</v>
      </c>
      <c r="E351" s="4" t="n">
        <v>22</v>
      </c>
      <c r="F351" s="4" t="inlineStr">
        <is>
          <t>GP</t>
        </is>
      </c>
      <c r="G351" s="4" t="inlineStr">
        <is>
          <t>matern12</t>
        </is>
      </c>
      <c r="H351" s="4" t="b">
        <v>0</v>
      </c>
      <c r="I351" s="4" t="b">
        <v>0</v>
      </c>
      <c r="J351" s="4" t="inlineStr">
        <is>
          <t>std</t>
        </is>
      </c>
      <c r="K351" s="4" t="inlineStr">
        <is>
          <t>none</t>
        </is>
      </c>
      <c r="L351" s="4" t="inlineStr">
        <is>
          <t>full_cure6</t>
        </is>
      </c>
      <c r="M351" s="11" t="n">
        <v>0.9219744817257234</v>
      </c>
      <c r="N351" s="11" t="n">
        <v>-2.711809448103386</v>
      </c>
      <c r="O351" s="11" t="n">
        <v>-5.709593265912936</v>
      </c>
      <c r="P351" s="4" t="n">
        <v>1</v>
      </c>
      <c r="Q351" s="11" t="n">
        <v>0.7177871241091691</v>
      </c>
      <c r="R351" s="11" t="n">
        <v>0</v>
      </c>
      <c r="S351" s="11" t="n">
        <v>2.002947083030763</v>
      </c>
      <c r="T351" s="11" t="n">
        <v>1.375103300994063</v>
      </c>
      <c r="U351" s="11" t="n">
        <v>0.957345971563981</v>
      </c>
      <c r="V351" s="11" t="n">
        <v>2.120676125007787</v>
      </c>
      <c r="W351" s="12" t="n">
        <v>3.264078855514526</v>
      </c>
    </row>
    <row r="352">
      <c r="A352" s="4" t="n">
        <v>351</v>
      </c>
      <c r="B352" s="4" t="inlineStr">
        <is>
          <t>m100_MPa</t>
        </is>
      </c>
      <c r="C352" s="4" t="inlineStr">
        <is>
          <t>Exp2_BO</t>
        </is>
      </c>
      <c r="D352" s="4" t="n">
        <v>0</v>
      </c>
      <c r="E352" s="4" t="n">
        <v>23</v>
      </c>
      <c r="F352" s="4" t="inlineStr">
        <is>
          <t>GP</t>
        </is>
      </c>
      <c r="G352" s="4" t="inlineStr">
        <is>
          <t>matern12</t>
        </is>
      </c>
      <c r="H352" s="4" t="b">
        <v>0</v>
      </c>
      <c r="I352" s="4" t="b">
        <v>0</v>
      </c>
      <c r="J352" s="4" t="inlineStr">
        <is>
          <t>log1p</t>
        </is>
      </c>
      <c r="K352" s="4" t="inlineStr">
        <is>
          <t>none</t>
        </is>
      </c>
      <c r="L352" s="4" t="inlineStr">
        <is>
          <t>compact</t>
        </is>
      </c>
      <c r="M352" s="11" t="n">
        <v>0.8403125008908336</v>
      </c>
      <c r="N352" s="11" t="n">
        <v>-2.376342308675321</v>
      </c>
      <c r="O352" s="11" t="n">
        <v>-3.448560075362062</v>
      </c>
      <c r="P352" s="4" t="n">
        <v>1</v>
      </c>
      <c r="Q352" s="11" t="n">
        <v>0.6178747777104485</v>
      </c>
      <c r="R352" s="11" t="n">
        <v>0</v>
      </c>
      <c r="S352" s="11" t="n">
        <v>2.330686794753382</v>
      </c>
      <c r="T352" s="11" t="n">
        <v>1.510504299207493</v>
      </c>
      <c r="U352" s="11" t="n">
        <v>0.933649289099526</v>
      </c>
      <c r="V352" s="11" t="n">
        <v>2.269218737433503</v>
      </c>
      <c r="W352" s="12" t="n">
        <v>1.974127054214477</v>
      </c>
    </row>
    <row r="353">
      <c r="A353" s="4" t="n">
        <v>352</v>
      </c>
      <c r="B353" s="4" t="inlineStr">
        <is>
          <t>m100_MPa</t>
        </is>
      </c>
      <c r="C353" s="4" t="inlineStr">
        <is>
          <t>Exp2_BO</t>
        </is>
      </c>
      <c r="D353" s="4" t="n">
        <v>0</v>
      </c>
      <c r="E353" s="4" t="n">
        <v>24</v>
      </c>
      <c r="F353" s="4" t="inlineStr">
        <is>
          <t>GP</t>
        </is>
      </c>
      <c r="G353" s="4" t="inlineStr">
        <is>
          <t>matern12</t>
        </is>
      </c>
      <c r="H353" s="4" t="b">
        <v>1</v>
      </c>
      <c r="I353" s="4" t="b">
        <v>1</v>
      </c>
      <c r="J353" s="4" t="inlineStr">
        <is>
          <t>std</t>
        </is>
      </c>
      <c r="K353" s="4" t="inlineStr">
        <is>
          <t>none</t>
        </is>
      </c>
      <c r="L353" s="4" t="inlineStr">
        <is>
          <t>compact</t>
        </is>
      </c>
      <c r="M353" s="11" t="n">
        <v>-0.2899323204988355</v>
      </c>
      <c r="N353" s="11" t="n">
        <v>-2.969553973402257</v>
      </c>
      <c r="O353" s="11" t="n">
        <v>-2.706758439569493</v>
      </c>
      <c r="P353" s="4" t="n">
        <v>1</v>
      </c>
      <c r="Q353" s="11" t="n">
        <v>0.6517367857393912</v>
      </c>
      <c r="R353" s="11" t="n">
        <v>0</v>
      </c>
      <c r="S353" s="11" t="n">
        <v>2.225024848058424</v>
      </c>
      <c r="T353" s="11" t="n">
        <v>1.538956078810645</v>
      </c>
      <c r="U353" s="11" t="n">
        <v>0.9289099526066352</v>
      </c>
      <c r="V353" s="11" t="n">
        <v>2.234816915926641</v>
      </c>
      <c r="W353" s="12" t="n">
        <v>58.9977912902832</v>
      </c>
    </row>
    <row r="354">
      <c r="A354" s="4" t="n">
        <v>353</v>
      </c>
      <c r="B354" s="4" t="inlineStr">
        <is>
          <t>m100_MPa</t>
        </is>
      </c>
      <c r="C354" s="4" t="inlineStr">
        <is>
          <t>Exp2_BO</t>
        </is>
      </c>
      <c r="D354" s="4" t="n">
        <v>0</v>
      </c>
      <c r="E354" s="4" t="n">
        <v>25</v>
      </c>
      <c r="F354" s="4" t="inlineStr">
        <is>
          <t>GP</t>
        </is>
      </c>
      <c r="G354" s="4" t="inlineStr">
        <is>
          <t>matern12</t>
        </is>
      </c>
      <c r="H354" s="4" t="b">
        <v>1</v>
      </c>
      <c r="I354" s="4" t="b">
        <v>1</v>
      </c>
      <c r="J354" s="4" t="inlineStr">
        <is>
          <t>log1p</t>
        </is>
      </c>
      <c r="K354" s="4" t="inlineStr">
        <is>
          <t>none</t>
        </is>
      </c>
      <c r="L354" s="4" t="inlineStr">
        <is>
          <t>full_cure6</t>
        </is>
      </c>
      <c r="M354" s="11" t="n">
        <v>0.9540079234691</v>
      </c>
      <c r="N354" s="11" t="n">
        <v>-1.260629134789317</v>
      </c>
      <c r="O354" s="11" t="n">
        <v>-2.414697707325047</v>
      </c>
      <c r="P354" s="4" t="n">
        <v>1</v>
      </c>
      <c r="Q354" s="11" t="n">
        <v>0.5566192401517198</v>
      </c>
      <c r="R354" s="11" t="n">
        <v>0</v>
      </c>
      <c r="S354" s="11" t="n">
        <v>2.5105535253007</v>
      </c>
      <c r="T354" s="11" t="n">
        <v>1.647979650074368</v>
      </c>
      <c r="U354" s="11" t="n">
        <v>0.914691943127962</v>
      </c>
      <c r="V354" s="11" t="n">
        <v>2.279746312905793</v>
      </c>
      <c r="W354" s="12" t="n">
        <v>79.56422638893127</v>
      </c>
    </row>
    <row r="355">
      <c r="A355" s="4" t="n">
        <v>354</v>
      </c>
      <c r="B355" s="4" t="inlineStr">
        <is>
          <t>m100_MPa</t>
        </is>
      </c>
      <c r="C355" s="4" t="inlineStr">
        <is>
          <t>Exp2_BO</t>
        </is>
      </c>
      <c r="D355" s="4" t="n">
        <v>0</v>
      </c>
      <c r="E355" s="4" t="n">
        <v>26</v>
      </c>
      <c r="F355" s="4" t="inlineStr">
        <is>
          <t>GP</t>
        </is>
      </c>
      <c r="G355" s="4" t="inlineStr">
        <is>
          <t>matern52</t>
        </is>
      </c>
      <c r="H355" s="4" t="b">
        <v>1</v>
      </c>
      <c r="I355" s="4" t="b">
        <v>1</v>
      </c>
      <c r="J355" s="4" t="inlineStr">
        <is>
          <t>std</t>
        </is>
      </c>
      <c r="K355" s="4" t="inlineStr">
        <is>
          <t>none</t>
        </is>
      </c>
      <c r="L355" s="4" t="inlineStr">
        <is>
          <t>full_cure6</t>
        </is>
      </c>
      <c r="M355" s="11" t="n">
        <v>0.5805211150577687</v>
      </c>
      <c r="N355" s="11" t="n">
        <v>-2.953373885468799</v>
      </c>
      <c r="O355" s="11" t="n">
        <v>-4.324999939868944</v>
      </c>
      <c r="P355" s="4" t="n">
        <v>1</v>
      </c>
      <c r="Q355" s="11" t="n">
        <v>0.714038805771396</v>
      </c>
      <c r="R355" s="11" t="n">
        <v>0</v>
      </c>
      <c r="S355" s="11" t="n">
        <v>2.016204661030429</v>
      </c>
      <c r="T355" s="11" t="n">
        <v>1.442283102639472</v>
      </c>
      <c r="U355" s="11" t="n">
        <v>0.924170616113744</v>
      </c>
      <c r="V355" s="11" t="n">
        <v>2.159910411759045</v>
      </c>
      <c r="W355" s="12" t="n">
        <v>76.87929797172546</v>
      </c>
    </row>
    <row r="356">
      <c r="A356" s="4" t="n">
        <v>355</v>
      </c>
      <c r="B356" s="4" t="inlineStr">
        <is>
          <t>m100_MPa</t>
        </is>
      </c>
      <c r="C356" s="4" t="inlineStr">
        <is>
          <t>Exp2_BO</t>
        </is>
      </c>
      <c r="D356" s="4" t="n">
        <v>0</v>
      </c>
      <c r="E356" s="4" t="n">
        <v>27</v>
      </c>
      <c r="F356" s="4" t="inlineStr">
        <is>
          <t>GP</t>
        </is>
      </c>
      <c r="G356" s="4" t="inlineStr">
        <is>
          <t>matern52</t>
        </is>
      </c>
      <c r="H356" s="4" t="b">
        <v>1</v>
      </c>
      <c r="I356" s="4" t="b">
        <v>1</v>
      </c>
      <c r="J356" s="4" t="inlineStr">
        <is>
          <t>std</t>
        </is>
      </c>
      <c r="K356" s="4" t="inlineStr">
        <is>
          <t>log</t>
        </is>
      </c>
      <c r="L356" s="4" t="inlineStr">
        <is>
          <t>full_cure6</t>
        </is>
      </c>
      <c r="M356" s="11" t="n">
        <v>0.3401196253422791</v>
      </c>
      <c r="N356" s="11" t="n">
        <v>-0.9261470959112632</v>
      </c>
      <c r="O356" s="11" t="n">
        <v>-2.000570170942883</v>
      </c>
      <c r="P356" s="4" t="n">
        <v>1</v>
      </c>
      <c r="Q356" s="11" t="n">
        <v>0.657433666703569</v>
      </c>
      <c r="R356" s="11" t="n">
        <v>0</v>
      </c>
      <c r="S356" s="11" t="n">
        <v>2.206751360155824</v>
      </c>
      <c r="T356" s="11" t="n">
        <v>1.487860353768991</v>
      </c>
      <c r="U356" s="11" t="n">
        <v>0.909952606635071</v>
      </c>
      <c r="V356" s="11" t="n">
        <v>2.210505667102279</v>
      </c>
      <c r="W356" s="12" t="n">
        <v>73.61537289619446</v>
      </c>
    </row>
    <row r="357">
      <c r="A357" s="4" t="n">
        <v>356</v>
      </c>
      <c r="B357" s="4" t="inlineStr">
        <is>
          <t>m100_MPa</t>
        </is>
      </c>
      <c r="C357" s="4" t="inlineStr">
        <is>
          <t>Exp2_BO</t>
        </is>
      </c>
      <c r="D357" s="4" t="n">
        <v>0</v>
      </c>
      <c r="E357" s="4" t="n">
        <v>28</v>
      </c>
      <c r="F357" s="4" t="inlineStr">
        <is>
          <t>GP</t>
        </is>
      </c>
      <c r="G357" s="4" t="inlineStr">
        <is>
          <t>matern12</t>
        </is>
      </c>
      <c r="H357" s="4" t="b">
        <v>0</v>
      </c>
      <c r="I357" s="4" t="b">
        <v>0</v>
      </c>
      <c r="J357" s="4" t="inlineStr">
        <is>
          <t>std</t>
        </is>
      </c>
      <c r="K357" s="4" t="inlineStr">
        <is>
          <t>log</t>
        </is>
      </c>
      <c r="L357" s="4" t="inlineStr">
        <is>
          <t>compact</t>
        </is>
      </c>
      <c r="M357" s="11" t="n">
        <v>0.982066812445486</v>
      </c>
      <c r="N357" s="11" t="n">
        <v>-1.481330902277236</v>
      </c>
      <c r="O357" s="11" t="n">
        <v>-5.542716024671027</v>
      </c>
      <c r="P357" s="4" t="n">
        <v>1</v>
      </c>
      <c r="Q357" s="11" t="n">
        <v>0.6137758246457268</v>
      </c>
      <c r="R357" s="11" t="n">
        <v>0</v>
      </c>
      <c r="S357" s="11" t="n">
        <v>2.343153772331056</v>
      </c>
      <c r="T357" s="11" t="n">
        <v>1.526190286988407</v>
      </c>
      <c r="U357" s="11" t="n">
        <v>0.9289099526066352</v>
      </c>
      <c r="V357" s="11" t="n">
        <v>2.177166705533958</v>
      </c>
      <c r="W357" s="12" t="n">
        <v>1.347174644470215</v>
      </c>
    </row>
    <row r="358">
      <c r="A358" s="4" t="n">
        <v>357</v>
      </c>
      <c r="B358" s="4" t="inlineStr">
        <is>
          <t>m100_MPa</t>
        </is>
      </c>
      <c r="C358" s="4" t="inlineStr">
        <is>
          <t>Exp2_BO</t>
        </is>
      </c>
      <c r="D358" s="4" t="n">
        <v>0</v>
      </c>
      <c r="E358" s="4" t="n">
        <v>29</v>
      </c>
      <c r="F358" s="4" t="inlineStr">
        <is>
          <t>GP</t>
        </is>
      </c>
      <c r="G358" s="4" t="inlineStr">
        <is>
          <t>matern52</t>
        </is>
      </c>
      <c r="H358" s="4" t="b">
        <v>0</v>
      </c>
      <c r="I358" s="4" t="b">
        <v>1</v>
      </c>
      <c r="J358" s="4" t="inlineStr">
        <is>
          <t>log1p</t>
        </is>
      </c>
      <c r="K358" s="4" t="inlineStr">
        <is>
          <t>none</t>
        </is>
      </c>
      <c r="L358" s="4" t="inlineStr">
        <is>
          <t>full</t>
        </is>
      </c>
      <c r="M358" s="11" t="n">
        <v>0.0696306348784789</v>
      </c>
      <c r="N358" s="11" t="n">
        <v>-2.556253377808993</v>
      </c>
      <c r="O358" s="11" t="n">
        <v>-3.497879419097248</v>
      </c>
      <c r="P358" s="4" t="n">
        <v>1</v>
      </c>
      <c r="Q358" s="11" t="n">
        <v>0.5940964153050153</v>
      </c>
      <c r="R358" s="11" t="n">
        <v>0</v>
      </c>
      <c r="S358" s="11" t="n">
        <v>2.40210787349733</v>
      </c>
      <c r="T358" s="11" t="n">
        <v>1.573702812326276</v>
      </c>
      <c r="U358" s="11" t="n">
        <v>0.933649289099526</v>
      </c>
      <c r="V358" s="11" t="n">
        <v>2.298526207735962</v>
      </c>
      <c r="W358" s="12" t="n">
        <v>6.586474180221558</v>
      </c>
    </row>
    <row r="359">
      <c r="A359" s="4" t="n">
        <v>358</v>
      </c>
      <c r="B359" s="4" t="inlineStr">
        <is>
          <t>m100_MPa</t>
        </is>
      </c>
      <c r="C359" s="4" t="inlineStr">
        <is>
          <t>Exp2_BO</t>
        </is>
      </c>
      <c r="D359" s="4" t="n">
        <v>1</v>
      </c>
      <c r="E359" s="4" t="n">
        <v>0</v>
      </c>
      <c r="F359" s="4" t="inlineStr">
        <is>
          <t>GP</t>
        </is>
      </c>
      <c r="G359" s="4" t="inlineStr">
        <is>
          <t>matern32</t>
        </is>
      </c>
      <c r="H359" s="4" t="b">
        <v>0</v>
      </c>
      <c r="I359" s="4" t="b">
        <v>1</v>
      </c>
      <c r="J359" s="4" t="inlineStr">
        <is>
          <t>log1p</t>
        </is>
      </c>
      <c r="K359" s="4" t="inlineStr">
        <is>
          <t>none</t>
        </is>
      </c>
      <c r="L359" s="4" t="inlineStr">
        <is>
          <t>full</t>
        </is>
      </c>
      <c r="M359" s="11" t="n">
        <v>0.8972988942744877</v>
      </c>
      <c r="N359" s="11" t="n">
        <v>-2.064505643968544</v>
      </c>
      <c r="O359" s="11" t="n">
        <v>-4.306694204109697</v>
      </c>
      <c r="P359" s="4" t="n">
        <v>1</v>
      </c>
      <c r="Q359" s="11" t="n">
        <v>0.598842452184609</v>
      </c>
      <c r="R359" s="11" t="n">
        <v>0</v>
      </c>
      <c r="S359" s="11" t="n">
        <v>2.388023230764472</v>
      </c>
      <c r="T359" s="11" t="n">
        <v>1.56859621693187</v>
      </c>
      <c r="U359" s="11" t="n">
        <v>0.9383886255924172</v>
      </c>
      <c r="V359" s="11" t="n">
        <v>2.294283232669362</v>
      </c>
      <c r="W359" s="12" t="n">
        <v>6.356554985046387</v>
      </c>
    </row>
    <row r="360">
      <c r="A360" s="4" t="n">
        <v>359</v>
      </c>
      <c r="B360" s="4" t="inlineStr">
        <is>
          <t>m100_MPa</t>
        </is>
      </c>
      <c r="C360" s="4" t="inlineStr">
        <is>
          <t>Exp2_BO</t>
        </is>
      </c>
      <c r="D360" s="4" t="n">
        <v>1</v>
      </c>
      <c r="E360" s="4" t="n">
        <v>1</v>
      </c>
      <c r="F360" s="4" t="inlineStr">
        <is>
          <t>GP</t>
        </is>
      </c>
      <c r="G360" s="4" t="inlineStr">
        <is>
          <t>matern12</t>
        </is>
      </c>
      <c r="H360" s="4" t="b">
        <v>0</v>
      </c>
      <c r="I360" s="4" t="b">
        <v>0</v>
      </c>
      <c r="J360" s="4" t="inlineStr">
        <is>
          <t>std</t>
        </is>
      </c>
      <c r="K360" s="4" t="inlineStr">
        <is>
          <t>log</t>
        </is>
      </c>
      <c r="L360" s="4" t="inlineStr">
        <is>
          <t>full_cure6</t>
        </is>
      </c>
      <c r="M360" s="11" t="n">
        <v>-0.9448817735138632</v>
      </c>
      <c r="N360" s="11" t="n">
        <v>-0.7394606739755805</v>
      </c>
      <c r="O360" s="11" t="n">
        <v>-3.847426747122887</v>
      </c>
      <c r="P360" s="4" t="n">
        <v>1</v>
      </c>
      <c r="Q360" s="11" t="n">
        <v>0.7118657661421555</v>
      </c>
      <c r="R360" s="11" t="n">
        <v>0</v>
      </c>
      <c r="S360" s="11" t="n">
        <v>2.023850804552499</v>
      </c>
      <c r="T360" s="11" t="n">
        <v>1.352854562593462</v>
      </c>
      <c r="U360" s="11" t="n">
        <v>0.943127962085308</v>
      </c>
      <c r="V360" s="11" t="n">
        <v>2.050835074362725</v>
      </c>
      <c r="W360" s="12" t="n">
        <v>2.308059453964233</v>
      </c>
    </row>
    <row r="361">
      <c r="A361" s="4" t="n">
        <v>360</v>
      </c>
      <c r="B361" s="4" t="inlineStr">
        <is>
          <t>m100_MPa</t>
        </is>
      </c>
      <c r="C361" s="4" t="inlineStr">
        <is>
          <t>Exp2_BO</t>
        </is>
      </c>
      <c r="D361" s="4" t="n">
        <v>1</v>
      </c>
      <c r="E361" s="4" t="n">
        <v>2</v>
      </c>
      <c r="F361" s="4" t="inlineStr">
        <is>
          <t>GP</t>
        </is>
      </c>
      <c r="G361" s="4" t="inlineStr">
        <is>
          <t>rq</t>
        </is>
      </c>
      <c r="H361" s="4" t="b">
        <v>1</v>
      </c>
      <c r="I361" s="4" t="b">
        <v>0</v>
      </c>
      <c r="J361" s="4" t="inlineStr">
        <is>
          <t>log1p</t>
        </is>
      </c>
      <c r="K361" s="4" t="inlineStr">
        <is>
          <t>none</t>
        </is>
      </c>
      <c r="L361" s="4" t="inlineStr">
        <is>
          <t>full_agg</t>
        </is>
      </c>
      <c r="M361" s="11" t="n">
        <v>-0.0930042210386969</v>
      </c>
      <c r="N361" s="11" t="n">
        <v>-2.597874908258506</v>
      </c>
      <c r="O361" s="11" t="n">
        <v>-4.387548054211483</v>
      </c>
      <c r="P361" s="4" t="n">
        <v>1</v>
      </c>
      <c r="Q361" s="11" t="n">
        <v>0.6400902044245937</v>
      </c>
      <c r="R361" s="11" t="n">
        <v>0</v>
      </c>
      <c r="S361" s="11" t="n">
        <v>2.261923417406903</v>
      </c>
      <c r="T361" s="11" t="n">
        <v>1.505537236355252</v>
      </c>
      <c r="U361" s="11" t="n">
        <v>0.933649289099526</v>
      </c>
      <c r="V361" s="11" t="n">
        <v>2.260063153728024</v>
      </c>
      <c r="W361" s="12" t="n">
        <v>5.187623262405396</v>
      </c>
    </row>
    <row r="362">
      <c r="A362" s="4" t="n">
        <v>361</v>
      </c>
      <c r="B362" s="4" t="inlineStr">
        <is>
          <t>m100_MPa</t>
        </is>
      </c>
      <c r="C362" s="4" t="inlineStr">
        <is>
          <t>Exp2_BO</t>
        </is>
      </c>
      <c r="D362" s="4" t="n">
        <v>1</v>
      </c>
      <c r="E362" s="4" t="n">
        <v>3</v>
      </c>
      <c r="F362" s="4" t="inlineStr">
        <is>
          <t>GP</t>
        </is>
      </c>
      <c r="G362" s="4" t="inlineStr">
        <is>
          <t>rq</t>
        </is>
      </c>
      <c r="H362" s="4" t="b">
        <v>1</v>
      </c>
      <c r="I362" s="4" t="b">
        <v>1</v>
      </c>
      <c r="J362" s="4" t="inlineStr">
        <is>
          <t>std</t>
        </is>
      </c>
      <c r="K362" s="4" t="inlineStr">
        <is>
          <t>none</t>
        </is>
      </c>
      <c r="L362" s="4" t="inlineStr">
        <is>
          <t>compact</t>
        </is>
      </c>
      <c r="M362" s="11" t="n">
        <v>-0.4391824840279201</v>
      </c>
      <c r="N362" s="11" t="n">
        <v>-1.544427076705095</v>
      </c>
      <c r="O362" s="11" t="n">
        <v>-2.077051200795045</v>
      </c>
      <c r="P362" s="4" t="n">
        <v>1</v>
      </c>
      <c r="Q362" s="11" t="n">
        <v>0.633062418693092</v>
      </c>
      <c r="R362" s="11" t="n">
        <v>0</v>
      </c>
      <c r="S362" s="11" t="n">
        <v>2.283900398725054</v>
      </c>
      <c r="T362" s="11" t="n">
        <v>1.609359442846918</v>
      </c>
      <c r="U362" s="11" t="n">
        <v>0.9289099526066352</v>
      </c>
      <c r="V362" s="11" t="n">
        <v>2.263669016442085</v>
      </c>
      <c r="W362" s="12" t="n">
        <v>8.300888299942017</v>
      </c>
    </row>
    <row r="363">
      <c r="A363" s="4" t="n">
        <v>362</v>
      </c>
      <c r="B363" s="4" t="inlineStr">
        <is>
          <t>m100_MPa</t>
        </is>
      </c>
      <c r="C363" s="4" t="inlineStr">
        <is>
          <t>Exp2_BO</t>
        </is>
      </c>
      <c r="D363" s="4" t="n">
        <v>1</v>
      </c>
      <c r="E363" s="4" t="n">
        <v>4</v>
      </c>
      <c r="F363" s="4" t="inlineStr">
        <is>
          <t>GP</t>
        </is>
      </c>
      <c r="G363" s="4" t="inlineStr">
        <is>
          <t>matern52</t>
        </is>
      </c>
      <c r="H363" s="4" t="b">
        <v>0</v>
      </c>
      <c r="I363" s="4" t="b">
        <v>0</v>
      </c>
      <c r="J363" s="4" t="inlineStr">
        <is>
          <t>log1p</t>
        </is>
      </c>
      <c r="K363" s="4" t="inlineStr">
        <is>
          <t>none</t>
        </is>
      </c>
      <c r="L363" s="4" t="inlineStr">
        <is>
          <t>full_cure6</t>
        </is>
      </c>
      <c r="M363" s="11" t="n">
        <v>-0.4462175919092583</v>
      </c>
      <c r="N363" s="11" t="n">
        <v>-2.51804397367462</v>
      </c>
      <c r="O363" s="11" t="n">
        <v>-2.12029834713547</v>
      </c>
      <c r="P363" s="4" t="n">
        <v>1</v>
      </c>
      <c r="Q363" s="11" t="n">
        <v>0.6425690521232541</v>
      </c>
      <c r="R363" s="11" t="n">
        <v>0</v>
      </c>
      <c r="S363" s="11" t="n">
        <v>2.254120557513669</v>
      </c>
      <c r="T363" s="11" t="n">
        <v>1.460839382924715</v>
      </c>
      <c r="U363" s="11" t="n">
        <v>0.9478672985781992</v>
      </c>
      <c r="V363" s="11" t="n">
        <v>2.244173603052493</v>
      </c>
      <c r="W363" s="12" t="n">
        <v>3.245246648788452</v>
      </c>
    </row>
    <row r="364">
      <c r="A364" s="4" t="n">
        <v>363</v>
      </c>
      <c r="B364" s="4" t="inlineStr">
        <is>
          <t>m100_MPa</t>
        </is>
      </c>
      <c r="C364" s="4" t="inlineStr">
        <is>
          <t>Exp2_BO</t>
        </is>
      </c>
      <c r="D364" s="4" t="n">
        <v>1</v>
      </c>
      <c r="E364" s="4" t="n">
        <v>5</v>
      </c>
      <c r="F364" s="4" t="inlineStr">
        <is>
          <t>GP</t>
        </is>
      </c>
      <c r="G364" s="4" t="inlineStr">
        <is>
          <t>matern32</t>
        </is>
      </c>
      <c r="H364" s="4" t="b">
        <v>0</v>
      </c>
      <c r="I364" s="4" t="b">
        <v>0</v>
      </c>
      <c r="J364" s="4" t="inlineStr">
        <is>
          <t>std</t>
        </is>
      </c>
      <c r="K364" s="4" t="inlineStr">
        <is>
          <t>none</t>
        </is>
      </c>
      <c r="L364" s="4" t="inlineStr">
        <is>
          <t>full_cure6</t>
        </is>
      </c>
      <c r="M364" s="11" t="n">
        <v>0.553366228684596</v>
      </c>
      <c r="N364" s="11" t="n">
        <v>-1.160990096840879</v>
      </c>
      <c r="O364" s="11" t="n">
        <v>-2.330809180836389</v>
      </c>
      <c r="P364" s="4" t="n">
        <v>1</v>
      </c>
      <c r="Q364" s="11" t="n">
        <v>0.6841872737723715</v>
      </c>
      <c r="R364" s="11" t="n">
        <v>0</v>
      </c>
      <c r="S364" s="11" t="n">
        <v>2.118828845287043</v>
      </c>
      <c r="T364" s="11" t="n">
        <v>1.431484356313458</v>
      </c>
      <c r="U364" s="11" t="n">
        <v>0.95260663507109</v>
      </c>
      <c r="V364" s="11" t="n">
        <v>2.135390523745297</v>
      </c>
      <c r="W364" s="12" t="n">
        <v>1.716860771179199</v>
      </c>
    </row>
    <row r="365">
      <c r="A365" s="4" t="n">
        <v>364</v>
      </c>
      <c r="B365" s="4" t="inlineStr">
        <is>
          <t>m100_MPa</t>
        </is>
      </c>
      <c r="C365" s="4" t="inlineStr">
        <is>
          <t>Exp2_BO</t>
        </is>
      </c>
      <c r="D365" s="4" t="n">
        <v>1</v>
      </c>
      <c r="E365" s="4" t="n">
        <v>6</v>
      </c>
      <c r="F365" s="4" t="inlineStr">
        <is>
          <t>GP</t>
        </is>
      </c>
      <c r="G365" s="4" t="inlineStr">
        <is>
          <t>matern32</t>
        </is>
      </c>
      <c r="H365" s="4" t="b">
        <v>1</v>
      </c>
      <c r="I365" s="4" t="b">
        <v>1</v>
      </c>
      <c r="J365" s="4" t="inlineStr">
        <is>
          <t>log1p</t>
        </is>
      </c>
      <c r="K365" s="4" t="inlineStr">
        <is>
          <t>log</t>
        </is>
      </c>
      <c r="L365" s="4" t="inlineStr">
        <is>
          <t>full_agg</t>
        </is>
      </c>
      <c r="M365" s="11" t="n">
        <v>-0.8753008417002488</v>
      </c>
      <c r="N365" s="11" t="n">
        <v>-1.076015492581875</v>
      </c>
      <c r="O365" s="11" t="n">
        <v>-2.589468646077373</v>
      </c>
      <c r="P365" s="4" t="n">
        <v>1</v>
      </c>
      <c r="Q365" s="11" t="n">
        <v>0.6352058807463909</v>
      </c>
      <c r="R365" s="11" t="n">
        <v>0</v>
      </c>
      <c r="S365" s="11" t="n">
        <v>2.277219938299269</v>
      </c>
      <c r="T365" s="11" t="n">
        <v>1.521621528224348</v>
      </c>
      <c r="U365" s="11" t="n">
        <v>0.924170616113744</v>
      </c>
      <c r="V365" s="11" t="n">
        <v>2.127508234292487</v>
      </c>
      <c r="W365" s="12" t="n">
        <v>74.37607765197754</v>
      </c>
    </row>
    <row r="366">
      <c r="A366" s="4" t="n">
        <v>365</v>
      </c>
      <c r="B366" s="4" t="inlineStr">
        <is>
          <t>m100_MPa</t>
        </is>
      </c>
      <c r="C366" s="4" t="inlineStr">
        <is>
          <t>Exp2_BO</t>
        </is>
      </c>
      <c r="D366" s="4" t="n">
        <v>1</v>
      </c>
      <c r="E366" s="4" t="n">
        <v>7</v>
      </c>
      <c r="F366" s="4" t="inlineStr">
        <is>
          <t>GP</t>
        </is>
      </c>
      <c r="G366" s="4" t="inlineStr">
        <is>
          <t>matern12</t>
        </is>
      </c>
      <c r="H366" s="4" t="b">
        <v>0</v>
      </c>
      <c r="I366" s="4" t="b">
        <v>1</v>
      </c>
      <c r="J366" s="4" t="inlineStr">
        <is>
          <t>std</t>
        </is>
      </c>
      <c r="K366" s="4" t="inlineStr">
        <is>
          <t>none</t>
        </is>
      </c>
      <c r="L366" s="4" t="inlineStr">
        <is>
          <t>compact</t>
        </is>
      </c>
      <c r="M366" s="11" t="n">
        <v>0.0189917630430187</v>
      </c>
      <c r="N366" s="11" t="n">
        <v>-1.467333346600401</v>
      </c>
      <c r="O366" s="11" t="n">
        <v>-2.987879169191288</v>
      </c>
      <c r="P366" s="4" t="n">
        <v>1</v>
      </c>
      <c r="Q366" s="11" t="n">
        <v>0.6585110278215704</v>
      </c>
      <c r="R366" s="11" t="n">
        <v>0</v>
      </c>
      <c r="S366" s="11" t="n">
        <v>2.203278543224616</v>
      </c>
      <c r="T366" s="11" t="n">
        <v>1.538228088801176</v>
      </c>
      <c r="U366" s="11" t="n">
        <v>0.9289099526066352</v>
      </c>
      <c r="V366" s="11" t="n">
        <v>2.222211239532798</v>
      </c>
      <c r="W366" s="12" t="n">
        <v>6.281623840332031</v>
      </c>
    </row>
    <row r="367">
      <c r="A367" s="4" t="n">
        <v>366</v>
      </c>
      <c r="B367" s="4" t="inlineStr">
        <is>
          <t>m100_MPa</t>
        </is>
      </c>
      <c r="C367" s="4" t="inlineStr">
        <is>
          <t>Exp2_BO</t>
        </is>
      </c>
      <c r="D367" s="4" t="n">
        <v>1</v>
      </c>
      <c r="E367" s="4" t="n">
        <v>8</v>
      </c>
      <c r="F367" s="4" t="inlineStr">
        <is>
          <t>GP</t>
        </is>
      </c>
      <c r="G367" s="4" t="inlineStr">
        <is>
          <t>matern12</t>
        </is>
      </c>
      <c r="H367" s="4" t="b">
        <v>1</v>
      </c>
      <c r="I367" s="4" t="b">
        <v>1</v>
      </c>
      <c r="J367" s="4" t="inlineStr">
        <is>
          <t>std</t>
        </is>
      </c>
      <c r="K367" s="4" t="inlineStr">
        <is>
          <t>log</t>
        </is>
      </c>
      <c r="L367" s="4" t="inlineStr">
        <is>
          <t>full_cure6</t>
        </is>
      </c>
      <c r="M367" s="11" t="n">
        <v>-0.8750679491896989</v>
      </c>
      <c r="N367" s="11" t="n">
        <v>-2.518365111948119</v>
      </c>
      <c r="O367" s="11" t="n">
        <v>-4.991822715610196</v>
      </c>
      <c r="P367" s="4" t="n">
        <v>1</v>
      </c>
      <c r="Q367" s="11" t="n">
        <v>0.6557514267204394</v>
      </c>
      <c r="R367" s="11" t="n">
        <v>0</v>
      </c>
      <c r="S367" s="11" t="n">
        <v>2.212163069783875</v>
      </c>
      <c r="T367" s="11" t="n">
        <v>1.471145388577124</v>
      </c>
      <c r="U367" s="11" t="n">
        <v>0.919431279620853</v>
      </c>
      <c r="V367" s="11" t="n">
        <v>2.206232068797585</v>
      </c>
      <c r="W367" s="12" t="n">
        <v>73.78035664558411</v>
      </c>
    </row>
    <row r="368">
      <c r="A368" s="4" t="n">
        <v>367</v>
      </c>
      <c r="B368" s="4" t="inlineStr">
        <is>
          <t>m100_MPa</t>
        </is>
      </c>
      <c r="C368" s="4" t="inlineStr">
        <is>
          <t>Exp2_BO</t>
        </is>
      </c>
      <c r="D368" s="4" t="n">
        <v>1</v>
      </c>
      <c r="E368" s="4" t="n">
        <v>9</v>
      </c>
      <c r="F368" s="4" t="inlineStr">
        <is>
          <t>GP</t>
        </is>
      </c>
      <c r="G368" s="4" t="inlineStr">
        <is>
          <t>matern12</t>
        </is>
      </c>
      <c r="H368" s="4" t="b">
        <v>0</v>
      </c>
      <c r="I368" s="4" t="b">
        <v>0</v>
      </c>
      <c r="J368" s="4" t="inlineStr">
        <is>
          <t>std</t>
        </is>
      </c>
      <c r="K368" s="4" t="inlineStr">
        <is>
          <t>none</t>
        </is>
      </c>
      <c r="L368" s="4" t="inlineStr">
        <is>
          <t>full</t>
        </is>
      </c>
      <c r="M368" s="11" t="n">
        <v>0.6736808460349002</v>
      </c>
      <c r="N368" s="11" t="n">
        <v>-0.08683264032098489</v>
      </c>
      <c r="O368" s="11" t="n">
        <v>-5.809262848947302</v>
      </c>
      <c r="P368" s="4" t="n">
        <v>1</v>
      </c>
      <c r="Q368" s="11" t="n">
        <v>0.6830693951340479</v>
      </c>
      <c r="R368" s="11" t="n">
        <v>0</v>
      </c>
      <c r="S368" s="11" t="n">
        <v>2.122575529617015</v>
      </c>
      <c r="T368" s="11" t="n">
        <v>1.46439307867527</v>
      </c>
      <c r="U368" s="11" t="n">
        <v>0.9383886255924172</v>
      </c>
      <c r="V368" s="11" t="n">
        <v>2.176067872474414</v>
      </c>
      <c r="W368" s="12" t="n">
        <v>2.193276405334473</v>
      </c>
    </row>
    <row r="369">
      <c r="A369" s="4" t="n">
        <v>368</v>
      </c>
      <c r="B369" s="4" t="inlineStr">
        <is>
          <t>m100_MPa</t>
        </is>
      </c>
      <c r="C369" s="4" t="inlineStr">
        <is>
          <t>Exp2_BO</t>
        </is>
      </c>
      <c r="D369" s="4" t="n">
        <v>1</v>
      </c>
      <c r="E369" s="4" t="n">
        <v>10</v>
      </c>
      <c r="F369" s="4" t="inlineStr">
        <is>
          <t>GP</t>
        </is>
      </c>
      <c r="G369" s="4" t="inlineStr">
        <is>
          <t>rbf</t>
        </is>
      </c>
      <c r="H369" s="4" t="b">
        <v>0</v>
      </c>
      <c r="I369" s="4" t="b">
        <v>0</v>
      </c>
      <c r="J369" s="4" t="inlineStr">
        <is>
          <t>std</t>
        </is>
      </c>
      <c r="K369" s="4" t="inlineStr">
        <is>
          <t>log</t>
        </is>
      </c>
      <c r="L369" s="4" t="inlineStr">
        <is>
          <t>compact</t>
        </is>
      </c>
      <c r="M369" s="11" t="n">
        <v>-0.4933138140702571</v>
      </c>
      <c r="N369" s="11" t="n">
        <v>-0.0109205271532664</v>
      </c>
      <c r="O369" s="11" t="n">
        <v>-2.284040350325942</v>
      </c>
      <c r="P369" s="4" t="n">
        <v>1</v>
      </c>
      <c r="Q369" s="11" t="n">
        <v>0.4459640364236815</v>
      </c>
      <c r="R369" s="11" t="n">
        <v>0</v>
      </c>
      <c r="S369" s="11" t="n">
        <v>2.80640303681073</v>
      </c>
      <c r="T369" s="11" t="n">
        <v>1.756627993316458</v>
      </c>
      <c r="U369" s="11" t="n">
        <v>0.909952606635071</v>
      </c>
      <c r="V369" s="11" t="n">
        <v>2.379352488055028</v>
      </c>
      <c r="W369" s="12" t="n">
        <v>1.314138412475586</v>
      </c>
    </row>
    <row r="370">
      <c r="A370" s="4" t="n">
        <v>369</v>
      </c>
      <c r="B370" s="4" t="inlineStr">
        <is>
          <t>m100_MPa</t>
        </is>
      </c>
      <c r="C370" s="4" t="inlineStr">
        <is>
          <t>Exp2_BO</t>
        </is>
      </c>
      <c r="D370" s="4" t="n">
        <v>1</v>
      </c>
      <c r="E370" s="4" t="n">
        <v>11</v>
      </c>
      <c r="F370" s="4" t="inlineStr">
        <is>
          <t>GP</t>
        </is>
      </c>
      <c r="G370" s="4" t="inlineStr">
        <is>
          <t>matern12</t>
        </is>
      </c>
      <c r="H370" s="4" t="b">
        <v>0</v>
      </c>
      <c r="I370" s="4" t="b">
        <v>0</v>
      </c>
      <c r="J370" s="4" t="inlineStr">
        <is>
          <t>std</t>
        </is>
      </c>
      <c r="K370" s="4" t="inlineStr">
        <is>
          <t>log</t>
        </is>
      </c>
      <c r="L370" s="4" t="inlineStr">
        <is>
          <t>full_agg</t>
        </is>
      </c>
      <c r="M370" s="11" t="n">
        <v>-0.9448817735138632</v>
      </c>
      <c r="N370" s="11" t="n">
        <v>-0.7394606739755805</v>
      </c>
      <c r="O370" s="11" t="n">
        <v>-3.847426747122887</v>
      </c>
      <c r="P370" s="4" t="n">
        <v>1</v>
      </c>
      <c r="Q370" s="11" t="n">
        <v>0.6794100683953939</v>
      </c>
      <c r="R370" s="11" t="n">
        <v>0</v>
      </c>
      <c r="S370" s="11" t="n">
        <v>2.134794143852947</v>
      </c>
      <c r="T370" s="11" t="n">
        <v>1.429402154309593</v>
      </c>
      <c r="U370" s="11" t="n">
        <v>0.924170616113744</v>
      </c>
      <c r="V370" s="11" t="n">
        <v>2.01865346063304</v>
      </c>
      <c r="W370" s="12" t="n">
        <v>1.883585453033448</v>
      </c>
    </row>
    <row r="371">
      <c r="A371" s="4" t="n">
        <v>370</v>
      </c>
      <c r="B371" s="4" t="inlineStr">
        <is>
          <t>m100_MPa</t>
        </is>
      </c>
      <c r="C371" s="4" t="inlineStr">
        <is>
          <t>Exp2_BO</t>
        </is>
      </c>
      <c r="D371" s="4" t="n">
        <v>1</v>
      </c>
      <c r="E371" s="4" t="n">
        <v>12</v>
      </c>
      <c r="F371" s="4" t="inlineStr">
        <is>
          <t>GP</t>
        </is>
      </c>
      <c r="G371" s="4" t="inlineStr">
        <is>
          <t>matern32</t>
        </is>
      </c>
      <c r="H371" s="4" t="b">
        <v>0</v>
      </c>
      <c r="I371" s="4" t="b">
        <v>1</v>
      </c>
      <c r="J371" s="4" t="inlineStr">
        <is>
          <t>log1p</t>
        </is>
      </c>
      <c r="K371" s="4" t="inlineStr">
        <is>
          <t>none</t>
        </is>
      </c>
      <c r="L371" s="4" t="inlineStr">
        <is>
          <t>compact</t>
        </is>
      </c>
      <c r="M371" s="11" t="n">
        <v>0.5794730811463402</v>
      </c>
      <c r="N371" s="11" t="n">
        <v>-0.0117460226894765</v>
      </c>
      <c r="O371" s="11" t="n">
        <v>-2.348186042009493</v>
      </c>
      <c r="P371" s="4" t="n">
        <v>1</v>
      </c>
      <c r="Q371" s="11" t="n">
        <v>0.5907507655574784</v>
      </c>
      <c r="R371" s="11" t="n">
        <v>0</v>
      </c>
      <c r="S371" s="11" t="n">
        <v>2.41198721358213</v>
      </c>
      <c r="T371" s="11" t="n">
        <v>1.624712779603571</v>
      </c>
      <c r="U371" s="11" t="n">
        <v>0.914691943127962</v>
      </c>
      <c r="V371" s="11" t="n">
        <v>2.300090233266529</v>
      </c>
      <c r="W371" s="12" t="n">
        <v>6.206670999526978</v>
      </c>
    </row>
    <row r="372">
      <c r="A372" s="4" t="n">
        <v>371</v>
      </c>
      <c r="B372" s="4" t="inlineStr">
        <is>
          <t>m100_MPa</t>
        </is>
      </c>
      <c r="C372" s="4" t="inlineStr">
        <is>
          <t>Exp2_BO</t>
        </is>
      </c>
      <c r="D372" s="4" t="n">
        <v>1</v>
      </c>
      <c r="E372" s="4" t="n">
        <v>13</v>
      </c>
      <c r="F372" s="4" t="inlineStr">
        <is>
          <t>GP</t>
        </is>
      </c>
      <c r="G372" s="4" t="inlineStr">
        <is>
          <t>rbf</t>
        </is>
      </c>
      <c r="H372" s="4" t="b">
        <v>1</v>
      </c>
      <c r="I372" s="4" t="b">
        <v>1</v>
      </c>
      <c r="J372" s="4" t="inlineStr">
        <is>
          <t>log1p</t>
        </is>
      </c>
      <c r="K372" s="4" t="inlineStr">
        <is>
          <t>none</t>
        </is>
      </c>
      <c r="L372" s="4" t="inlineStr">
        <is>
          <t>full_agg</t>
        </is>
      </c>
      <c r="M372" s="11" t="n">
        <v>0.9701944440635996</v>
      </c>
      <c r="N372" s="11" t="n">
        <v>-1.003107437535285</v>
      </c>
      <c r="O372" s="11" t="n">
        <v>-5.454213814860799</v>
      </c>
      <c r="P372" s="4" t="n">
        <v>1</v>
      </c>
      <c r="Q372" s="11" t="n">
        <v>0.6929911130744377</v>
      </c>
      <c r="R372" s="11" t="n">
        <v>0</v>
      </c>
      <c r="S372" s="11" t="n">
        <v>2.089087049828057</v>
      </c>
      <c r="T372" s="11" t="n">
        <v>1.479240283400417</v>
      </c>
      <c r="U372" s="11" t="n">
        <v>0.943127962085308</v>
      </c>
      <c r="V372" s="11" t="n">
        <v>2.206627351187265</v>
      </c>
      <c r="W372" s="12" t="n">
        <v>57.13432550430298</v>
      </c>
    </row>
    <row r="373">
      <c r="A373" s="4" t="n">
        <v>372</v>
      </c>
      <c r="B373" s="4" t="inlineStr">
        <is>
          <t>m100_MPa</t>
        </is>
      </c>
      <c r="C373" s="4" t="inlineStr">
        <is>
          <t>Exp2_BO</t>
        </is>
      </c>
      <c r="D373" s="4" t="n">
        <v>1</v>
      </c>
      <c r="E373" s="4" t="n">
        <v>14</v>
      </c>
      <c r="F373" s="4" t="inlineStr">
        <is>
          <t>GP</t>
        </is>
      </c>
      <c r="G373" s="4" t="inlineStr">
        <is>
          <t>rbf</t>
        </is>
      </c>
      <c r="H373" s="4" t="b">
        <v>1</v>
      </c>
      <c r="I373" s="4" t="b">
        <v>1</v>
      </c>
      <c r="J373" s="4" t="inlineStr">
        <is>
          <t>std</t>
        </is>
      </c>
      <c r="K373" s="4" t="inlineStr">
        <is>
          <t>log</t>
        </is>
      </c>
      <c r="L373" s="4" t="inlineStr">
        <is>
          <t>full_agg</t>
        </is>
      </c>
      <c r="M373" s="11" t="n">
        <v>0.1319634599540915</v>
      </c>
      <c r="N373" s="11" t="n">
        <v>-1.445950905198578</v>
      </c>
      <c r="O373" s="11" t="n">
        <v>-3.577978692881355</v>
      </c>
      <c r="P373" s="4" t="n">
        <v>1</v>
      </c>
      <c r="Q373" s="11" t="n">
        <v>0.6411234158558725</v>
      </c>
      <c r="R373" s="11" t="n">
        <v>0</v>
      </c>
      <c r="S373" s="11" t="n">
        <v>2.258674374395521</v>
      </c>
      <c r="T373" s="11" t="n">
        <v>1.534210465996692</v>
      </c>
      <c r="U373" s="11" t="n">
        <v>0.8909952606635071</v>
      </c>
      <c r="V373" s="11" t="n">
        <v>2.1598536141188</v>
      </c>
      <c r="W373" s="12" t="n">
        <v>46.12399315834045</v>
      </c>
    </row>
    <row r="374">
      <c r="A374" s="4" t="n">
        <v>373</v>
      </c>
      <c r="B374" s="4" t="inlineStr">
        <is>
          <t>m100_MPa</t>
        </is>
      </c>
      <c r="C374" s="4" t="inlineStr">
        <is>
          <t>Exp2_BO</t>
        </is>
      </c>
      <c r="D374" s="4" t="n">
        <v>1</v>
      </c>
      <c r="E374" s="4" t="n">
        <v>15</v>
      </c>
      <c r="F374" s="4" t="inlineStr">
        <is>
          <t>GP</t>
        </is>
      </c>
      <c r="G374" s="4" t="inlineStr">
        <is>
          <t>matern12</t>
        </is>
      </c>
      <c r="H374" s="4" t="b">
        <v>0</v>
      </c>
      <c r="I374" s="4" t="b">
        <v>0</v>
      </c>
      <c r="J374" s="4" t="inlineStr">
        <is>
          <t>log1p</t>
        </is>
      </c>
      <c r="K374" s="4" t="inlineStr">
        <is>
          <t>none</t>
        </is>
      </c>
      <c r="L374" s="4" t="inlineStr">
        <is>
          <t>full_cure6</t>
        </is>
      </c>
      <c r="M374" s="11" t="n">
        <v>0.9203141005391888</v>
      </c>
      <c r="N374" s="11" t="n">
        <v>-1.783075406043545</v>
      </c>
      <c r="O374" s="11" t="n">
        <v>-5.484921604637162</v>
      </c>
      <c r="P374" s="4" t="n">
        <v>1</v>
      </c>
      <c r="Q374" s="11" t="n">
        <v>0.6615860556717521</v>
      </c>
      <c r="R374" s="11" t="n">
        <v>0</v>
      </c>
      <c r="S374" s="11" t="n">
        <v>2.193336107835536</v>
      </c>
      <c r="T374" s="11" t="n">
        <v>1.445922576845392</v>
      </c>
      <c r="U374" s="11" t="n">
        <v>0.9478672985781992</v>
      </c>
      <c r="V374" s="11" t="n">
        <v>2.216375614069298</v>
      </c>
      <c r="W374" s="12" t="n">
        <v>2.469045400619507</v>
      </c>
    </row>
    <row r="375">
      <c r="A375" s="4" t="n">
        <v>374</v>
      </c>
      <c r="B375" s="4" t="inlineStr">
        <is>
          <t>m100_MPa</t>
        </is>
      </c>
      <c r="C375" s="4" t="inlineStr">
        <is>
          <t>Exp2_BO</t>
        </is>
      </c>
      <c r="D375" s="4" t="n">
        <v>1</v>
      </c>
      <c r="E375" s="4" t="n">
        <v>16</v>
      </c>
      <c r="F375" s="4" t="inlineStr">
        <is>
          <t>GP</t>
        </is>
      </c>
      <c r="G375" s="4" t="inlineStr">
        <is>
          <t>rbf</t>
        </is>
      </c>
      <c r="H375" s="4" t="b">
        <v>0</v>
      </c>
      <c r="I375" s="4" t="b">
        <v>0</v>
      </c>
      <c r="J375" s="4" t="inlineStr">
        <is>
          <t>log1p</t>
        </is>
      </c>
      <c r="K375" s="4" t="inlineStr">
        <is>
          <t>none</t>
        </is>
      </c>
      <c r="L375" s="4" t="inlineStr">
        <is>
          <t>full_cure6</t>
        </is>
      </c>
      <c r="M375" s="11" t="n">
        <v>0.8348881743654115</v>
      </c>
      <c r="N375" s="11" t="n">
        <v>-0.0619987666312376</v>
      </c>
      <c r="O375" s="11" t="n">
        <v>-4.283379175370502</v>
      </c>
      <c r="P375" s="4" t="n">
        <v>1</v>
      </c>
      <c r="Q375" s="11" t="n">
        <v>0.6263869396514803</v>
      </c>
      <c r="R375" s="11" t="n">
        <v>0</v>
      </c>
      <c r="S375" s="11" t="n">
        <v>2.30458158909131</v>
      </c>
      <c r="T375" s="11" t="n">
        <v>1.511846586012399</v>
      </c>
      <c r="U375" s="11" t="n">
        <v>0.9478672985781992</v>
      </c>
      <c r="V375" s="11" t="n">
        <v>2.264446723035431</v>
      </c>
      <c r="W375" s="12" t="n">
        <v>2.571430921554565</v>
      </c>
    </row>
    <row r="376">
      <c r="A376" s="4" t="n">
        <v>375</v>
      </c>
      <c r="B376" s="4" t="inlineStr">
        <is>
          <t>m100_MPa</t>
        </is>
      </c>
      <c r="C376" s="4" t="inlineStr">
        <is>
          <t>Exp2_BO</t>
        </is>
      </c>
      <c r="D376" s="4" t="n">
        <v>1</v>
      </c>
      <c r="E376" s="4" t="n">
        <v>17</v>
      </c>
      <c r="F376" s="4" t="inlineStr">
        <is>
          <t>GP</t>
        </is>
      </c>
      <c r="G376" s="4" t="inlineStr">
        <is>
          <t>rbf</t>
        </is>
      </c>
      <c r="H376" s="4" t="b">
        <v>1</v>
      </c>
      <c r="I376" s="4" t="b">
        <v>0</v>
      </c>
      <c r="J376" s="4" t="inlineStr">
        <is>
          <t>log1p</t>
        </is>
      </c>
      <c r="K376" s="4" t="inlineStr">
        <is>
          <t>none</t>
        </is>
      </c>
      <c r="L376" s="4" t="inlineStr">
        <is>
          <t>full_agg</t>
        </is>
      </c>
      <c r="M376" s="11" t="n">
        <v>-0.9914588189733682</v>
      </c>
      <c r="N376" s="11" t="n">
        <v>-1.993267204740091</v>
      </c>
      <c r="O376" s="11" t="n">
        <v>-4.315009363324504</v>
      </c>
      <c r="P376" s="4" t="n">
        <v>1</v>
      </c>
      <c r="Q376" s="11" t="n">
        <v>0.6209482377875287</v>
      </c>
      <c r="R376" s="11" t="n">
        <v>0</v>
      </c>
      <c r="S376" s="11" t="n">
        <v>2.321294932751286</v>
      </c>
      <c r="T376" s="11" t="n">
        <v>1.635738848339408</v>
      </c>
      <c r="U376" s="11" t="n">
        <v>0.9289099526066352</v>
      </c>
      <c r="V376" s="11" t="n">
        <v>2.280267043462207</v>
      </c>
      <c r="W376" s="12" t="n">
        <v>70.15641474723816</v>
      </c>
    </row>
    <row r="377">
      <c r="A377" s="4" t="n">
        <v>376</v>
      </c>
      <c r="B377" s="4" t="inlineStr">
        <is>
          <t>m100_MPa</t>
        </is>
      </c>
      <c r="C377" s="4" t="inlineStr">
        <is>
          <t>Exp2_BO</t>
        </is>
      </c>
      <c r="D377" s="4" t="n">
        <v>1</v>
      </c>
      <c r="E377" s="4" t="n">
        <v>18</v>
      </c>
      <c r="F377" s="4" t="inlineStr">
        <is>
          <t>GP</t>
        </is>
      </c>
      <c r="G377" s="4" t="inlineStr">
        <is>
          <t>matern12</t>
        </is>
      </c>
      <c r="H377" s="4" t="b">
        <v>0</v>
      </c>
      <c r="I377" s="4" t="b">
        <v>0</v>
      </c>
      <c r="J377" s="4" t="inlineStr">
        <is>
          <t>std</t>
        </is>
      </c>
      <c r="K377" s="4" t="inlineStr">
        <is>
          <t>log</t>
        </is>
      </c>
      <c r="L377" s="4" t="inlineStr">
        <is>
          <t>compact</t>
        </is>
      </c>
      <c r="M377" s="11" t="n">
        <v>-0.9448817735138632</v>
      </c>
      <c r="N377" s="11" t="n">
        <v>-0.7394606739755805</v>
      </c>
      <c r="O377" s="11" t="n">
        <v>-3.847426747122887</v>
      </c>
      <c r="P377" s="4" t="n">
        <v>1</v>
      </c>
      <c r="Q377" s="11" t="n">
        <v>0.6137750056745968</v>
      </c>
      <c r="R377" s="11" t="n">
        <v>0</v>
      </c>
      <c r="S377" s="11" t="n">
        <v>2.34315625660625</v>
      </c>
      <c r="T377" s="11" t="n">
        <v>1.526191639059798</v>
      </c>
      <c r="U377" s="11" t="n">
        <v>0.9289099526066352</v>
      </c>
      <c r="V377" s="11" t="n">
        <v>2.177166441425465</v>
      </c>
      <c r="W377" s="12" t="n">
        <v>2.437921047210693</v>
      </c>
    </row>
    <row r="378">
      <c r="A378" s="4" t="n">
        <v>377</v>
      </c>
      <c r="B378" s="4" t="inlineStr">
        <is>
          <t>m100_MPa</t>
        </is>
      </c>
      <c r="C378" s="4" t="inlineStr">
        <is>
          <t>Exp2_BO</t>
        </is>
      </c>
      <c r="D378" s="4" t="n">
        <v>1</v>
      </c>
      <c r="E378" s="4" t="n">
        <v>19</v>
      </c>
      <c r="F378" s="4" t="inlineStr">
        <is>
          <t>GP</t>
        </is>
      </c>
      <c r="G378" s="4" t="inlineStr">
        <is>
          <t>rbf</t>
        </is>
      </c>
      <c r="H378" s="4" t="b">
        <v>0</v>
      </c>
      <c r="I378" s="4" t="b">
        <v>1</v>
      </c>
      <c r="J378" s="4" t="inlineStr">
        <is>
          <t>std</t>
        </is>
      </c>
      <c r="K378" s="4" t="inlineStr">
        <is>
          <t>log</t>
        </is>
      </c>
      <c r="L378" s="4" t="inlineStr">
        <is>
          <t>compact</t>
        </is>
      </c>
      <c r="M378" s="11" t="n">
        <v>-0.6114407810344358</v>
      </c>
      <c r="N378" s="11" t="n">
        <v>-2.275594285158907</v>
      </c>
      <c r="O378" s="11" t="n">
        <v>-4.926449782589101</v>
      </c>
      <c r="P378" s="4" t="n">
        <v>1</v>
      </c>
      <c r="Q378" s="11" t="n">
        <v>0.5482134252915168</v>
      </c>
      <c r="R378" s="11" t="n">
        <v>0</v>
      </c>
      <c r="S378" s="11" t="n">
        <v>2.534239898071326</v>
      </c>
      <c r="T378" s="11" t="n">
        <v>1.627470854955077</v>
      </c>
      <c r="U378" s="11" t="n">
        <v>0.9289099526066352</v>
      </c>
      <c r="V378" s="11" t="n">
        <v>2.220746504674035</v>
      </c>
      <c r="W378" s="12" t="n">
        <v>10.27951121330261</v>
      </c>
    </row>
    <row r="379">
      <c r="A379" s="4" t="n">
        <v>378</v>
      </c>
      <c r="B379" s="4" t="inlineStr">
        <is>
          <t>m100_MPa</t>
        </is>
      </c>
      <c r="C379" s="4" t="inlineStr">
        <is>
          <t>Exp2_BO</t>
        </is>
      </c>
      <c r="D379" s="4" t="n">
        <v>1</v>
      </c>
      <c r="E379" s="4" t="n">
        <v>20</v>
      </c>
      <c r="F379" s="4" t="inlineStr">
        <is>
          <t>GP</t>
        </is>
      </c>
      <c r="G379" s="4" t="inlineStr">
        <is>
          <t>rq</t>
        </is>
      </c>
      <c r="H379" s="4" t="b">
        <v>1</v>
      </c>
      <c r="I379" s="4" t="b">
        <v>0</v>
      </c>
      <c r="J379" s="4" t="inlineStr">
        <is>
          <t>std</t>
        </is>
      </c>
      <c r="K379" s="4" t="inlineStr">
        <is>
          <t>log</t>
        </is>
      </c>
      <c r="L379" s="4" t="inlineStr">
        <is>
          <t>full_cure6</t>
        </is>
      </c>
      <c r="M379" s="11" t="n">
        <v>-0.8075862501436613</v>
      </c>
      <c r="N379" s="11" t="n">
        <v>-2.470898601227575</v>
      </c>
      <c r="O379" s="11" t="n">
        <v>-2.226329588725475</v>
      </c>
      <c r="P379" s="4" t="n">
        <v>1</v>
      </c>
      <c r="Q379" s="11" t="n">
        <v>0.6541412786698042</v>
      </c>
      <c r="R379" s="11" t="n">
        <v>0</v>
      </c>
      <c r="S379" s="11" t="n">
        <v>2.21733049098367</v>
      </c>
      <c r="T379" s="11" t="n">
        <v>1.432764647348111</v>
      </c>
      <c r="U379" s="11" t="n">
        <v>0.9383886255924172</v>
      </c>
      <c r="V379" s="11" t="n">
        <v>2.252513241585309</v>
      </c>
      <c r="W379" s="12" t="n">
        <v>4.534361362457275</v>
      </c>
    </row>
    <row r="380">
      <c r="A380" s="4" t="n">
        <v>379</v>
      </c>
      <c r="B380" s="4" t="inlineStr">
        <is>
          <t>m100_MPa</t>
        </is>
      </c>
      <c r="C380" s="4" t="inlineStr">
        <is>
          <t>Exp2_BO</t>
        </is>
      </c>
      <c r="D380" s="4" t="n">
        <v>1</v>
      </c>
      <c r="E380" s="4" t="n">
        <v>21</v>
      </c>
      <c r="F380" s="4" t="inlineStr">
        <is>
          <t>GP</t>
        </is>
      </c>
      <c r="G380" s="4" t="inlineStr">
        <is>
          <t>matern12</t>
        </is>
      </c>
      <c r="H380" s="4" t="b">
        <v>0</v>
      </c>
      <c r="I380" s="4" t="b">
        <v>0</v>
      </c>
      <c r="J380" s="4" t="inlineStr">
        <is>
          <t>std</t>
        </is>
      </c>
      <c r="K380" s="4" t="inlineStr">
        <is>
          <t>log</t>
        </is>
      </c>
      <c r="L380" s="4" t="inlineStr">
        <is>
          <t>full_cure6</t>
        </is>
      </c>
      <c r="M380" s="11" t="n">
        <v>-0.9448817735138632</v>
      </c>
      <c r="N380" s="11" t="n">
        <v>0</v>
      </c>
      <c r="O380" s="11" t="n">
        <v>-3.847426747122887</v>
      </c>
      <c r="P380" s="4" t="n">
        <v>1</v>
      </c>
      <c r="Q380" s="11" t="n">
        <v>0.7118657661421555</v>
      </c>
      <c r="R380" s="11" t="n">
        <v>0</v>
      </c>
      <c r="S380" s="11" t="n">
        <v>2.023850804552499</v>
      </c>
      <c r="T380" s="11" t="n">
        <v>1.352854562593462</v>
      </c>
      <c r="U380" s="11" t="n">
        <v>0.943127962085308</v>
      </c>
      <c r="V380" s="11" t="n">
        <v>2.050835074362725</v>
      </c>
      <c r="W380" s="12" t="n">
        <v>2.029843330383301</v>
      </c>
    </row>
    <row r="381">
      <c r="A381" s="4" t="n">
        <v>380</v>
      </c>
      <c r="B381" s="4" t="inlineStr">
        <is>
          <t>m100_MPa</t>
        </is>
      </c>
      <c r="C381" s="4" t="inlineStr">
        <is>
          <t>Exp2_BO</t>
        </is>
      </c>
      <c r="D381" s="4" t="n">
        <v>1</v>
      </c>
      <c r="E381" s="4" t="n">
        <v>22</v>
      </c>
      <c r="F381" s="4" t="inlineStr">
        <is>
          <t>GP</t>
        </is>
      </c>
      <c r="G381" s="4" t="inlineStr">
        <is>
          <t>rbf</t>
        </is>
      </c>
      <c r="H381" s="4" t="b">
        <v>0</v>
      </c>
      <c r="I381" s="4" t="b">
        <v>1</v>
      </c>
      <c r="J381" s="4" t="inlineStr">
        <is>
          <t>log1p</t>
        </is>
      </c>
      <c r="K381" s="4" t="inlineStr">
        <is>
          <t>none</t>
        </is>
      </c>
      <c r="L381" s="4" t="inlineStr">
        <is>
          <t>full_cure6</t>
        </is>
      </c>
      <c r="M381" s="11" t="n">
        <v>-0.3404092252857977</v>
      </c>
      <c r="N381" s="11" t="n">
        <v>-2.335624303166874</v>
      </c>
      <c r="O381" s="11" t="n">
        <v>-5.911374190047868</v>
      </c>
      <c r="P381" s="4" t="n">
        <v>1</v>
      </c>
      <c r="Q381" s="11" t="n">
        <v>0.6157284203139374</v>
      </c>
      <c r="R381" s="11" t="n">
        <v>0</v>
      </c>
      <c r="S381" s="11" t="n">
        <v>2.337223240920029</v>
      </c>
      <c r="T381" s="11" t="n">
        <v>1.531675815851483</v>
      </c>
      <c r="U381" s="11" t="n">
        <v>0.943127962085308</v>
      </c>
      <c r="V381" s="11" t="n">
        <v>2.262602593053227</v>
      </c>
      <c r="W381" s="12" t="n">
        <v>6.571502447128296</v>
      </c>
    </row>
    <row r="382">
      <c r="A382" s="4" t="n">
        <v>381</v>
      </c>
      <c r="B382" s="4" t="inlineStr">
        <is>
          <t>m100_MPa</t>
        </is>
      </c>
      <c r="C382" s="4" t="inlineStr">
        <is>
          <t>Exp2_BO</t>
        </is>
      </c>
      <c r="D382" s="4" t="n">
        <v>1</v>
      </c>
      <c r="E382" s="4" t="n">
        <v>23</v>
      </c>
      <c r="F382" s="4" t="inlineStr">
        <is>
          <t>GP</t>
        </is>
      </c>
      <c r="G382" s="4" t="inlineStr">
        <is>
          <t>rbf</t>
        </is>
      </c>
      <c r="H382" s="4" t="b">
        <v>1</v>
      </c>
      <c r="I382" s="4" t="b">
        <v>1</v>
      </c>
      <c r="J382" s="4" t="inlineStr">
        <is>
          <t>log1p</t>
        </is>
      </c>
      <c r="K382" s="4" t="inlineStr">
        <is>
          <t>log</t>
        </is>
      </c>
      <c r="L382" s="4" t="inlineStr">
        <is>
          <t>full_cure6</t>
        </is>
      </c>
      <c r="M382" s="11" t="n">
        <v>0.9311975746124088</v>
      </c>
      <c r="N382" s="11" t="n">
        <v>-0.2295298143475306</v>
      </c>
      <c r="O382" s="11" t="n">
        <v>-3.897376255510981</v>
      </c>
      <c r="P382" s="4" t="n">
        <v>1</v>
      </c>
      <c r="Q382" s="11" t="n">
        <v>0.6563604891165452</v>
      </c>
      <c r="R382" s="11" t="n">
        <v>0</v>
      </c>
      <c r="S382" s="11" t="n">
        <v>2.210205266730294</v>
      </c>
      <c r="T382" s="11" t="n">
        <v>1.398687874335377</v>
      </c>
      <c r="U382" s="11" t="n">
        <v>0.924170616113744</v>
      </c>
      <c r="V382" s="11" t="n">
        <v>2.316518259467736</v>
      </c>
      <c r="W382" s="12" t="n">
        <v>69.26931285858154</v>
      </c>
    </row>
    <row r="383">
      <c r="A383" s="4" t="n">
        <v>382</v>
      </c>
      <c r="B383" s="4" t="inlineStr">
        <is>
          <t>m100_MPa</t>
        </is>
      </c>
      <c r="C383" s="4" t="inlineStr">
        <is>
          <t>Exp2_BO</t>
        </is>
      </c>
      <c r="D383" s="4" t="n">
        <v>1</v>
      </c>
      <c r="E383" s="4" t="n">
        <v>24</v>
      </c>
      <c r="F383" s="4" t="inlineStr">
        <is>
          <t>GP</t>
        </is>
      </c>
      <c r="G383" s="4" t="inlineStr">
        <is>
          <t>rbf</t>
        </is>
      </c>
      <c r="H383" s="4" t="b">
        <v>0</v>
      </c>
      <c r="I383" s="4" t="b">
        <v>0</v>
      </c>
      <c r="J383" s="4" t="inlineStr">
        <is>
          <t>std</t>
        </is>
      </c>
      <c r="K383" s="4" t="inlineStr">
        <is>
          <t>none</t>
        </is>
      </c>
      <c r="L383" s="4" t="inlineStr">
        <is>
          <t>full</t>
        </is>
      </c>
      <c r="M383" s="11" t="n">
        <v>0.813087808648878</v>
      </c>
      <c r="N383" s="11" t="n">
        <v>-2.273971359289693</v>
      </c>
      <c r="O383" s="11" t="n">
        <v>-5.66518177902988</v>
      </c>
      <c r="P383" s="4" t="n">
        <v>1</v>
      </c>
      <c r="Q383" s="11" t="n">
        <v>0.5870308206062659</v>
      </c>
      <c r="R383" s="11" t="n">
        <v>0</v>
      </c>
      <c r="S383" s="11" t="n">
        <v>2.422924512723923</v>
      </c>
      <c r="T383" s="11" t="n">
        <v>1.578507294924608</v>
      </c>
      <c r="U383" s="11" t="n">
        <v>0.924170616113744</v>
      </c>
      <c r="V383" s="11" t="n">
        <v>2.227896188191602</v>
      </c>
      <c r="W383" s="12" t="n">
        <v>4.917910099029541</v>
      </c>
    </row>
    <row r="384">
      <c r="A384" s="4" t="n">
        <v>383</v>
      </c>
      <c r="B384" s="4" t="inlineStr">
        <is>
          <t>m100_MPa</t>
        </is>
      </c>
      <c r="C384" s="4" t="inlineStr">
        <is>
          <t>Exp2_BO</t>
        </is>
      </c>
      <c r="D384" s="4" t="n">
        <v>1</v>
      </c>
      <c r="E384" s="4" t="n">
        <v>25</v>
      </c>
      <c r="F384" s="4" t="inlineStr">
        <is>
          <t>GP</t>
        </is>
      </c>
      <c r="G384" s="4" t="inlineStr">
        <is>
          <t>matern12</t>
        </is>
      </c>
      <c r="H384" s="4" t="b">
        <v>0</v>
      </c>
      <c r="I384" s="4" t="b">
        <v>1</v>
      </c>
      <c r="J384" s="4" t="inlineStr">
        <is>
          <t>std</t>
        </is>
      </c>
      <c r="K384" s="4" t="inlineStr">
        <is>
          <t>none</t>
        </is>
      </c>
      <c r="L384" s="4" t="inlineStr">
        <is>
          <t>full_cure6</t>
        </is>
      </c>
      <c r="M384" s="11" t="n">
        <v>0.3941708442189033</v>
      </c>
      <c r="N384" s="11" t="n">
        <v>-0.7468776898737444</v>
      </c>
      <c r="O384" s="11" t="n">
        <v>-3.222027894840716</v>
      </c>
      <c r="P384" s="4" t="n">
        <v>1</v>
      </c>
      <c r="Q384" s="11" t="n">
        <v>0.7286315685037039</v>
      </c>
      <c r="R384" s="11" t="n">
        <v>0</v>
      </c>
      <c r="S384" s="11" t="n">
        <v>1.964087020153284</v>
      </c>
      <c r="T384" s="11" t="n">
        <v>1.372531842556475</v>
      </c>
      <c r="U384" s="11" t="n">
        <v>0.95260663507109</v>
      </c>
      <c r="V384" s="11" t="n">
        <v>2.109650600391382</v>
      </c>
      <c r="W384" s="12" t="n">
        <v>6.039806842803955</v>
      </c>
    </row>
    <row r="385">
      <c r="A385" s="4" t="n">
        <v>384</v>
      </c>
      <c r="B385" s="4" t="inlineStr">
        <is>
          <t>m100_MPa</t>
        </is>
      </c>
      <c r="C385" s="4" t="inlineStr">
        <is>
          <t>Exp2_BO</t>
        </is>
      </c>
      <c r="D385" s="4" t="n">
        <v>1</v>
      </c>
      <c r="E385" s="4" t="n">
        <v>26</v>
      </c>
      <c r="F385" s="4" t="inlineStr">
        <is>
          <t>GP</t>
        </is>
      </c>
      <c r="G385" s="4" t="inlineStr">
        <is>
          <t>matern12</t>
        </is>
      </c>
      <c r="H385" s="4" t="b">
        <v>0</v>
      </c>
      <c r="I385" s="4" t="b">
        <v>1</v>
      </c>
      <c r="J385" s="4" t="inlineStr">
        <is>
          <t>std</t>
        </is>
      </c>
      <c r="K385" s="4" t="inlineStr">
        <is>
          <t>none</t>
        </is>
      </c>
      <c r="L385" s="4" t="inlineStr">
        <is>
          <t>full</t>
        </is>
      </c>
      <c r="M385" s="11" t="n">
        <v>0.9254454900127712</v>
      </c>
      <c r="N385" s="11" t="n">
        <v>-2.302689751208287</v>
      </c>
      <c r="O385" s="11" t="n">
        <v>-5.779245497826961</v>
      </c>
      <c r="P385" s="4" t="n">
        <v>1</v>
      </c>
      <c r="Q385" s="11" t="n">
        <v>0.6969145366542413</v>
      </c>
      <c r="R385" s="11" t="n">
        <v>0</v>
      </c>
      <c r="S385" s="11" t="n">
        <v>2.075695371562543</v>
      </c>
      <c r="T385" s="11" t="n">
        <v>1.463614738368094</v>
      </c>
      <c r="U385" s="11" t="n">
        <v>0.943127962085308</v>
      </c>
      <c r="V385" s="11" t="n">
        <v>2.165992034383047</v>
      </c>
      <c r="W385" s="12" t="n">
        <v>6.576276063919067</v>
      </c>
    </row>
    <row r="386">
      <c r="A386" s="4" t="n">
        <v>385</v>
      </c>
      <c r="B386" s="4" t="inlineStr">
        <is>
          <t>m100_MPa</t>
        </is>
      </c>
      <c r="C386" s="4" t="inlineStr">
        <is>
          <t>Exp2_BO</t>
        </is>
      </c>
      <c r="D386" s="4" t="n">
        <v>1</v>
      </c>
      <c r="E386" s="4" t="n">
        <v>27</v>
      </c>
      <c r="F386" s="4" t="inlineStr">
        <is>
          <t>GP</t>
        </is>
      </c>
      <c r="G386" s="4" t="inlineStr">
        <is>
          <t>matern12</t>
        </is>
      </c>
      <c r="H386" s="4" t="b">
        <v>0</v>
      </c>
      <c r="I386" s="4" t="b">
        <v>1</v>
      </c>
      <c r="J386" s="4" t="inlineStr">
        <is>
          <t>std</t>
        </is>
      </c>
      <c r="K386" s="4" t="inlineStr">
        <is>
          <t>log</t>
        </is>
      </c>
      <c r="L386" s="4" t="inlineStr">
        <is>
          <t>full_cure6</t>
        </is>
      </c>
      <c r="M386" s="11" t="n">
        <v>-0.6966223998637511</v>
      </c>
      <c r="N386" s="11" t="n">
        <v>-1.088508455458941</v>
      </c>
      <c r="O386" s="11" t="n">
        <v>-2.41579035453688</v>
      </c>
      <c r="P386" s="4" t="n">
        <v>1</v>
      </c>
      <c r="Q386" s="11" t="n">
        <v>0.6036451405198348</v>
      </c>
      <c r="R386" s="11" t="n">
        <v>0</v>
      </c>
      <c r="S386" s="11" t="n">
        <v>2.373685391259805</v>
      </c>
      <c r="T386" s="11" t="n">
        <v>1.429393023509984</v>
      </c>
      <c r="U386" s="11" t="n">
        <v>0.933649289099526</v>
      </c>
      <c r="V386" s="11" t="n">
        <v>2.068512791252356</v>
      </c>
      <c r="W386" s="12" t="n">
        <v>9.273455142974854</v>
      </c>
    </row>
    <row r="387">
      <c r="A387" s="4" t="n">
        <v>386</v>
      </c>
      <c r="B387" s="4" t="inlineStr">
        <is>
          <t>m100_MPa</t>
        </is>
      </c>
      <c r="C387" s="4" t="inlineStr">
        <is>
          <t>Exp2_BO</t>
        </is>
      </c>
      <c r="D387" s="4" t="n">
        <v>1</v>
      </c>
      <c r="E387" s="4" t="n">
        <v>28</v>
      </c>
      <c r="F387" s="4" t="inlineStr">
        <is>
          <t>GP</t>
        </is>
      </c>
      <c r="G387" s="4" t="inlineStr">
        <is>
          <t>matern12</t>
        </is>
      </c>
      <c r="H387" s="4" t="b">
        <v>1</v>
      </c>
      <c r="I387" s="4" t="b">
        <v>1</v>
      </c>
      <c r="J387" s="4" t="inlineStr">
        <is>
          <t>std</t>
        </is>
      </c>
      <c r="K387" s="4" t="inlineStr">
        <is>
          <t>none</t>
        </is>
      </c>
      <c r="L387" s="4" t="inlineStr">
        <is>
          <t>full_cure6</t>
        </is>
      </c>
      <c r="M387" s="11" t="n">
        <v>0.507451698702027</v>
      </c>
      <c r="N387" s="11" t="n">
        <v>-2.553288694436598</v>
      </c>
      <c r="O387" s="11" t="n">
        <v>-5.155500382538785</v>
      </c>
      <c r="P387" s="4" t="n">
        <v>1</v>
      </c>
      <c r="Q387" s="11" t="n">
        <v>0.6893937005862431</v>
      </c>
      <c r="R387" s="11" t="n">
        <v>0</v>
      </c>
      <c r="S387" s="11" t="n">
        <v>2.101290964492557</v>
      </c>
      <c r="T387" s="11" t="n">
        <v>1.493893352042705</v>
      </c>
      <c r="U387" s="11" t="n">
        <v>0.914691943127962</v>
      </c>
      <c r="V387" s="11" t="n">
        <v>2.218551178039233</v>
      </c>
      <c r="W387" s="12" t="n">
        <v>113.0455470085144</v>
      </c>
    </row>
    <row r="388">
      <c r="A388" s="4" t="n">
        <v>387</v>
      </c>
      <c r="B388" s="4" t="inlineStr">
        <is>
          <t>m100_MPa</t>
        </is>
      </c>
      <c r="C388" s="4" t="inlineStr">
        <is>
          <t>Exp2_BO</t>
        </is>
      </c>
      <c r="D388" s="4" t="n">
        <v>1</v>
      </c>
      <c r="E388" s="4" t="n">
        <v>29</v>
      </c>
      <c r="F388" s="4" t="inlineStr">
        <is>
          <t>GP</t>
        </is>
      </c>
      <c r="G388" s="4" t="inlineStr">
        <is>
          <t>rbf</t>
        </is>
      </c>
      <c r="H388" s="4" t="b">
        <v>1</v>
      </c>
      <c r="I388" s="4" t="b">
        <v>1</v>
      </c>
      <c r="J388" s="4" t="inlineStr">
        <is>
          <t>std</t>
        </is>
      </c>
      <c r="K388" s="4" t="inlineStr">
        <is>
          <t>none</t>
        </is>
      </c>
      <c r="L388" s="4" t="inlineStr">
        <is>
          <t>full_cure6</t>
        </is>
      </c>
      <c r="M388" s="11" t="n">
        <v>-0.7420809004274944</v>
      </c>
      <c r="N388" s="11" t="n">
        <v>-0.0192332684759319</v>
      </c>
      <c r="O388" s="11" t="n">
        <v>-3.609895179459169</v>
      </c>
      <c r="P388" s="4" t="n">
        <v>1</v>
      </c>
      <c r="Q388" s="11" t="n">
        <v>0.7103919743940974</v>
      </c>
      <c r="R388" s="11" t="n">
        <v>0</v>
      </c>
      <c r="S388" s="11" t="n">
        <v>2.02902014900214</v>
      </c>
      <c r="T388" s="11" t="n">
        <v>1.470851465861849</v>
      </c>
      <c r="U388" s="11" t="n">
        <v>0.9289099526066352</v>
      </c>
      <c r="V388" s="11" t="n">
        <v>2.170407940469005</v>
      </c>
      <c r="W388" s="12" t="n">
        <v>33.39906692504883</v>
      </c>
    </row>
    <row r="389">
      <c r="A389" s="4" t="n">
        <v>388</v>
      </c>
      <c r="B389" s="4" t="inlineStr">
        <is>
          <t>m100_MPa</t>
        </is>
      </c>
      <c r="C389" s="4" t="inlineStr">
        <is>
          <t>Exp2_BO</t>
        </is>
      </c>
      <c r="D389" s="4" t="n">
        <v>2</v>
      </c>
      <c r="E389" s="4" t="n">
        <v>0</v>
      </c>
      <c r="F389" s="4" t="inlineStr">
        <is>
          <t>GP</t>
        </is>
      </c>
      <c r="G389" s="4" t="inlineStr">
        <is>
          <t>rq</t>
        </is>
      </c>
      <c r="H389" s="4" t="b">
        <v>1</v>
      </c>
      <c r="I389" s="4" t="b">
        <v>0</v>
      </c>
      <c r="J389" s="4" t="inlineStr">
        <is>
          <t>std</t>
        </is>
      </c>
      <c r="K389" s="4" t="inlineStr">
        <is>
          <t>none</t>
        </is>
      </c>
      <c r="L389" s="4" t="inlineStr">
        <is>
          <t>compact</t>
        </is>
      </c>
      <c r="M389" s="11" t="n">
        <v>-0.8161681157298062</v>
      </c>
      <c r="N389" s="11" t="n">
        <v>-1.199698422103038</v>
      </c>
      <c r="O389" s="11" t="n">
        <v>-3.085757892752821</v>
      </c>
      <c r="P389" s="4" t="n">
        <v>1</v>
      </c>
      <c r="Q389" s="11" t="n">
        <v>0.5951893153295262</v>
      </c>
      <c r="R389" s="11" t="n">
        <v>0</v>
      </c>
      <c r="S389" s="11" t="n">
        <v>2.398871842363278</v>
      </c>
      <c r="T389" s="11" t="n">
        <v>1.657745170210268</v>
      </c>
      <c r="U389" s="11" t="n">
        <v>0.9289099526066352</v>
      </c>
      <c r="V389" s="11" t="n">
        <v>2.271472311310506</v>
      </c>
      <c r="W389" s="12" t="n">
        <v>3.335805177688598</v>
      </c>
    </row>
    <row r="390">
      <c r="A390" s="4" t="n">
        <v>389</v>
      </c>
      <c r="B390" s="4" t="inlineStr">
        <is>
          <t>m100_MPa</t>
        </is>
      </c>
      <c r="C390" s="4" t="inlineStr">
        <is>
          <t>Exp2_BO</t>
        </is>
      </c>
      <c r="D390" s="4" t="n">
        <v>2</v>
      </c>
      <c r="E390" s="4" t="n">
        <v>1</v>
      </c>
      <c r="F390" s="4" t="inlineStr">
        <is>
          <t>GP</t>
        </is>
      </c>
      <c r="G390" s="4" t="inlineStr">
        <is>
          <t>rq</t>
        </is>
      </c>
      <c r="H390" s="4" t="b">
        <v>1</v>
      </c>
      <c r="I390" s="4" t="b">
        <v>1</v>
      </c>
      <c r="J390" s="4" t="inlineStr">
        <is>
          <t>std</t>
        </is>
      </c>
      <c r="K390" s="4" t="inlineStr">
        <is>
          <t>log</t>
        </is>
      </c>
      <c r="L390" s="4" t="inlineStr">
        <is>
          <t>full_agg</t>
        </is>
      </c>
      <c r="M390" s="11" t="n">
        <v>0.3148660297511851</v>
      </c>
      <c r="N390" s="11" t="n">
        <v>-1.313203011658716</v>
      </c>
      <c r="O390" s="11" t="n">
        <v>-5.399750946778656</v>
      </c>
      <c r="P390" s="4" t="n">
        <v>1</v>
      </c>
      <c r="Q390" s="11" t="n">
        <v>0.6022620954570613</v>
      </c>
      <c r="R390" s="11" t="n">
        <v>0</v>
      </c>
      <c r="S390" s="11" t="n">
        <v>2.377823166928722</v>
      </c>
      <c r="T390" s="11" t="n">
        <v>1.495538225770439</v>
      </c>
      <c r="U390" s="11" t="n">
        <v>0.914691943127962</v>
      </c>
      <c r="V390" s="11" t="n">
        <v>2.149059036757919</v>
      </c>
      <c r="W390" s="12" t="n">
        <v>12.04796433448792</v>
      </c>
    </row>
    <row r="391">
      <c r="A391" s="4" t="n">
        <v>390</v>
      </c>
      <c r="B391" s="4" t="inlineStr">
        <is>
          <t>m100_MPa</t>
        </is>
      </c>
      <c r="C391" s="4" t="inlineStr">
        <is>
          <t>Exp2_BO</t>
        </is>
      </c>
      <c r="D391" s="4" t="n">
        <v>2</v>
      </c>
      <c r="E391" s="4" t="n">
        <v>2</v>
      </c>
      <c r="F391" s="4" t="inlineStr">
        <is>
          <t>GP</t>
        </is>
      </c>
      <c r="G391" s="4" t="inlineStr">
        <is>
          <t>matern52</t>
        </is>
      </c>
      <c r="H391" s="4" t="b">
        <v>1</v>
      </c>
      <c r="I391" s="4" t="b">
        <v>1</v>
      </c>
      <c r="J391" s="4" t="inlineStr">
        <is>
          <t>log1p</t>
        </is>
      </c>
      <c r="K391" s="4" t="inlineStr">
        <is>
          <t>log</t>
        </is>
      </c>
      <c r="L391" s="4" t="inlineStr">
        <is>
          <t>full_agg</t>
        </is>
      </c>
      <c r="M391" s="11" t="n">
        <v>0.2663687985482328</v>
      </c>
      <c r="N391" s="11" t="n">
        <v>-0.0976921425189702</v>
      </c>
      <c r="O391" s="11" t="n">
        <v>-3.267740710761499</v>
      </c>
      <c r="P391" s="4" t="n">
        <v>1</v>
      </c>
      <c r="Q391" s="11" t="n">
        <v>0.7041899320725638</v>
      </c>
      <c r="R391" s="11" t="n">
        <v>0</v>
      </c>
      <c r="S391" s="11" t="n">
        <v>2.050631096771319</v>
      </c>
      <c r="T391" s="11" t="n">
        <v>1.408083299655019</v>
      </c>
      <c r="U391" s="11" t="n">
        <v>0.924170616113744</v>
      </c>
      <c r="V391" s="11" t="n">
        <v>2.074218884828956</v>
      </c>
      <c r="W391" s="12" t="n">
        <v>108.7319164276123</v>
      </c>
    </row>
    <row r="392">
      <c r="A392" s="4" t="n">
        <v>391</v>
      </c>
      <c r="B392" s="4" t="inlineStr">
        <is>
          <t>m100_MPa</t>
        </is>
      </c>
      <c r="C392" s="4" t="inlineStr">
        <is>
          <t>Exp2_BO</t>
        </is>
      </c>
      <c r="D392" s="4" t="n">
        <v>2</v>
      </c>
      <c r="E392" s="4" t="n">
        <v>3</v>
      </c>
      <c r="F392" s="4" t="inlineStr">
        <is>
          <t>GP</t>
        </is>
      </c>
      <c r="G392" s="4" t="inlineStr">
        <is>
          <t>matern12</t>
        </is>
      </c>
      <c r="H392" s="4" t="b">
        <v>1</v>
      </c>
      <c r="I392" s="4" t="b">
        <v>0</v>
      </c>
      <c r="J392" s="4" t="inlineStr">
        <is>
          <t>std</t>
        </is>
      </c>
      <c r="K392" s="4" t="inlineStr">
        <is>
          <t>none</t>
        </is>
      </c>
      <c r="L392" s="4" t="inlineStr">
        <is>
          <t>full_agg</t>
        </is>
      </c>
      <c r="M392" s="11" t="n">
        <v>0.0221319471391541</v>
      </c>
      <c r="N392" s="11" t="n">
        <v>-0.3263717714982626</v>
      </c>
      <c r="O392" s="11" t="n">
        <v>-2.897744230109242</v>
      </c>
      <c r="P392" s="4" t="n">
        <v>1</v>
      </c>
      <c r="Q392" s="11" t="n">
        <v>0.6308342654325858</v>
      </c>
      <c r="R392" s="11" t="n">
        <v>0</v>
      </c>
      <c r="S392" s="11" t="n">
        <v>2.290824162397737</v>
      </c>
      <c r="T392" s="11" t="n">
        <v>1.548179161488698</v>
      </c>
      <c r="U392" s="11" t="n">
        <v>0.924170616113744</v>
      </c>
      <c r="V392" s="11" t="n">
        <v>2.217042726169174</v>
      </c>
      <c r="W392" s="12" t="n">
        <v>108.9246737957001</v>
      </c>
    </row>
    <row r="393">
      <c r="A393" s="4" t="n">
        <v>392</v>
      </c>
      <c r="B393" s="4" t="inlineStr">
        <is>
          <t>m100_MPa</t>
        </is>
      </c>
      <c r="C393" s="4" t="inlineStr">
        <is>
          <t>Exp2_BO</t>
        </is>
      </c>
      <c r="D393" s="4" t="n">
        <v>2</v>
      </c>
      <c r="E393" s="4" t="n">
        <v>4</v>
      </c>
      <c r="F393" s="4" t="inlineStr">
        <is>
          <t>GP</t>
        </is>
      </c>
      <c r="G393" s="4" t="inlineStr">
        <is>
          <t>rq</t>
        </is>
      </c>
      <c r="H393" s="4" t="b">
        <v>1</v>
      </c>
      <c r="I393" s="4" t="b">
        <v>1</v>
      </c>
      <c r="J393" s="4" t="inlineStr">
        <is>
          <t>log1p</t>
        </is>
      </c>
      <c r="K393" s="4" t="inlineStr">
        <is>
          <t>none</t>
        </is>
      </c>
      <c r="L393" s="4" t="inlineStr">
        <is>
          <t>full_agg</t>
        </is>
      </c>
      <c r="M393" s="11" t="n">
        <v>0.3875176844044601</v>
      </c>
      <c r="N393" s="11" t="n">
        <v>-2.678378074639236</v>
      </c>
      <c r="O393" s="11" t="n">
        <v>-5.581825766268234</v>
      </c>
      <c r="P393" s="4" t="n">
        <v>1</v>
      </c>
      <c r="Q393" s="11" t="n">
        <v>0.6256691941234326</v>
      </c>
      <c r="R393" s="11" t="n">
        <v>0</v>
      </c>
      <c r="S393" s="11" t="n">
        <v>2.306794185016924</v>
      </c>
      <c r="T393" s="11" t="n">
        <v>1.543492550448169</v>
      </c>
      <c r="U393" s="11" t="n">
        <v>0.933649289099526</v>
      </c>
      <c r="V393" s="11" t="n">
        <v>2.265693459154902</v>
      </c>
      <c r="W393" s="12" t="n">
        <v>15.29891753196716</v>
      </c>
    </row>
    <row r="394">
      <c r="A394" s="4" t="n">
        <v>393</v>
      </c>
      <c r="B394" s="4" t="inlineStr">
        <is>
          <t>m100_MPa</t>
        </is>
      </c>
      <c r="C394" s="4" t="inlineStr">
        <is>
          <t>Exp2_BO</t>
        </is>
      </c>
      <c r="D394" s="4" t="n">
        <v>2</v>
      </c>
      <c r="E394" s="4" t="n">
        <v>5</v>
      </c>
      <c r="F394" s="4" t="inlineStr">
        <is>
          <t>GP</t>
        </is>
      </c>
      <c r="G394" s="4" t="inlineStr">
        <is>
          <t>rq</t>
        </is>
      </c>
      <c r="H394" s="4" t="b">
        <v>1</v>
      </c>
      <c r="I394" s="4" t="b">
        <v>0</v>
      </c>
      <c r="J394" s="4" t="inlineStr">
        <is>
          <t>log1p</t>
        </is>
      </c>
      <c r="K394" s="4" t="inlineStr">
        <is>
          <t>log</t>
        </is>
      </c>
      <c r="L394" s="4" t="inlineStr">
        <is>
          <t>full_cure6</t>
        </is>
      </c>
      <c r="M394" s="11" t="n">
        <v>0.6984726472288691</v>
      </c>
      <c r="N394" s="11" t="n">
        <v>-1.066691192383448</v>
      </c>
      <c r="O394" s="11" t="n">
        <v>-4.373830409297854</v>
      </c>
      <c r="P394" s="4" t="n">
        <v>1</v>
      </c>
      <c r="Q394" s="11" t="n">
        <v>0.6775980365365561</v>
      </c>
      <c r="R394" s="11" t="n">
        <v>0</v>
      </c>
      <c r="S394" s="11" t="n">
        <v>2.140818762704798</v>
      </c>
      <c r="T394" s="11" t="n">
        <v>1.386211659983484</v>
      </c>
      <c r="U394" s="11" t="n">
        <v>0.9383886255924172</v>
      </c>
      <c r="V394" s="11" t="n">
        <v>2.156810207958417</v>
      </c>
      <c r="W394" s="12" t="n">
        <v>4.715683937072754</v>
      </c>
    </row>
    <row r="395">
      <c r="A395" s="4" t="n">
        <v>394</v>
      </c>
      <c r="B395" s="4" t="inlineStr">
        <is>
          <t>m100_MPa</t>
        </is>
      </c>
      <c r="C395" s="4" t="inlineStr">
        <is>
          <t>Exp2_BO</t>
        </is>
      </c>
      <c r="D395" s="4" t="n">
        <v>2</v>
      </c>
      <c r="E395" s="4" t="n">
        <v>6</v>
      </c>
      <c r="F395" s="4" t="inlineStr">
        <is>
          <t>GP</t>
        </is>
      </c>
      <c r="G395" s="4" t="inlineStr">
        <is>
          <t>matern32</t>
        </is>
      </c>
      <c r="H395" s="4" t="b">
        <v>0</v>
      </c>
      <c r="I395" s="4" t="b">
        <v>1</v>
      </c>
      <c r="J395" s="4" t="inlineStr">
        <is>
          <t>log1p</t>
        </is>
      </c>
      <c r="K395" s="4" t="inlineStr">
        <is>
          <t>none</t>
        </is>
      </c>
      <c r="L395" s="4" t="inlineStr">
        <is>
          <t>compact</t>
        </is>
      </c>
      <c r="M395" s="11" t="n">
        <v>-0.12362766768175</v>
      </c>
      <c r="N395" s="11" t="n">
        <v>-0.3232796701000713</v>
      </c>
      <c r="O395" s="11" t="n">
        <v>-3.545132246389651</v>
      </c>
      <c r="P395" s="4" t="n">
        <v>1</v>
      </c>
      <c r="Q395" s="11" t="n">
        <v>0.5907499729297367</v>
      </c>
      <c r="R395" s="11" t="n">
        <v>0</v>
      </c>
      <c r="S395" s="11" t="n">
        <v>2.411989549331218</v>
      </c>
      <c r="T395" s="11" t="n">
        <v>1.624716614590683</v>
      </c>
      <c r="U395" s="11" t="n">
        <v>0.914691943127962</v>
      </c>
      <c r="V395" s="11" t="n">
        <v>2.300091755072049</v>
      </c>
      <c r="W395" s="12" t="n">
        <v>16.86386871337891</v>
      </c>
    </row>
    <row r="396">
      <c r="A396" s="4" t="n">
        <v>395</v>
      </c>
      <c r="B396" s="4" t="inlineStr">
        <is>
          <t>m100_MPa</t>
        </is>
      </c>
      <c r="C396" s="4" t="inlineStr">
        <is>
          <t>Exp2_BO</t>
        </is>
      </c>
      <c r="D396" s="4" t="n">
        <v>2</v>
      </c>
      <c r="E396" s="4" t="n">
        <v>7</v>
      </c>
      <c r="F396" s="4" t="inlineStr">
        <is>
          <t>GP</t>
        </is>
      </c>
      <c r="G396" s="4" t="inlineStr">
        <is>
          <t>rbf</t>
        </is>
      </c>
      <c r="H396" s="4" t="b">
        <v>0</v>
      </c>
      <c r="I396" s="4" t="b">
        <v>0</v>
      </c>
      <c r="J396" s="4" t="inlineStr">
        <is>
          <t>std</t>
        </is>
      </c>
      <c r="K396" s="4" t="inlineStr">
        <is>
          <t>none</t>
        </is>
      </c>
      <c r="L396" s="4" t="inlineStr">
        <is>
          <t>full_cure6</t>
        </is>
      </c>
      <c r="M396" s="11" t="n">
        <v>-0.3219492507013799</v>
      </c>
      <c r="N396" s="11" t="n">
        <v>-1.431514488228708</v>
      </c>
      <c r="O396" s="11" t="n">
        <v>-5.135106435923943</v>
      </c>
      <c r="P396" s="4" t="n">
        <v>1</v>
      </c>
      <c r="Q396" s="11" t="n">
        <v>0.614647001297125</v>
      </c>
      <c r="R396" s="11" t="n">
        <v>0</v>
      </c>
      <c r="S396" s="11" t="n">
        <v>2.340509643105779</v>
      </c>
      <c r="T396" s="11" t="n">
        <v>1.528368558013577</v>
      </c>
      <c r="U396" s="11" t="n">
        <v>0.9289099526066352</v>
      </c>
      <c r="V396" s="11" t="n">
        <v>2.184985824074194</v>
      </c>
      <c r="W396" s="12" t="n">
        <v>2.960823774337769</v>
      </c>
    </row>
    <row r="397">
      <c r="A397" s="4" t="n">
        <v>396</v>
      </c>
      <c r="B397" s="4" t="inlineStr">
        <is>
          <t>m100_MPa</t>
        </is>
      </c>
      <c r="C397" s="4" t="inlineStr">
        <is>
          <t>Exp2_BO</t>
        </is>
      </c>
      <c r="D397" s="4" t="n">
        <v>2</v>
      </c>
      <c r="E397" s="4" t="n">
        <v>8</v>
      </c>
      <c r="F397" s="4" t="inlineStr">
        <is>
          <t>GP</t>
        </is>
      </c>
      <c r="G397" s="4" t="inlineStr">
        <is>
          <t>matern52</t>
        </is>
      </c>
      <c r="H397" s="4" t="b">
        <v>0</v>
      </c>
      <c r="I397" s="4" t="b">
        <v>1</v>
      </c>
      <c r="J397" s="4" t="inlineStr">
        <is>
          <t>log1p</t>
        </is>
      </c>
      <c r="K397" s="4" t="inlineStr">
        <is>
          <t>log</t>
        </is>
      </c>
      <c r="L397" s="4" t="inlineStr">
        <is>
          <t>full_agg</t>
        </is>
      </c>
      <c r="M397" s="11" t="n">
        <v>-0.7890202638073414</v>
      </c>
      <c r="N397" s="11" t="n">
        <v>-1.530898726855118</v>
      </c>
      <c r="O397" s="11" t="n">
        <v>-3.941163044288686</v>
      </c>
      <c r="P397" s="4" t="n">
        <v>1</v>
      </c>
      <c r="Q397" s="11" t="n">
        <v>0.6532500577365113</v>
      </c>
      <c r="R397" s="11" t="n">
        <v>0</v>
      </c>
      <c r="S397" s="11" t="n">
        <v>2.22018550059331</v>
      </c>
      <c r="T397" s="11" t="n">
        <v>1.436544484186806</v>
      </c>
      <c r="U397" s="11" t="n">
        <v>0.914691943127962</v>
      </c>
      <c r="V397" s="11" t="n">
        <v>2.046979672761875</v>
      </c>
      <c r="W397" s="12" t="n">
        <v>6.484887599945068</v>
      </c>
    </row>
    <row r="398">
      <c r="A398" s="4" t="n">
        <v>397</v>
      </c>
      <c r="B398" s="4" t="inlineStr">
        <is>
          <t>m100_MPa</t>
        </is>
      </c>
      <c r="C398" s="4" t="inlineStr">
        <is>
          <t>Exp2_BO</t>
        </is>
      </c>
      <c r="D398" s="4" t="n">
        <v>2</v>
      </c>
      <c r="E398" s="4" t="n">
        <v>9</v>
      </c>
      <c r="F398" s="4" t="inlineStr">
        <is>
          <t>GP</t>
        </is>
      </c>
      <c r="G398" s="4" t="inlineStr">
        <is>
          <t>matern32</t>
        </is>
      </c>
      <c r="H398" s="4" t="b">
        <v>0</v>
      </c>
      <c r="I398" s="4" t="b">
        <v>0</v>
      </c>
      <c r="J398" s="4" t="inlineStr">
        <is>
          <t>log1p</t>
        </is>
      </c>
      <c r="K398" s="4" t="inlineStr">
        <is>
          <t>log</t>
        </is>
      </c>
      <c r="L398" s="4" t="inlineStr">
        <is>
          <t>compact</t>
        </is>
      </c>
      <c r="M398" s="11" t="n">
        <v>-0.8127510287164386</v>
      </c>
      <c r="N398" s="11" t="n">
        <v>-0.0138958533682065</v>
      </c>
      <c r="O398" s="11" t="n">
        <v>-3.601966489745457</v>
      </c>
      <c r="P398" s="4" t="n">
        <v>1</v>
      </c>
      <c r="Q398" s="11" t="n">
        <v>0.572080376928725</v>
      </c>
      <c r="R398" s="11" t="n">
        <v>0</v>
      </c>
      <c r="S398" s="11" t="n">
        <v>2.466392349183276</v>
      </c>
      <c r="T398" s="11" t="n">
        <v>1.590353228015668</v>
      </c>
      <c r="U398" s="11" t="n">
        <v>0.9383886255924172</v>
      </c>
      <c r="V398" s="11" t="n">
        <v>2.157266405373852</v>
      </c>
      <c r="W398" s="12" t="n">
        <v>1.782921314239502</v>
      </c>
    </row>
    <row r="399">
      <c r="A399" s="4" t="n">
        <v>398</v>
      </c>
      <c r="B399" s="4" t="inlineStr">
        <is>
          <t>m100_MPa</t>
        </is>
      </c>
      <c r="C399" s="4" t="inlineStr">
        <is>
          <t>Exp2_BO</t>
        </is>
      </c>
      <c r="D399" s="4" t="n">
        <v>2</v>
      </c>
      <c r="E399" s="4" t="n">
        <v>10</v>
      </c>
      <c r="F399" s="4" t="inlineStr">
        <is>
          <t>GP</t>
        </is>
      </c>
      <c r="G399" s="4" t="inlineStr">
        <is>
          <t>rbf</t>
        </is>
      </c>
      <c r="H399" s="4" t="b">
        <v>1</v>
      </c>
      <c r="I399" s="4" t="b">
        <v>1</v>
      </c>
      <c r="J399" s="4" t="inlineStr">
        <is>
          <t>log1p</t>
        </is>
      </c>
      <c r="K399" s="4" t="inlineStr">
        <is>
          <t>log</t>
        </is>
      </c>
      <c r="L399" s="4" t="inlineStr">
        <is>
          <t>full</t>
        </is>
      </c>
      <c r="M399" s="11" t="n">
        <v>0.4469638267955604</v>
      </c>
      <c r="N399" s="11" t="n">
        <v>-0.008642962695464201</v>
      </c>
      <c r="O399" s="11" t="n">
        <v>-3.928154105952415</v>
      </c>
      <c r="P399" s="4" t="n">
        <v>1</v>
      </c>
      <c r="Q399" s="11" t="n">
        <v>0.5945055260986951</v>
      </c>
      <c r="R399" s="11" t="n">
        <v>0</v>
      </c>
      <c r="S399" s="11" t="n">
        <v>2.400897024364849</v>
      </c>
      <c r="T399" s="11" t="n">
        <v>1.565144207847777</v>
      </c>
      <c r="U399" s="11" t="n">
        <v>0.909952606635071</v>
      </c>
      <c r="V399" s="11" t="n">
        <v>2.215265118438232</v>
      </c>
      <c r="W399" s="12" t="n">
        <v>52.28958606719971</v>
      </c>
    </row>
    <row r="400">
      <c r="A400" s="4" t="n">
        <v>399</v>
      </c>
      <c r="B400" s="4" t="inlineStr">
        <is>
          <t>m100_MPa</t>
        </is>
      </c>
      <c r="C400" s="4" t="inlineStr">
        <is>
          <t>Exp2_BO</t>
        </is>
      </c>
      <c r="D400" s="4" t="n">
        <v>2</v>
      </c>
      <c r="E400" s="4" t="n">
        <v>11</v>
      </c>
      <c r="F400" s="4" t="inlineStr">
        <is>
          <t>GP</t>
        </is>
      </c>
      <c r="G400" s="4" t="inlineStr">
        <is>
          <t>matern52</t>
        </is>
      </c>
      <c r="H400" s="4" t="b">
        <v>1</v>
      </c>
      <c r="I400" s="4" t="b">
        <v>1</v>
      </c>
      <c r="J400" s="4" t="inlineStr">
        <is>
          <t>log1p</t>
        </is>
      </c>
      <c r="K400" s="4" t="inlineStr">
        <is>
          <t>log</t>
        </is>
      </c>
      <c r="L400" s="4" t="inlineStr">
        <is>
          <t>full_agg</t>
        </is>
      </c>
      <c r="M400" s="11" t="n">
        <v>0.2663687985482328</v>
      </c>
      <c r="N400" s="11" t="n">
        <v>-0.0976921425189702</v>
      </c>
      <c r="O400" s="11" t="n">
        <v>-2.232448078053884</v>
      </c>
      <c r="P400" s="4" t="n">
        <v>1</v>
      </c>
      <c r="Q400" s="11" t="n">
        <v>0.7006441958620994</v>
      </c>
      <c r="R400" s="11" t="n">
        <v>0</v>
      </c>
      <c r="S400" s="11" t="n">
        <v>2.062884462746319</v>
      </c>
      <c r="T400" s="11" t="n">
        <v>1.41983294823471</v>
      </c>
      <c r="U400" s="11" t="n">
        <v>0.924170616113744</v>
      </c>
      <c r="V400" s="11" t="n">
        <v>2.084002242780045</v>
      </c>
      <c r="W400" s="12" t="n">
        <v>98.93523097038268</v>
      </c>
    </row>
    <row r="401">
      <c r="A401" s="4" t="n">
        <v>400</v>
      </c>
      <c r="B401" s="4" t="inlineStr">
        <is>
          <t>m100_MPa</t>
        </is>
      </c>
      <c r="C401" s="4" t="inlineStr">
        <is>
          <t>Exp2_BO</t>
        </is>
      </c>
      <c r="D401" s="4" t="n">
        <v>2</v>
      </c>
      <c r="E401" s="4" t="n">
        <v>12</v>
      </c>
      <c r="F401" s="4" t="inlineStr">
        <is>
          <t>GP</t>
        </is>
      </c>
      <c r="G401" s="4" t="inlineStr">
        <is>
          <t>matern52</t>
        </is>
      </c>
      <c r="H401" s="4" t="b">
        <v>0</v>
      </c>
      <c r="I401" s="4" t="b">
        <v>0</v>
      </c>
      <c r="J401" s="4" t="inlineStr">
        <is>
          <t>std</t>
        </is>
      </c>
      <c r="K401" s="4" t="inlineStr">
        <is>
          <t>none</t>
        </is>
      </c>
      <c r="L401" s="4" t="inlineStr">
        <is>
          <t>full_agg</t>
        </is>
      </c>
      <c r="M401" s="11" t="n">
        <v>0.7452791235256029</v>
      </c>
      <c r="N401" s="11" t="n">
        <v>-0.0167303815960284</v>
      </c>
      <c r="O401" s="11" t="n">
        <v>-5.925383805269199</v>
      </c>
      <c r="P401" s="4" t="n">
        <v>1</v>
      </c>
      <c r="Q401" s="11" t="n">
        <v>0.6392491741721795</v>
      </c>
      <c r="R401" s="11" t="n">
        <v>0</v>
      </c>
      <c r="S401" s="11" t="n">
        <v>2.264564684748459</v>
      </c>
      <c r="T401" s="11" t="n">
        <v>1.490094815339581</v>
      </c>
      <c r="U401" s="11" t="n">
        <v>0.933649289099526</v>
      </c>
      <c r="V401" s="11" t="n">
        <v>2.19063494199728</v>
      </c>
      <c r="W401" s="12" t="n">
        <v>2.883719682693481</v>
      </c>
    </row>
    <row r="402">
      <c r="A402" s="4" t="n">
        <v>401</v>
      </c>
      <c r="B402" s="4" t="inlineStr">
        <is>
          <t>m100_MPa</t>
        </is>
      </c>
      <c r="C402" s="4" t="inlineStr">
        <is>
          <t>Exp2_BO</t>
        </is>
      </c>
      <c r="D402" s="4" t="n">
        <v>2</v>
      </c>
      <c r="E402" s="4" t="n">
        <v>13</v>
      </c>
      <c r="F402" s="4" t="inlineStr">
        <is>
          <t>GP</t>
        </is>
      </c>
      <c r="G402" s="4" t="inlineStr">
        <is>
          <t>matern52</t>
        </is>
      </c>
      <c r="H402" s="4" t="b">
        <v>1</v>
      </c>
      <c r="I402" s="4" t="b">
        <v>1</v>
      </c>
      <c r="J402" s="4" t="inlineStr">
        <is>
          <t>log1p</t>
        </is>
      </c>
      <c r="K402" s="4" t="inlineStr">
        <is>
          <t>none</t>
        </is>
      </c>
      <c r="L402" s="4" t="inlineStr">
        <is>
          <t>compact</t>
        </is>
      </c>
      <c r="M402" s="11" t="n">
        <v>-0.0401831789267328</v>
      </c>
      <c r="N402" s="11" t="n">
        <v>-2.681308647644473</v>
      </c>
      <c r="O402" s="11" t="n">
        <v>-5.744205436541302</v>
      </c>
      <c r="P402" s="4" t="n">
        <v>1</v>
      </c>
      <c r="Q402" s="11" t="n">
        <v>0.599563736466233</v>
      </c>
      <c r="R402" s="11" t="n">
        <v>0</v>
      </c>
      <c r="S402" s="11" t="n">
        <v>2.385875423041102</v>
      </c>
      <c r="T402" s="11" t="n">
        <v>1.679699377399327</v>
      </c>
      <c r="U402" s="11" t="n">
        <v>0.919431279620853</v>
      </c>
      <c r="V402" s="11" t="n">
        <v>2.313432126532065</v>
      </c>
      <c r="W402" s="12" t="n">
        <v>54.99672603607178</v>
      </c>
    </row>
    <row r="403">
      <c r="A403" s="4" t="n">
        <v>402</v>
      </c>
      <c r="B403" s="4" t="inlineStr">
        <is>
          <t>m100_MPa</t>
        </is>
      </c>
      <c r="C403" s="4" t="inlineStr">
        <is>
          <t>Exp2_BO</t>
        </is>
      </c>
      <c r="D403" s="4" t="n">
        <v>2</v>
      </c>
      <c r="E403" s="4" t="n">
        <v>14</v>
      </c>
      <c r="F403" s="4" t="inlineStr">
        <is>
          <t>GP</t>
        </is>
      </c>
      <c r="G403" s="4" t="inlineStr">
        <is>
          <t>matern12</t>
        </is>
      </c>
      <c r="H403" s="4" t="b">
        <v>0</v>
      </c>
      <c r="I403" s="4" t="b">
        <v>1</v>
      </c>
      <c r="J403" s="4" t="inlineStr">
        <is>
          <t>std</t>
        </is>
      </c>
      <c r="K403" s="4" t="inlineStr">
        <is>
          <t>none</t>
        </is>
      </c>
      <c r="L403" s="4" t="inlineStr">
        <is>
          <t>full</t>
        </is>
      </c>
      <c r="M403" s="11" t="n">
        <v>-0.9876051369883636</v>
      </c>
      <c r="N403" s="11" t="n">
        <v>-2.313354111932692</v>
      </c>
      <c r="O403" s="11" t="n">
        <v>-4.109352684226932</v>
      </c>
      <c r="P403" s="4" t="n">
        <v>1</v>
      </c>
      <c r="Q403" s="11" t="n">
        <v>0.6969133099575489</v>
      </c>
      <c r="R403" s="11" t="n">
        <v>0</v>
      </c>
      <c r="S403" s="11" t="n">
        <v>2.075699572103939</v>
      </c>
      <c r="T403" s="11" t="n">
        <v>1.463613363407448</v>
      </c>
      <c r="U403" s="11" t="n">
        <v>0.943127962085308</v>
      </c>
      <c r="V403" s="11" t="n">
        <v>2.165990448463861</v>
      </c>
      <c r="W403" s="12" t="n">
        <v>7.130923509597778</v>
      </c>
    </row>
    <row r="404">
      <c r="A404" s="4" t="n">
        <v>403</v>
      </c>
      <c r="B404" s="4" t="inlineStr">
        <is>
          <t>m100_MPa</t>
        </is>
      </c>
      <c r="C404" s="4" t="inlineStr">
        <is>
          <t>Exp2_BO</t>
        </is>
      </c>
      <c r="D404" s="4" t="n">
        <v>2</v>
      </c>
      <c r="E404" s="4" t="n">
        <v>15</v>
      </c>
      <c r="F404" s="4" t="inlineStr">
        <is>
          <t>GP</t>
        </is>
      </c>
      <c r="G404" s="4" t="inlineStr">
        <is>
          <t>matern32</t>
        </is>
      </c>
      <c r="H404" s="4" t="b">
        <v>0</v>
      </c>
      <c r="I404" s="4" t="b">
        <v>0</v>
      </c>
      <c r="J404" s="4" t="inlineStr">
        <is>
          <t>log1p</t>
        </is>
      </c>
      <c r="K404" s="4" t="inlineStr">
        <is>
          <t>log</t>
        </is>
      </c>
      <c r="L404" s="4" t="inlineStr">
        <is>
          <t>full_cure6</t>
        </is>
      </c>
      <c r="M404" s="11" t="n">
        <v>0.8332620889411122</v>
      </c>
      <c r="N404" s="11" t="n">
        <v>-2.998196646510408</v>
      </c>
      <c r="O404" s="11" t="n">
        <v>-4.708262013441154</v>
      </c>
      <c r="P404" s="4" t="n">
        <v>1</v>
      </c>
      <c r="Q404" s="11" t="n">
        <v>0.6762110843257709</v>
      </c>
      <c r="R404" s="11" t="n">
        <v>0</v>
      </c>
      <c r="S404" s="11" t="n">
        <v>2.14541865222444</v>
      </c>
      <c r="T404" s="11" t="n">
        <v>1.376155853069806</v>
      </c>
      <c r="U404" s="11" t="n">
        <v>0.9383886255924172</v>
      </c>
      <c r="V404" s="11" t="n">
        <v>2.140169326094459</v>
      </c>
      <c r="W404" s="12" t="n">
        <v>3.538182973861694</v>
      </c>
    </row>
    <row r="405">
      <c r="A405" s="4" t="n">
        <v>404</v>
      </c>
      <c r="B405" s="4" t="inlineStr">
        <is>
          <t>m100_MPa</t>
        </is>
      </c>
      <c r="C405" s="4" t="inlineStr">
        <is>
          <t>Exp2_BO</t>
        </is>
      </c>
      <c r="D405" s="4" t="n">
        <v>2</v>
      </c>
      <c r="E405" s="4" t="n">
        <v>16</v>
      </c>
      <c r="F405" s="4" t="inlineStr">
        <is>
          <t>GP</t>
        </is>
      </c>
      <c r="G405" s="4" t="inlineStr">
        <is>
          <t>matern52</t>
        </is>
      </c>
      <c r="H405" s="4" t="b">
        <v>1</v>
      </c>
      <c r="I405" s="4" t="b">
        <v>1</v>
      </c>
      <c r="J405" s="4" t="inlineStr">
        <is>
          <t>log1p</t>
        </is>
      </c>
      <c r="K405" s="4" t="inlineStr">
        <is>
          <t>log</t>
        </is>
      </c>
      <c r="L405" s="4" t="inlineStr">
        <is>
          <t>full_agg</t>
        </is>
      </c>
      <c r="M405" s="11" t="n">
        <v>0.9846142109896348</v>
      </c>
      <c r="N405" s="11" t="n">
        <v>-0.8053156982305163</v>
      </c>
      <c r="O405" s="11" t="n">
        <v>-4.136404297107169</v>
      </c>
      <c r="P405" s="4" t="n">
        <v>1</v>
      </c>
      <c r="Q405" s="11" t="n">
        <v>0.7133407338938366</v>
      </c>
      <c r="R405" s="11" t="n">
        <v>0</v>
      </c>
      <c r="S405" s="11" t="n">
        <v>2.018664081921489</v>
      </c>
      <c r="T405" s="11" t="n">
        <v>1.395175593869064</v>
      </c>
      <c r="U405" s="11" t="n">
        <v>0.924170616113744</v>
      </c>
      <c r="V405" s="11" t="n">
        <v>2.142519360627847</v>
      </c>
      <c r="W405" s="12" t="n">
        <v>92.9264132976532</v>
      </c>
    </row>
    <row r="406">
      <c r="A406" s="4" t="n">
        <v>405</v>
      </c>
      <c r="B406" s="4" t="inlineStr">
        <is>
          <t>m100_MPa</t>
        </is>
      </c>
      <c r="C406" s="4" t="inlineStr">
        <is>
          <t>Exp2_BO</t>
        </is>
      </c>
      <c r="D406" s="4" t="n">
        <v>2</v>
      </c>
      <c r="E406" s="4" t="n">
        <v>17</v>
      </c>
      <c r="F406" s="4" t="inlineStr">
        <is>
          <t>GP</t>
        </is>
      </c>
      <c r="G406" s="4" t="inlineStr">
        <is>
          <t>matern32</t>
        </is>
      </c>
      <c r="H406" s="4" t="b">
        <v>0</v>
      </c>
      <c r="I406" s="4" t="b">
        <v>0</v>
      </c>
      <c r="J406" s="4" t="inlineStr">
        <is>
          <t>std</t>
        </is>
      </c>
      <c r="K406" s="4" t="inlineStr">
        <is>
          <t>none</t>
        </is>
      </c>
      <c r="L406" s="4" t="inlineStr">
        <is>
          <t>full</t>
        </is>
      </c>
      <c r="M406" s="11" t="n">
        <v>0.1815512702606105</v>
      </c>
      <c r="N406" s="11" t="n">
        <v>-0.6911099126648645</v>
      </c>
      <c r="O406" s="11" t="n">
        <v>-4.559807978613572</v>
      </c>
      <c r="P406" s="4" t="n">
        <v>1</v>
      </c>
      <c r="Q406" s="11" t="n">
        <v>0.6589284454938067</v>
      </c>
      <c r="R406" s="11" t="n">
        <v>0</v>
      </c>
      <c r="S406" s="11" t="n">
        <v>2.201931547140264</v>
      </c>
      <c r="T406" s="11" t="n">
        <v>1.481142270254403</v>
      </c>
      <c r="U406" s="11" t="n">
        <v>0.943127962085308</v>
      </c>
      <c r="V406" s="11" t="n">
        <v>2.179974334898138</v>
      </c>
      <c r="W406" s="12" t="n">
        <v>2.009171962738037</v>
      </c>
    </row>
    <row r="407">
      <c r="A407" s="4" t="n">
        <v>406</v>
      </c>
      <c r="B407" s="4" t="inlineStr">
        <is>
          <t>m100_MPa</t>
        </is>
      </c>
      <c r="C407" s="4" t="inlineStr">
        <is>
          <t>Exp2_BO</t>
        </is>
      </c>
      <c r="D407" s="4" t="n">
        <v>2</v>
      </c>
      <c r="E407" s="4" t="n">
        <v>18</v>
      </c>
      <c r="F407" s="4" t="inlineStr">
        <is>
          <t>GP</t>
        </is>
      </c>
      <c r="G407" s="4" t="inlineStr">
        <is>
          <t>matern12</t>
        </is>
      </c>
      <c r="H407" s="4" t="b">
        <v>1</v>
      </c>
      <c r="I407" s="4" t="b">
        <v>0</v>
      </c>
      <c r="J407" s="4" t="inlineStr">
        <is>
          <t>log1p</t>
        </is>
      </c>
      <c r="K407" s="4" t="inlineStr">
        <is>
          <t>log</t>
        </is>
      </c>
      <c r="L407" s="4" t="inlineStr">
        <is>
          <t>full</t>
        </is>
      </c>
      <c r="M407" s="11" t="n">
        <v>-0.986114385291337</v>
      </c>
      <c r="N407" s="11" t="n">
        <v>-0.5140515401443988</v>
      </c>
      <c r="O407" s="11" t="n">
        <v>-3.5422627466916</v>
      </c>
      <c r="P407" s="4" t="n">
        <v>1</v>
      </c>
      <c r="Q407" s="11" t="n">
        <v>0.5634339462719786</v>
      </c>
      <c r="R407" s="11" t="n">
        <v>0</v>
      </c>
      <c r="S407" s="11" t="n">
        <v>2.491185370750279</v>
      </c>
      <c r="T407" s="11" t="n">
        <v>1.592331415371037</v>
      </c>
      <c r="U407" s="11" t="n">
        <v>0.90521327014218</v>
      </c>
      <c r="V407" s="11" t="n">
        <v>2.282996633315548</v>
      </c>
      <c r="W407" s="12" t="n">
        <v>75.48045063018799</v>
      </c>
    </row>
    <row r="408">
      <c r="A408" s="4" t="n">
        <v>407</v>
      </c>
      <c r="B408" s="4" t="inlineStr">
        <is>
          <t>m100_MPa</t>
        </is>
      </c>
      <c r="C408" s="4" t="inlineStr">
        <is>
          <t>Exp2_BO</t>
        </is>
      </c>
      <c r="D408" s="4" t="n">
        <v>2</v>
      </c>
      <c r="E408" s="4" t="n">
        <v>19</v>
      </c>
      <c r="F408" s="4" t="inlineStr">
        <is>
          <t>GP</t>
        </is>
      </c>
      <c r="G408" s="4" t="inlineStr">
        <is>
          <t>matern52</t>
        </is>
      </c>
      <c r="H408" s="4" t="b">
        <v>1</v>
      </c>
      <c r="I408" s="4" t="b">
        <v>1</v>
      </c>
      <c r="J408" s="4" t="inlineStr">
        <is>
          <t>std</t>
        </is>
      </c>
      <c r="K408" s="4" t="inlineStr">
        <is>
          <t>log</t>
        </is>
      </c>
      <c r="L408" s="4" t="inlineStr">
        <is>
          <t>full</t>
        </is>
      </c>
      <c r="M408" s="11" t="n">
        <v>-0.9699946177553442</v>
      </c>
      <c r="N408" s="11" t="n">
        <v>-2.143184269494132</v>
      </c>
      <c r="O408" s="11" t="n">
        <v>-3.177997158894035</v>
      </c>
      <c r="P408" s="4" t="n">
        <v>1</v>
      </c>
      <c r="Q408" s="11" t="n">
        <v>0.5730880559718721</v>
      </c>
      <c r="R408" s="11" t="n">
        <v>0</v>
      </c>
      <c r="S408" s="11" t="n">
        <v>2.463486667124408</v>
      </c>
      <c r="T408" s="11" t="n">
        <v>1.630243867360034</v>
      </c>
      <c r="U408" s="11" t="n">
        <v>0.909952606635071</v>
      </c>
      <c r="V408" s="11" t="n">
        <v>2.167285532698961</v>
      </c>
      <c r="W408" s="12" t="n">
        <v>72.74730920791626</v>
      </c>
    </row>
    <row r="409">
      <c r="A409" s="4" t="n">
        <v>408</v>
      </c>
      <c r="B409" s="4" t="inlineStr">
        <is>
          <t>m100_MPa</t>
        </is>
      </c>
      <c r="C409" s="4" t="inlineStr">
        <is>
          <t>Exp2_BO</t>
        </is>
      </c>
      <c r="D409" s="4" t="n">
        <v>2</v>
      </c>
      <c r="E409" s="4" t="n">
        <v>20</v>
      </c>
      <c r="F409" s="4" t="inlineStr">
        <is>
          <t>GP</t>
        </is>
      </c>
      <c r="G409" s="4" t="inlineStr">
        <is>
          <t>matern32</t>
        </is>
      </c>
      <c r="H409" s="4" t="b">
        <v>1</v>
      </c>
      <c r="I409" s="4" t="b">
        <v>1</v>
      </c>
      <c r="J409" s="4" t="inlineStr">
        <is>
          <t>log1p</t>
        </is>
      </c>
      <c r="K409" s="4" t="inlineStr">
        <is>
          <t>none</t>
        </is>
      </c>
      <c r="L409" s="4" t="inlineStr">
        <is>
          <t>full</t>
        </is>
      </c>
      <c r="M409" s="11" t="n">
        <v>-0.998148191388105</v>
      </c>
      <c r="N409" s="11" t="n">
        <v>-0.6826622792910606</v>
      </c>
      <c r="O409" s="11" t="n">
        <v>-2.693278635875867</v>
      </c>
      <c r="P409" s="4" t="n">
        <v>1</v>
      </c>
      <c r="Q409" s="11" t="n">
        <v>0.581197719992379</v>
      </c>
      <c r="R409" s="11" t="n">
        <v>0</v>
      </c>
      <c r="S409" s="11" t="n">
        <v>2.439976154321781</v>
      </c>
      <c r="T409" s="11" t="n">
        <v>1.656736448105315</v>
      </c>
      <c r="U409" s="11" t="n">
        <v>0.919431279620853</v>
      </c>
      <c r="V409" s="11" t="n">
        <v>2.378300540213465</v>
      </c>
      <c r="W409" s="12" t="n">
        <v>77.33482217788696</v>
      </c>
    </row>
    <row r="410">
      <c r="A410" s="4" t="n">
        <v>409</v>
      </c>
      <c r="B410" s="4" t="inlineStr">
        <is>
          <t>m100_MPa</t>
        </is>
      </c>
      <c r="C410" s="4" t="inlineStr">
        <is>
          <t>Exp2_BO</t>
        </is>
      </c>
      <c r="D410" s="4" t="n">
        <v>2</v>
      </c>
      <c r="E410" s="4" t="n">
        <v>21</v>
      </c>
      <c r="F410" s="4" t="inlineStr">
        <is>
          <t>GP</t>
        </is>
      </c>
      <c r="G410" s="4" t="inlineStr">
        <is>
          <t>matern12</t>
        </is>
      </c>
      <c r="H410" s="4" t="b">
        <v>0</v>
      </c>
      <c r="I410" s="4" t="b">
        <v>1</v>
      </c>
      <c r="J410" s="4" t="inlineStr">
        <is>
          <t>log1p</t>
        </is>
      </c>
      <c r="K410" s="4" t="inlineStr">
        <is>
          <t>log</t>
        </is>
      </c>
      <c r="L410" s="4" t="inlineStr">
        <is>
          <t>full_cure6</t>
        </is>
      </c>
      <c r="M410" s="11" t="n">
        <v>-0.9991382349848424</v>
      </c>
      <c r="N410" s="11" t="n">
        <v>-1.631821300924127</v>
      </c>
      <c r="O410" s="11" t="n">
        <v>-2.438222487803997</v>
      </c>
      <c r="P410" s="4" t="n">
        <v>1</v>
      </c>
      <c r="Q410" s="11" t="n">
        <v>0.67508812481388</v>
      </c>
      <c r="R410" s="11" t="n">
        <v>0</v>
      </c>
      <c r="S410" s="11" t="n">
        <v>2.14913578532793</v>
      </c>
      <c r="T410" s="11" t="n">
        <v>1.364224025062136</v>
      </c>
      <c r="U410" s="11" t="n">
        <v>0.9383886255924172</v>
      </c>
      <c r="V410" s="11" t="n">
        <v>2.077311444896797</v>
      </c>
      <c r="W410" s="12" t="n">
        <v>3.22329330444336</v>
      </c>
    </row>
    <row r="411">
      <c r="A411" s="4" t="n">
        <v>410</v>
      </c>
      <c r="B411" s="4" t="inlineStr">
        <is>
          <t>m100_MPa</t>
        </is>
      </c>
      <c r="C411" s="4" t="inlineStr">
        <is>
          <t>Exp2_BO</t>
        </is>
      </c>
      <c r="D411" s="4" t="n">
        <v>2</v>
      </c>
      <c r="E411" s="4" t="n">
        <v>22</v>
      </c>
      <c r="F411" s="4" t="inlineStr">
        <is>
          <t>GP</t>
        </is>
      </c>
      <c r="G411" s="4" t="inlineStr">
        <is>
          <t>matern52</t>
        </is>
      </c>
      <c r="H411" s="4" t="b">
        <v>1</v>
      </c>
      <c r="I411" s="4" t="b">
        <v>0</v>
      </c>
      <c r="J411" s="4" t="inlineStr">
        <is>
          <t>log1p</t>
        </is>
      </c>
      <c r="K411" s="4" t="inlineStr">
        <is>
          <t>log</t>
        </is>
      </c>
      <c r="L411" s="4" t="inlineStr">
        <is>
          <t>full_agg</t>
        </is>
      </c>
      <c r="M411" s="11" t="n">
        <v>0.7380174366164798</v>
      </c>
      <c r="N411" s="11" t="n">
        <v>-1.026485980792258</v>
      </c>
      <c r="O411" s="11" t="n">
        <v>-5.853714372777397</v>
      </c>
      <c r="P411" s="4" t="n">
        <v>1</v>
      </c>
      <c r="Q411" s="11" t="n">
        <v>0.714698828036658</v>
      </c>
      <c r="R411" s="11" t="n">
        <v>0</v>
      </c>
      <c r="S411" s="11" t="n">
        <v>2.013876532692405</v>
      </c>
      <c r="T411" s="11" t="n">
        <v>1.39012063677806</v>
      </c>
      <c r="U411" s="11" t="n">
        <v>0.933649289099526</v>
      </c>
      <c r="V411" s="11" t="n">
        <v>2.15155925998667</v>
      </c>
      <c r="W411" s="12" t="n">
        <v>97.39433073997498</v>
      </c>
    </row>
    <row r="412">
      <c r="A412" s="4" t="n">
        <v>411</v>
      </c>
      <c r="B412" s="4" t="inlineStr">
        <is>
          <t>m100_MPa</t>
        </is>
      </c>
      <c r="C412" s="4" t="inlineStr">
        <is>
          <t>Exp2_BO</t>
        </is>
      </c>
      <c r="D412" s="4" t="n">
        <v>2</v>
      </c>
      <c r="E412" s="4" t="n">
        <v>23</v>
      </c>
      <c r="F412" s="4" t="inlineStr">
        <is>
          <t>GP</t>
        </is>
      </c>
      <c r="G412" s="4" t="inlineStr">
        <is>
          <t>matern52</t>
        </is>
      </c>
      <c r="H412" s="4" t="b">
        <v>1</v>
      </c>
      <c r="I412" s="4" t="b">
        <v>0</v>
      </c>
      <c r="J412" s="4" t="inlineStr">
        <is>
          <t>log1p</t>
        </is>
      </c>
      <c r="K412" s="4" t="inlineStr">
        <is>
          <t>none</t>
        </is>
      </c>
      <c r="L412" s="4" t="inlineStr">
        <is>
          <t>full_agg</t>
        </is>
      </c>
      <c r="M412" s="11" t="n">
        <v>0.7380174366164798</v>
      </c>
      <c r="N412" s="11" t="n">
        <v>-1.026485980792258</v>
      </c>
      <c r="O412" s="11" t="n">
        <v>-5.853714372777397</v>
      </c>
      <c r="P412" s="4" t="n">
        <v>1</v>
      </c>
      <c r="Q412" s="11" t="n">
        <v>0.6796406367835524</v>
      </c>
      <c r="R412" s="11" t="n">
        <v>0</v>
      </c>
      <c r="S412" s="11" t="n">
        <v>2.134026333437536</v>
      </c>
      <c r="T412" s="11" t="n">
        <v>1.492879418463471</v>
      </c>
      <c r="U412" s="11" t="n">
        <v>0.933649289099526</v>
      </c>
      <c r="V412" s="11" t="n">
        <v>2.197490215085895</v>
      </c>
      <c r="W412" s="12" t="n">
        <v>84.23086786270142</v>
      </c>
    </row>
    <row r="413">
      <c r="A413" s="4" t="n">
        <v>412</v>
      </c>
      <c r="B413" s="4" t="inlineStr">
        <is>
          <t>m100_MPa</t>
        </is>
      </c>
      <c r="C413" s="4" t="inlineStr">
        <is>
          <t>Exp2_BO</t>
        </is>
      </c>
      <c r="D413" s="4" t="n">
        <v>2</v>
      </c>
      <c r="E413" s="4" t="n">
        <v>24</v>
      </c>
      <c r="F413" s="4" t="inlineStr">
        <is>
          <t>GP</t>
        </is>
      </c>
      <c r="G413" s="4" t="inlineStr">
        <is>
          <t>rbf</t>
        </is>
      </c>
      <c r="H413" s="4" t="b">
        <v>0</v>
      </c>
      <c r="I413" s="4" t="b">
        <v>0</v>
      </c>
      <c r="J413" s="4" t="inlineStr">
        <is>
          <t>std</t>
        </is>
      </c>
      <c r="K413" s="4" t="inlineStr">
        <is>
          <t>log</t>
        </is>
      </c>
      <c r="L413" s="4" t="inlineStr">
        <is>
          <t>full</t>
        </is>
      </c>
      <c r="M413" s="11" t="n">
        <v>-0.6949585516993499</v>
      </c>
      <c r="N413" s="11" t="n">
        <v>-2.903145949712296</v>
      </c>
      <c r="O413" s="11" t="n">
        <v>-2.269932746255196</v>
      </c>
      <c r="P413" s="4" t="n">
        <v>1</v>
      </c>
      <c r="Q413" s="11" t="n">
        <v>0.530157720676931</v>
      </c>
      <c r="R413" s="11" t="n">
        <v>0</v>
      </c>
      <c r="S413" s="11" t="n">
        <v>2.584384399090085</v>
      </c>
      <c r="T413" s="11" t="n">
        <v>1.59946322863143</v>
      </c>
      <c r="U413" s="11" t="n">
        <v>0.9004739336492891</v>
      </c>
      <c r="V413" s="11" t="n">
        <v>2.284518778541285</v>
      </c>
      <c r="W413" s="12" t="n">
        <v>1.457086086273193</v>
      </c>
    </row>
    <row r="414">
      <c r="A414" s="4" t="n">
        <v>413</v>
      </c>
      <c r="B414" s="4" t="inlineStr">
        <is>
          <t>m100_MPa</t>
        </is>
      </c>
      <c r="C414" s="4" t="inlineStr">
        <is>
          <t>Exp2_BO</t>
        </is>
      </c>
      <c r="D414" s="4" t="n">
        <v>2</v>
      </c>
      <c r="E414" s="4" t="n">
        <v>25</v>
      </c>
      <c r="F414" s="4" t="inlineStr">
        <is>
          <t>GP</t>
        </is>
      </c>
      <c r="G414" s="4" t="inlineStr">
        <is>
          <t>rq</t>
        </is>
      </c>
      <c r="H414" s="4" t="b">
        <v>0</v>
      </c>
      <c r="I414" s="4" t="b">
        <v>0</v>
      </c>
      <c r="J414" s="4" t="inlineStr">
        <is>
          <t>std</t>
        </is>
      </c>
      <c r="K414" s="4" t="inlineStr">
        <is>
          <t>log</t>
        </is>
      </c>
      <c r="L414" s="4" t="inlineStr">
        <is>
          <t>full_cure6</t>
        </is>
      </c>
      <c r="M414" s="11" t="n">
        <v>-0.031942275100389</v>
      </c>
      <c r="N414" s="11" t="n">
        <v>-0.08816273653005829</v>
      </c>
      <c r="O414" s="11" t="n">
        <v>-2.458607994771848</v>
      </c>
      <c r="P414" s="4" t="n">
        <v>1</v>
      </c>
      <c r="Q414" s="11" t="n">
        <v>0.6541422504348143</v>
      </c>
      <c r="R414" s="11" t="n">
        <v>0</v>
      </c>
      <c r="S414" s="11" t="n">
        <v>2.217327375946275</v>
      </c>
      <c r="T414" s="11" t="n">
        <v>1.432763390051841</v>
      </c>
      <c r="U414" s="11" t="n">
        <v>0.9383886255924172</v>
      </c>
      <c r="V414" s="11" t="n">
        <v>2.252513559012495</v>
      </c>
      <c r="W414" s="12" t="n">
        <v>3.06437873840332</v>
      </c>
    </row>
    <row r="415">
      <c r="A415" s="4" t="n">
        <v>414</v>
      </c>
      <c r="B415" s="4" t="inlineStr">
        <is>
          <t>m100_MPa</t>
        </is>
      </c>
      <c r="C415" s="4" t="inlineStr">
        <is>
          <t>Exp2_BO</t>
        </is>
      </c>
      <c r="D415" s="4" t="n">
        <v>2</v>
      </c>
      <c r="E415" s="4" t="n">
        <v>26</v>
      </c>
      <c r="F415" s="4" t="inlineStr">
        <is>
          <t>GP</t>
        </is>
      </c>
      <c r="G415" s="4" t="inlineStr">
        <is>
          <t>matern52</t>
        </is>
      </c>
      <c r="H415" s="4" t="b">
        <v>1</v>
      </c>
      <c r="I415" s="4" t="b">
        <v>1</v>
      </c>
      <c r="J415" s="4" t="inlineStr">
        <is>
          <t>log1p</t>
        </is>
      </c>
      <c r="K415" s="4" t="inlineStr">
        <is>
          <t>log</t>
        </is>
      </c>
      <c r="L415" s="4" t="inlineStr">
        <is>
          <t>full_agg</t>
        </is>
      </c>
      <c r="M415" s="11" t="n">
        <v>-0.50288792892463</v>
      </c>
      <c r="N415" s="11" t="n">
        <v>-2.877018921632049</v>
      </c>
      <c r="O415" s="11" t="n">
        <v>-5.234930147313282</v>
      </c>
      <c r="P415" s="4" t="n">
        <v>1</v>
      </c>
      <c r="Q415" s="11" t="n">
        <v>0.6521050237612025</v>
      </c>
      <c r="R415" s="11" t="n">
        <v>0</v>
      </c>
      <c r="S415" s="11" t="n">
        <v>2.223848215826494</v>
      </c>
      <c r="T415" s="11" t="n">
        <v>1.508940249713462</v>
      </c>
      <c r="U415" s="11" t="n">
        <v>0.909952606635071</v>
      </c>
      <c r="V415" s="11" t="n">
        <v>2.168919660410128</v>
      </c>
      <c r="W415" s="12" t="n">
        <v>115.256320476532</v>
      </c>
    </row>
    <row r="416">
      <c r="A416" s="4" t="n">
        <v>415</v>
      </c>
      <c r="B416" s="4" t="inlineStr">
        <is>
          <t>m100_MPa</t>
        </is>
      </c>
      <c r="C416" s="4" t="inlineStr">
        <is>
          <t>Exp2_BO</t>
        </is>
      </c>
      <c r="D416" s="4" t="n">
        <v>2</v>
      </c>
      <c r="E416" s="4" t="n">
        <v>27</v>
      </c>
      <c r="F416" s="4" t="inlineStr">
        <is>
          <t>GP</t>
        </is>
      </c>
      <c r="G416" s="4" t="inlineStr">
        <is>
          <t>rbf</t>
        </is>
      </c>
      <c r="H416" s="4" t="b">
        <v>0</v>
      </c>
      <c r="I416" s="4" t="b">
        <v>1</v>
      </c>
      <c r="J416" s="4" t="inlineStr">
        <is>
          <t>log1p</t>
        </is>
      </c>
      <c r="K416" s="4" t="inlineStr">
        <is>
          <t>log</t>
        </is>
      </c>
      <c r="L416" s="4" t="inlineStr">
        <is>
          <t>full_agg</t>
        </is>
      </c>
      <c r="M416" s="11" t="n">
        <v>0.3107171149590406</v>
      </c>
      <c r="N416" s="11" t="n">
        <v>-2.13846759809318</v>
      </c>
      <c r="O416" s="11" t="n">
        <v>-3.454954117567542</v>
      </c>
      <c r="P416" s="4" t="n">
        <v>1</v>
      </c>
      <c r="Q416" s="11" t="n">
        <v>0.6506379868676496</v>
      </c>
      <c r="R416" s="11" t="n">
        <v>0</v>
      </c>
      <c r="S416" s="11" t="n">
        <v>2.228532151298741</v>
      </c>
      <c r="T416" s="11" t="n">
        <v>1.44923147451817</v>
      </c>
      <c r="U416" s="11" t="n">
        <v>0.919431279620853</v>
      </c>
      <c r="V416" s="11" t="n">
        <v>2.057869142932581</v>
      </c>
      <c r="W416" s="12" t="n">
        <v>6.56930136680603</v>
      </c>
    </row>
    <row r="417">
      <c r="A417" s="4" t="n">
        <v>416</v>
      </c>
      <c r="B417" s="4" t="inlineStr">
        <is>
          <t>m100_MPa</t>
        </is>
      </c>
      <c r="C417" s="4" t="inlineStr">
        <is>
          <t>Exp2_BO</t>
        </is>
      </c>
      <c r="D417" s="4" t="n">
        <v>2</v>
      </c>
      <c r="E417" s="4" t="n">
        <v>28</v>
      </c>
      <c r="F417" s="4" t="inlineStr">
        <is>
          <t>GP</t>
        </is>
      </c>
      <c r="G417" s="4" t="inlineStr">
        <is>
          <t>matern12</t>
        </is>
      </c>
      <c r="H417" s="4" t="b">
        <v>1</v>
      </c>
      <c r="I417" s="4" t="b">
        <v>0</v>
      </c>
      <c r="J417" s="4" t="inlineStr">
        <is>
          <t>std</t>
        </is>
      </c>
      <c r="K417" s="4" t="inlineStr">
        <is>
          <t>log</t>
        </is>
      </c>
      <c r="L417" s="4" t="inlineStr">
        <is>
          <t>full_agg</t>
        </is>
      </c>
      <c r="M417" s="11" t="n">
        <v>0.8558339149747862</v>
      </c>
      <c r="N417" s="11" t="n">
        <v>-1.332077493906738</v>
      </c>
      <c r="O417" s="11" t="n">
        <v>-5.993648602503266</v>
      </c>
      <c r="P417" s="4" t="n">
        <v>1</v>
      </c>
      <c r="Q417" s="11" t="n">
        <v>0.6539993622824509</v>
      </c>
      <c r="R417" s="11" t="n">
        <v>0</v>
      </c>
      <c r="S417" s="11" t="n">
        <v>2.217785363507942</v>
      </c>
      <c r="T417" s="11" t="n">
        <v>1.50863773300003</v>
      </c>
      <c r="U417" s="11" t="n">
        <v>0.90521327014218</v>
      </c>
      <c r="V417" s="11" t="n">
        <v>2.18087179720518</v>
      </c>
      <c r="W417" s="12" t="n">
        <v>94.10976910591124</v>
      </c>
    </row>
    <row r="418">
      <c r="A418" s="4" t="n">
        <v>417</v>
      </c>
      <c r="B418" s="4" t="inlineStr">
        <is>
          <t>m100_MPa</t>
        </is>
      </c>
      <c r="C418" s="4" t="inlineStr">
        <is>
          <t>Exp2_BO</t>
        </is>
      </c>
      <c r="D418" s="4" t="n">
        <v>2</v>
      </c>
      <c r="E418" s="4" t="n">
        <v>29</v>
      </c>
      <c r="F418" s="4" t="inlineStr">
        <is>
          <t>GP</t>
        </is>
      </c>
      <c r="G418" s="4" t="inlineStr">
        <is>
          <t>rq</t>
        </is>
      </c>
      <c r="H418" s="4" t="b">
        <v>1</v>
      </c>
      <c r="I418" s="4" t="b">
        <v>0</v>
      </c>
      <c r="J418" s="4" t="inlineStr">
        <is>
          <t>log1p</t>
        </is>
      </c>
      <c r="K418" s="4" t="inlineStr">
        <is>
          <t>none</t>
        </is>
      </c>
      <c r="L418" s="4" t="inlineStr">
        <is>
          <t>full_cure6</t>
        </is>
      </c>
      <c r="M418" s="11" t="n">
        <v>0.5708430399061957</v>
      </c>
      <c r="N418" s="11" t="n">
        <v>-1.38233316502889</v>
      </c>
      <c r="O418" s="11" t="n">
        <v>-3.081064062701341</v>
      </c>
      <c r="P418" s="4" t="n">
        <v>1</v>
      </c>
      <c r="Q418" s="11" t="n">
        <v>0.6478477327330843</v>
      </c>
      <c r="R418" s="11" t="n">
        <v>0</v>
      </c>
      <c r="S418" s="11" t="n">
        <v>2.237413776179452</v>
      </c>
      <c r="T418" s="11" t="n">
        <v>1.451004270466209</v>
      </c>
      <c r="U418" s="11" t="n">
        <v>0.943127962085308</v>
      </c>
      <c r="V418" s="11" t="n">
        <v>2.235981690141253</v>
      </c>
      <c r="W418" s="12" t="n">
        <v>3.756322383880615</v>
      </c>
    </row>
    <row r="419">
      <c r="A419" s="4" t="n">
        <v>418</v>
      </c>
      <c r="B419" s="4" t="inlineStr">
        <is>
          <t>m100_MPa</t>
        </is>
      </c>
      <c r="C419" s="4" t="inlineStr">
        <is>
          <t>Exp3_robust</t>
        </is>
      </c>
      <c r="D419" s="4" t="n"/>
      <c r="E419" s="4" t="n"/>
      <c r="F419" s="4" t="inlineStr">
        <is>
          <t>GP</t>
        </is>
      </c>
      <c r="G419" s="4" t="inlineStr">
        <is>
          <t>matern12</t>
        </is>
      </c>
      <c r="H419" s="4" t="b">
        <v>0</v>
      </c>
      <c r="I419" s="4" t="b">
        <v>1</v>
      </c>
      <c r="J419" s="4" t="inlineStr">
        <is>
          <t>std</t>
        </is>
      </c>
      <c r="K419" s="4" t="inlineStr">
        <is>
          <t>none</t>
        </is>
      </c>
      <c r="L419" s="4" t="inlineStr">
        <is>
          <t>full_cure6</t>
        </is>
      </c>
      <c r="M419" s="11" t="n">
        <v>0.9219744817257234</v>
      </c>
      <c r="N419" s="11" t="n">
        <v>-2.711809448103386</v>
      </c>
      <c r="O419" s="11" t="n">
        <v>-5.709593265912936</v>
      </c>
      <c r="P419" s="4" t="n">
        <v>3</v>
      </c>
      <c r="Q419" s="11" t="n">
        <v>0.7168543708768041</v>
      </c>
      <c r="R419" s="11" t="n">
        <v>0.0228364076998329</v>
      </c>
      <c r="S419" s="11" t="n">
        <v>2.004614424652616</v>
      </c>
      <c r="T419" s="11" t="n">
        <v>1.388110201435803</v>
      </c>
      <c r="U419" s="11" t="n">
        <v>0.9478672985781992</v>
      </c>
      <c r="V419" s="11" t="n">
        <v>2.106767929949908</v>
      </c>
      <c r="W419" s="12" t="n">
        <v>95.33301687240601</v>
      </c>
    </row>
    <row r="420">
      <c r="A420" s="4" t="n">
        <v>419</v>
      </c>
      <c r="B420" s="4" t="inlineStr">
        <is>
          <t>m100_MPa</t>
        </is>
      </c>
      <c r="C420" s="4" t="inlineStr">
        <is>
          <t>Exp3_robust</t>
        </is>
      </c>
      <c r="D420" s="4" t="n"/>
      <c r="E420" s="4" t="n"/>
      <c r="F420" s="4" t="inlineStr">
        <is>
          <t>GP</t>
        </is>
      </c>
      <c r="G420" s="4" t="inlineStr">
        <is>
          <t>matern32</t>
        </is>
      </c>
      <c r="H420" s="4" t="b">
        <v>0</v>
      </c>
      <c r="I420" s="4" t="b">
        <v>1</v>
      </c>
      <c r="J420" s="4" t="inlineStr">
        <is>
          <t>std</t>
        </is>
      </c>
      <c r="K420" s="4" t="inlineStr">
        <is>
          <t>none</t>
        </is>
      </c>
      <c r="L420" s="4" t="inlineStr">
        <is>
          <t>full_cure6</t>
        </is>
      </c>
      <c r="M420" s="11" t="n">
        <v>0.9219744817257234</v>
      </c>
      <c r="N420" s="11" t="n">
        <v>-2.711809448103386</v>
      </c>
      <c r="O420" s="11" t="n">
        <v>-5.709593265912936</v>
      </c>
      <c r="P420" s="4" t="n">
        <v>3</v>
      </c>
      <c r="Q420" s="11" t="n">
        <v>0.7208684614244767</v>
      </c>
      <c r="R420" s="11" t="n">
        <v>0.0196029776708528</v>
      </c>
      <c r="S420" s="11" t="n">
        <v>1.990739283870717</v>
      </c>
      <c r="T420" s="11" t="n">
        <v>1.380775213500287</v>
      </c>
      <c r="U420" s="11" t="n">
        <v>0.9440758293838863</v>
      </c>
      <c r="V420" s="11" t="n">
        <v>2.100880482362838</v>
      </c>
      <c r="W420" s="12" t="n">
        <v>82.58475875854492</v>
      </c>
    </row>
    <row r="421">
      <c r="A421" s="4" t="n">
        <v>420</v>
      </c>
      <c r="B421" s="4" t="inlineStr">
        <is>
          <t>m100_MPa</t>
        </is>
      </c>
      <c r="C421" s="4" t="inlineStr">
        <is>
          <t>Exp3_robust</t>
        </is>
      </c>
      <c r="D421" s="4" t="n"/>
      <c r="E421" s="4" t="n"/>
      <c r="F421" s="4" t="inlineStr">
        <is>
          <t>GP</t>
        </is>
      </c>
      <c r="G421" s="4" t="inlineStr">
        <is>
          <t>rq</t>
        </is>
      </c>
      <c r="H421" s="4" t="b">
        <v>0</v>
      </c>
      <c r="I421" s="4" t="b">
        <v>1</v>
      </c>
      <c r="J421" s="4" t="inlineStr">
        <is>
          <t>std</t>
        </is>
      </c>
      <c r="K421" s="4" t="inlineStr">
        <is>
          <t>none</t>
        </is>
      </c>
      <c r="L421" s="4" t="inlineStr">
        <is>
          <t>full_cure6</t>
        </is>
      </c>
      <c r="M421" s="11" t="n">
        <v>0.1975794839644973</v>
      </c>
      <c r="N421" s="11" t="n">
        <v>-2.297250884557806</v>
      </c>
      <c r="O421" s="11" t="n">
        <v>-5.902408423815511</v>
      </c>
      <c r="P421" s="4" t="n">
        <v>3</v>
      </c>
      <c r="Q421" s="11" t="n">
        <v>0.7203522176574111</v>
      </c>
      <c r="R421" s="11" t="n">
        <v>0.0186592564787967</v>
      </c>
      <c r="S421" s="11" t="n">
        <v>1.992698631024906</v>
      </c>
      <c r="T421" s="11" t="n">
        <v>1.388512951160015</v>
      </c>
      <c r="U421" s="11" t="n">
        <v>0.9421800947867298</v>
      </c>
      <c r="V421" s="11" t="n">
        <v>2.098773357538338</v>
      </c>
      <c r="W421" s="12" t="n">
        <v>85.16211175918579</v>
      </c>
    </row>
    <row r="422">
      <c r="A422" s="4" t="n">
        <v>421</v>
      </c>
      <c r="B422" s="4" t="inlineStr">
        <is>
          <t>compression_set_pct</t>
        </is>
      </c>
      <c r="C422" s="4" t="inlineStr">
        <is>
          <t>Exp0_baseline</t>
        </is>
      </c>
      <c r="D422" s="4" t="n"/>
      <c r="E422" s="4" t="n"/>
      <c r="F422" s="4" t="inlineStr">
        <is>
          <t>GP_sklearn_default</t>
        </is>
      </c>
      <c r="G422" s="4" t="n"/>
      <c r="H422" s="4" t="n"/>
      <c r="I422" s="4" t="n"/>
      <c r="J422" s="4" t="n"/>
      <c r="K422" s="4" t="n"/>
      <c r="L422" s="4" t="n"/>
      <c r="M422" s="11" t="n"/>
      <c r="N422" s="11" t="n"/>
      <c r="O422" s="11" t="n"/>
      <c r="P422" s="4" t="n"/>
      <c r="Q422" s="11" t="n">
        <v>-66297.51132920868</v>
      </c>
      <c r="R422" s="11" t="n"/>
      <c r="S422" s="11" t="n">
        <v>3333.324319528781</v>
      </c>
      <c r="T422" s="11" t="n">
        <v>298.328451312385</v>
      </c>
      <c r="U422" s="11" t="n"/>
      <c r="V422" s="11" t="n"/>
      <c r="W422" s="12" t="n"/>
    </row>
    <row r="423">
      <c r="A423" s="4" t="n">
        <v>422</v>
      </c>
      <c r="B423" s="4" t="inlineStr">
        <is>
          <t>compression_set_pct</t>
        </is>
      </c>
      <c r="C423" s="4" t="inlineStr">
        <is>
          <t>Exp0_baseline</t>
        </is>
      </c>
      <c r="D423" s="4" t="n"/>
      <c r="E423" s="4" t="n"/>
      <c r="F423" s="4" t="inlineStr">
        <is>
          <t>Ridge</t>
        </is>
      </c>
      <c r="G423" s="4" t="n"/>
      <c r="H423" s="4" t="n"/>
      <c r="I423" s="4" t="n"/>
      <c r="J423" s="4" t="n"/>
      <c r="K423" s="4" t="n"/>
      <c r="L423" s="4" t="n"/>
      <c r="M423" s="11" t="n"/>
      <c r="N423" s="11" t="n"/>
      <c r="O423" s="11" t="n"/>
      <c r="P423" s="4" t="n"/>
      <c r="Q423" s="11" t="n">
        <v>0.1602709772184702</v>
      </c>
      <c r="R423" s="11" t="n"/>
      <c r="S423" s="11" t="n">
        <v>13.0176042727165</v>
      </c>
      <c r="T423" s="11" t="n">
        <v>9.377450596411901</v>
      </c>
      <c r="U423" s="11" t="n"/>
      <c r="V423" s="11" t="n"/>
      <c r="W423" s="12" t="n"/>
    </row>
    <row r="424">
      <c r="A424" s="4" t="n">
        <v>423</v>
      </c>
      <c r="B424" s="4" t="inlineStr">
        <is>
          <t>compression_set_pct</t>
        </is>
      </c>
      <c r="C424" s="4" t="inlineStr">
        <is>
          <t>Exp0_baseline</t>
        </is>
      </c>
      <c r="D424" s="4" t="n"/>
      <c r="E424" s="4" t="n"/>
      <c r="F424" s="4" t="inlineStr">
        <is>
          <t>RandomForest</t>
        </is>
      </c>
      <c r="G424" s="4" t="n"/>
      <c r="H424" s="4" t="n"/>
      <c r="I424" s="4" t="n"/>
      <c r="J424" s="4" t="n"/>
      <c r="K424" s="4" t="n"/>
      <c r="L424" s="4" t="n"/>
      <c r="M424" s="11" t="n"/>
      <c r="N424" s="11" t="n"/>
      <c r="O424" s="11" t="n"/>
      <c r="P424" s="4" t="n"/>
      <c r="Q424" s="11" t="n">
        <v>0.3150421227395541</v>
      </c>
      <c r="R424" s="11" t="n"/>
      <c r="S424" s="11" t="n">
        <v>11.75605758852239</v>
      </c>
      <c r="T424" s="11" t="n">
        <v>7.8725394120691</v>
      </c>
      <c r="U424" s="11" t="n"/>
      <c r="V424" s="11" t="n"/>
      <c r="W424" s="12" t="n"/>
    </row>
    <row r="425">
      <c r="A425" s="4" t="n">
        <v>424</v>
      </c>
      <c r="B425" s="4" t="inlineStr">
        <is>
          <t>compression_set_pct</t>
        </is>
      </c>
      <c r="C425" s="4" t="inlineStr">
        <is>
          <t>Exp1_kernel_screen</t>
        </is>
      </c>
      <c r="D425" s="4" t="n"/>
      <c r="E425" s="4" t="n"/>
      <c r="F425" s="4" t="inlineStr">
        <is>
          <t>GP</t>
        </is>
      </c>
      <c r="G425" s="4" t="inlineStr">
        <is>
          <t>rbf</t>
        </is>
      </c>
      <c r="H425" s="4" t="b">
        <v>1</v>
      </c>
      <c r="I425" s="4" t="b">
        <v>0</v>
      </c>
      <c r="J425" s="4" t="inlineStr">
        <is>
          <t>log1p</t>
        </is>
      </c>
      <c r="K425" s="4" t="inlineStr">
        <is>
          <t>none</t>
        </is>
      </c>
      <c r="L425" s="4" t="inlineStr">
        <is>
          <t>full</t>
        </is>
      </c>
      <c r="M425" s="11" t="n">
        <v>0</v>
      </c>
      <c r="N425" s="11" t="n">
        <v>-1</v>
      </c>
      <c r="O425" s="11" t="n">
        <v>-4</v>
      </c>
      <c r="P425" s="4" t="n">
        <v>1</v>
      </c>
      <c r="Q425" s="11" t="n">
        <v>0.3247344576049845</v>
      </c>
      <c r="R425" s="11" t="n">
        <v>0</v>
      </c>
      <c r="S425" s="11" t="n">
        <v>11.67347612661452</v>
      </c>
      <c r="T425" s="11" t="n">
        <v>7.631432598586319</v>
      </c>
      <c r="U425" s="11" t="n">
        <v>0.91</v>
      </c>
      <c r="V425" s="11" t="n">
        <v>3.917748132162094</v>
      </c>
      <c r="W425" s="12" t="n">
        <v>50.69226455688477</v>
      </c>
    </row>
    <row r="426">
      <c r="A426" s="4" t="n">
        <v>425</v>
      </c>
      <c r="B426" s="4" t="inlineStr">
        <is>
          <t>compression_set_pct</t>
        </is>
      </c>
      <c r="C426" s="4" t="inlineStr">
        <is>
          <t>Exp1_kernel_screen</t>
        </is>
      </c>
      <c r="D426" s="4" t="n"/>
      <c r="E426" s="4" t="n"/>
      <c r="F426" s="4" t="inlineStr">
        <is>
          <t>GP</t>
        </is>
      </c>
      <c r="G426" s="4" t="inlineStr">
        <is>
          <t>rbf</t>
        </is>
      </c>
      <c r="H426" s="4" t="b">
        <v>0</v>
      </c>
      <c r="I426" s="4" t="b">
        <v>0</v>
      </c>
      <c r="J426" s="4" t="inlineStr">
        <is>
          <t>log1p</t>
        </is>
      </c>
      <c r="K426" s="4" t="inlineStr">
        <is>
          <t>none</t>
        </is>
      </c>
      <c r="L426" s="4" t="inlineStr">
        <is>
          <t>full</t>
        </is>
      </c>
      <c r="M426" s="11" t="n">
        <v>0</v>
      </c>
      <c r="N426" s="11" t="n">
        <v>-1</v>
      </c>
      <c r="O426" s="11" t="n">
        <v>-4</v>
      </c>
      <c r="P426" s="4" t="n">
        <v>1</v>
      </c>
      <c r="Q426" s="11" t="n">
        <v>0.3382355783856636</v>
      </c>
      <c r="R426" s="11" t="n">
        <v>0</v>
      </c>
      <c r="S426" s="11" t="n">
        <v>11.55618836579264</v>
      </c>
      <c r="T426" s="11" t="n">
        <v>7.512174794386335</v>
      </c>
      <c r="U426" s="11" t="n">
        <v>0.9350000000000001</v>
      </c>
      <c r="V426" s="11" t="n">
        <v>3.889068916516181</v>
      </c>
      <c r="W426" s="12" t="n">
        <v>1.548299312591553</v>
      </c>
    </row>
    <row r="427">
      <c r="A427" s="4" t="n">
        <v>426</v>
      </c>
      <c r="B427" s="4" t="inlineStr">
        <is>
          <t>compression_set_pct</t>
        </is>
      </c>
      <c r="C427" s="4" t="inlineStr">
        <is>
          <t>Exp1_kernel_screen</t>
        </is>
      </c>
      <c r="D427" s="4" t="n"/>
      <c r="E427" s="4" t="n"/>
      <c r="F427" s="4" t="inlineStr">
        <is>
          <t>GP</t>
        </is>
      </c>
      <c r="G427" s="4" t="inlineStr">
        <is>
          <t>matern12</t>
        </is>
      </c>
      <c r="H427" s="4" t="b">
        <v>1</v>
      </c>
      <c r="I427" s="4" t="b">
        <v>0</v>
      </c>
      <c r="J427" s="4" t="inlineStr">
        <is>
          <t>log1p</t>
        </is>
      </c>
      <c r="K427" s="4" t="inlineStr">
        <is>
          <t>none</t>
        </is>
      </c>
      <c r="L427" s="4" t="inlineStr">
        <is>
          <t>full</t>
        </is>
      </c>
      <c r="M427" s="11" t="n">
        <v>0</v>
      </c>
      <c r="N427" s="11" t="n">
        <v>-1</v>
      </c>
      <c r="O427" s="11" t="n">
        <v>-4</v>
      </c>
      <c r="P427" s="4" t="n">
        <v>1</v>
      </c>
      <c r="Q427" s="11" t="n">
        <v>0.320583316735786</v>
      </c>
      <c r="R427" s="11" t="n">
        <v>0</v>
      </c>
      <c r="S427" s="11" t="n">
        <v>11.70930203178584</v>
      </c>
      <c r="T427" s="11" t="n">
        <v>7.525688005742602</v>
      </c>
      <c r="U427" s="11" t="n">
        <v>0.92</v>
      </c>
      <c r="V427" s="11" t="n">
        <v>3.900766405707527</v>
      </c>
      <c r="W427" s="12" t="n">
        <v>46.65867400169373</v>
      </c>
    </row>
    <row r="428">
      <c r="A428" s="4" t="n">
        <v>427</v>
      </c>
      <c r="B428" s="4" t="inlineStr">
        <is>
          <t>compression_set_pct</t>
        </is>
      </c>
      <c r="C428" s="4" t="inlineStr">
        <is>
          <t>Exp1_kernel_screen</t>
        </is>
      </c>
      <c r="D428" s="4" t="n"/>
      <c r="E428" s="4" t="n"/>
      <c r="F428" s="4" t="inlineStr">
        <is>
          <t>GP</t>
        </is>
      </c>
      <c r="G428" s="4" t="inlineStr">
        <is>
          <t>matern12</t>
        </is>
      </c>
      <c r="H428" s="4" t="b">
        <v>0</v>
      </c>
      <c r="I428" s="4" t="b">
        <v>0</v>
      </c>
      <c r="J428" s="4" t="inlineStr">
        <is>
          <t>log1p</t>
        </is>
      </c>
      <c r="K428" s="4" t="inlineStr">
        <is>
          <t>none</t>
        </is>
      </c>
      <c r="L428" s="4" t="inlineStr">
        <is>
          <t>full</t>
        </is>
      </c>
      <c r="M428" s="11" t="n">
        <v>0</v>
      </c>
      <c r="N428" s="11" t="n">
        <v>-1</v>
      </c>
      <c r="O428" s="11" t="n">
        <v>-4</v>
      </c>
      <c r="P428" s="4" t="n">
        <v>1</v>
      </c>
      <c r="Q428" s="11" t="n">
        <v>0.3232508863214135</v>
      </c>
      <c r="R428" s="11" t="n">
        <v>0</v>
      </c>
      <c r="S428" s="11" t="n">
        <v>11.68629251592855</v>
      </c>
      <c r="T428" s="11" t="n">
        <v>7.654086695394675</v>
      </c>
      <c r="U428" s="11" t="n">
        <v>0.9399999999999999</v>
      </c>
      <c r="V428" s="11" t="n">
        <v>3.889904863143749</v>
      </c>
      <c r="W428" s="12" t="n">
        <v>2.566847324371338</v>
      </c>
    </row>
    <row r="429">
      <c r="A429" s="4" t="n">
        <v>428</v>
      </c>
      <c r="B429" s="4" t="inlineStr">
        <is>
          <t>compression_set_pct</t>
        </is>
      </c>
      <c r="C429" s="4" t="inlineStr">
        <is>
          <t>Exp1_kernel_screen</t>
        </is>
      </c>
      <c r="D429" s="4" t="n"/>
      <c r="E429" s="4" t="n"/>
      <c r="F429" s="4" t="inlineStr">
        <is>
          <t>GP</t>
        </is>
      </c>
      <c r="G429" s="4" t="inlineStr">
        <is>
          <t>matern32</t>
        </is>
      </c>
      <c r="H429" s="4" t="b">
        <v>1</v>
      </c>
      <c r="I429" s="4" t="b">
        <v>0</v>
      </c>
      <c r="J429" s="4" t="inlineStr">
        <is>
          <t>log1p</t>
        </is>
      </c>
      <c r="K429" s="4" t="inlineStr">
        <is>
          <t>none</t>
        </is>
      </c>
      <c r="L429" s="4" t="inlineStr">
        <is>
          <t>full</t>
        </is>
      </c>
      <c r="M429" s="11" t="n">
        <v>0</v>
      </c>
      <c r="N429" s="11" t="n">
        <v>-1</v>
      </c>
      <c r="O429" s="11" t="n">
        <v>-4</v>
      </c>
      <c r="P429" s="4" t="n">
        <v>1</v>
      </c>
      <c r="Q429" s="11" t="n">
        <v>0.3352961319260776</v>
      </c>
      <c r="R429" s="11" t="n">
        <v>0</v>
      </c>
      <c r="S429" s="11" t="n">
        <v>11.58182525294592</v>
      </c>
      <c r="T429" s="11" t="n">
        <v>7.47291858841735</v>
      </c>
      <c r="U429" s="11" t="n">
        <v>0.925</v>
      </c>
      <c r="V429" s="11" t="n">
        <v>3.903154674192354</v>
      </c>
      <c r="W429" s="12" t="n">
        <v>48.204909324646</v>
      </c>
    </row>
    <row r="430">
      <c r="A430" s="4" t="n">
        <v>429</v>
      </c>
      <c r="B430" s="4" t="inlineStr">
        <is>
          <t>compression_set_pct</t>
        </is>
      </c>
      <c r="C430" s="4" t="inlineStr">
        <is>
          <t>Exp1_kernel_screen</t>
        </is>
      </c>
      <c r="D430" s="4" t="n"/>
      <c r="E430" s="4" t="n"/>
      <c r="F430" s="4" t="inlineStr">
        <is>
          <t>GP</t>
        </is>
      </c>
      <c r="G430" s="4" t="inlineStr">
        <is>
          <t>matern32</t>
        </is>
      </c>
      <c r="H430" s="4" t="b">
        <v>0</v>
      </c>
      <c r="I430" s="4" t="b">
        <v>0</v>
      </c>
      <c r="J430" s="4" t="inlineStr">
        <is>
          <t>log1p</t>
        </is>
      </c>
      <c r="K430" s="4" t="inlineStr">
        <is>
          <t>none</t>
        </is>
      </c>
      <c r="L430" s="4" t="inlineStr">
        <is>
          <t>full</t>
        </is>
      </c>
      <c r="M430" s="11" t="n">
        <v>0</v>
      </c>
      <c r="N430" s="11" t="n">
        <v>-1</v>
      </c>
      <c r="O430" s="11" t="n">
        <v>-4</v>
      </c>
      <c r="P430" s="4" t="n">
        <v>1</v>
      </c>
      <c r="Q430" s="11" t="n">
        <v>0.3369249913362878</v>
      </c>
      <c r="R430" s="11" t="n">
        <v>0</v>
      </c>
      <c r="S430" s="11" t="n">
        <v>11.56762589483346</v>
      </c>
      <c r="T430" s="11" t="n">
        <v>7.487936377861032</v>
      </c>
      <c r="U430" s="11" t="n">
        <v>0.9350000000000001</v>
      </c>
      <c r="V430" s="11" t="n">
        <v>3.887616296697391</v>
      </c>
      <c r="W430" s="12" t="n">
        <v>1.49346137046814</v>
      </c>
    </row>
    <row r="431">
      <c r="A431" s="4" t="n">
        <v>430</v>
      </c>
      <c r="B431" s="4" t="inlineStr">
        <is>
          <t>compression_set_pct</t>
        </is>
      </c>
      <c r="C431" s="4" t="inlineStr">
        <is>
          <t>Exp1_kernel_screen</t>
        </is>
      </c>
      <c r="D431" s="4" t="n"/>
      <c r="E431" s="4" t="n"/>
      <c r="F431" s="4" t="inlineStr">
        <is>
          <t>GP</t>
        </is>
      </c>
      <c r="G431" s="4" t="inlineStr">
        <is>
          <t>matern52</t>
        </is>
      </c>
      <c r="H431" s="4" t="b">
        <v>1</v>
      </c>
      <c r="I431" s="4" t="b">
        <v>0</v>
      </c>
      <c r="J431" s="4" t="inlineStr">
        <is>
          <t>log1p</t>
        </is>
      </c>
      <c r="K431" s="4" t="inlineStr">
        <is>
          <t>none</t>
        </is>
      </c>
      <c r="L431" s="4" t="inlineStr">
        <is>
          <t>full</t>
        </is>
      </c>
      <c r="M431" s="11" t="n">
        <v>0</v>
      </c>
      <c r="N431" s="11" t="n">
        <v>-1</v>
      </c>
      <c r="O431" s="11" t="n">
        <v>-4</v>
      </c>
      <c r="P431" s="4" t="n">
        <v>1</v>
      </c>
      <c r="Q431" s="11" t="n">
        <v>0.3262347897370278</v>
      </c>
      <c r="R431" s="11" t="n">
        <v>0</v>
      </c>
      <c r="S431" s="11" t="n">
        <v>11.66050061592594</v>
      </c>
      <c r="T431" s="11" t="n">
        <v>7.577635548655762</v>
      </c>
      <c r="U431" s="11" t="n">
        <v>0.92</v>
      </c>
      <c r="V431" s="11" t="n">
        <v>3.907155494550192</v>
      </c>
      <c r="W431" s="12" t="n">
        <v>48.60160088539124</v>
      </c>
    </row>
    <row r="432">
      <c r="A432" s="4" t="n">
        <v>431</v>
      </c>
      <c r="B432" s="4" t="inlineStr">
        <is>
          <t>compression_set_pct</t>
        </is>
      </c>
      <c r="C432" s="4" t="inlineStr">
        <is>
          <t>Exp1_kernel_screen</t>
        </is>
      </c>
      <c r="D432" s="4" t="n"/>
      <c r="E432" s="4" t="n"/>
      <c r="F432" s="4" t="inlineStr">
        <is>
          <t>GP</t>
        </is>
      </c>
      <c r="G432" s="4" t="inlineStr">
        <is>
          <t>matern52</t>
        </is>
      </c>
      <c r="H432" s="4" t="b">
        <v>0</v>
      </c>
      <c r="I432" s="4" t="b">
        <v>0</v>
      </c>
      <c r="J432" s="4" t="inlineStr">
        <is>
          <t>log1p</t>
        </is>
      </c>
      <c r="K432" s="4" t="inlineStr">
        <is>
          <t>none</t>
        </is>
      </c>
      <c r="L432" s="4" t="inlineStr">
        <is>
          <t>full</t>
        </is>
      </c>
      <c r="M432" s="11" t="n">
        <v>0</v>
      </c>
      <c r="N432" s="11" t="n">
        <v>-1</v>
      </c>
      <c r="O432" s="11" t="n">
        <v>-4</v>
      </c>
      <c r="P432" s="4" t="n">
        <v>1</v>
      </c>
      <c r="Q432" s="11" t="n">
        <v>0.338167880684201</v>
      </c>
      <c r="R432" s="11" t="n">
        <v>0</v>
      </c>
      <c r="S432" s="11" t="n">
        <v>11.55677944273613</v>
      </c>
      <c r="T432" s="11" t="n">
        <v>7.487328577913072</v>
      </c>
      <c r="U432" s="11" t="n">
        <v>0.9350000000000001</v>
      </c>
      <c r="V432" s="11" t="n">
        <v>3.888087610553307</v>
      </c>
      <c r="W432" s="12" t="n">
        <v>1.792799472808838</v>
      </c>
    </row>
    <row r="433">
      <c r="A433" s="4" t="n">
        <v>432</v>
      </c>
      <c r="B433" s="4" t="inlineStr">
        <is>
          <t>compression_set_pct</t>
        </is>
      </c>
      <c r="C433" s="4" t="inlineStr">
        <is>
          <t>Exp1_kernel_screen</t>
        </is>
      </c>
      <c r="D433" s="4" t="n"/>
      <c r="E433" s="4" t="n"/>
      <c r="F433" s="4" t="inlineStr">
        <is>
          <t>GP</t>
        </is>
      </c>
      <c r="G433" s="4" t="inlineStr">
        <is>
          <t>rq</t>
        </is>
      </c>
      <c r="H433" s="4" t="b">
        <v>0</v>
      </c>
      <c r="I433" s="4" t="b">
        <v>0</v>
      </c>
      <c r="J433" s="4" t="inlineStr">
        <is>
          <t>log1p</t>
        </is>
      </c>
      <c r="K433" s="4" t="inlineStr">
        <is>
          <t>none</t>
        </is>
      </c>
      <c r="L433" s="4" t="inlineStr">
        <is>
          <t>full</t>
        </is>
      </c>
      <c r="M433" s="11" t="n">
        <v>0</v>
      </c>
      <c r="N433" s="11" t="n">
        <v>-1</v>
      </c>
      <c r="O433" s="11" t="n">
        <v>-4</v>
      </c>
      <c r="P433" s="4" t="n">
        <v>1</v>
      </c>
      <c r="Q433" s="11" t="n">
        <v>0.3378706024143387</v>
      </c>
      <c r="R433" s="11" t="n">
        <v>0</v>
      </c>
      <c r="S433" s="11" t="n">
        <v>11.55937465804104</v>
      </c>
      <c r="T433" s="11" t="n">
        <v>7.510719999762136</v>
      </c>
      <c r="U433" s="11" t="n">
        <v>0.9350000000000001</v>
      </c>
      <c r="V433" s="11" t="n">
        <v>3.889451126138237</v>
      </c>
      <c r="W433" s="12" t="n">
        <v>3.322230100631714</v>
      </c>
    </row>
    <row r="434">
      <c r="A434" s="4" t="n">
        <v>433</v>
      </c>
      <c r="B434" s="4" t="inlineStr">
        <is>
          <t>compression_set_pct</t>
        </is>
      </c>
      <c r="C434" s="4" t="inlineStr">
        <is>
          <t>Exp2_BO</t>
        </is>
      </c>
      <c r="D434" s="4" t="n">
        <v>0</v>
      </c>
      <c r="E434" s="4" t="n">
        <v>0</v>
      </c>
      <c r="F434" s="4" t="inlineStr">
        <is>
          <t>GP</t>
        </is>
      </c>
      <c r="G434" s="4" t="inlineStr">
        <is>
          <t>rq</t>
        </is>
      </c>
      <c r="H434" s="4" t="b">
        <v>0</v>
      </c>
      <c r="I434" s="4" t="b">
        <v>1</v>
      </c>
      <c r="J434" s="4" t="inlineStr">
        <is>
          <t>std</t>
        </is>
      </c>
      <c r="K434" s="4" t="inlineStr">
        <is>
          <t>none</t>
        </is>
      </c>
      <c r="L434" s="4" t="inlineStr">
        <is>
          <t>full</t>
        </is>
      </c>
      <c r="M434" s="11" t="n">
        <v>-0.9669447289429418</v>
      </c>
      <c r="N434" s="11" t="n">
        <v>-0.5601892823991825</v>
      </c>
      <c r="O434" s="11" t="n">
        <v>-2.348977690889113</v>
      </c>
      <c r="P434" s="4" t="n">
        <v>1</v>
      </c>
      <c r="Q434" s="11" t="n">
        <v>0.2977782487246899</v>
      </c>
      <c r="R434" s="11" t="n">
        <v>0</v>
      </c>
      <c r="S434" s="11" t="n">
        <v>11.90419531300188</v>
      </c>
      <c r="T434" s="11" t="n">
        <v>7.746701114853351</v>
      </c>
      <c r="U434" s="11" t="n">
        <v>0.9350000000000001</v>
      </c>
      <c r="V434" s="11" t="n">
        <v>3.923930414076217</v>
      </c>
      <c r="W434" s="12" t="n">
        <v>7.241729021072388</v>
      </c>
    </row>
    <row r="435">
      <c r="A435" s="4" t="n">
        <v>434</v>
      </c>
      <c r="B435" s="4" t="inlineStr">
        <is>
          <t>compression_set_pct</t>
        </is>
      </c>
      <c r="C435" s="4" t="inlineStr">
        <is>
          <t>Exp2_BO</t>
        </is>
      </c>
      <c r="D435" s="4" t="n">
        <v>0</v>
      </c>
      <c r="E435" s="4" t="n">
        <v>1</v>
      </c>
      <c r="F435" s="4" t="inlineStr">
        <is>
          <t>GP</t>
        </is>
      </c>
      <c r="G435" s="4" t="inlineStr">
        <is>
          <t>matern32</t>
        </is>
      </c>
      <c r="H435" s="4" t="b">
        <v>0</v>
      </c>
      <c r="I435" s="4" t="b">
        <v>1</v>
      </c>
      <c r="J435" s="4" t="inlineStr">
        <is>
          <t>log1p</t>
        </is>
      </c>
      <c r="K435" s="4" t="inlineStr">
        <is>
          <t>log</t>
        </is>
      </c>
      <c r="L435" s="4" t="inlineStr">
        <is>
          <t>full_cure6</t>
        </is>
      </c>
      <c r="M435" s="11" t="n">
        <v>0.8701448475755365</v>
      </c>
      <c r="N435" s="11" t="n">
        <v>-0.5524393376354038</v>
      </c>
      <c r="O435" s="11" t="n">
        <v>-5.989045999319408</v>
      </c>
      <c r="P435" s="4" t="n">
        <v>1</v>
      </c>
      <c r="Q435" s="11" t="n">
        <v>0.2899529508695397</v>
      </c>
      <c r="R435" s="11" t="n">
        <v>0</v>
      </c>
      <c r="S435" s="11" t="n">
        <v>11.97033951307011</v>
      </c>
      <c r="T435" s="11" t="n">
        <v>7.558300098712213</v>
      </c>
      <c r="U435" s="11" t="n">
        <v>0.925</v>
      </c>
      <c r="V435" s="11" t="n">
        <v>4.079320167590787</v>
      </c>
      <c r="W435" s="12" t="n">
        <v>5.36296558380127</v>
      </c>
    </row>
    <row r="436">
      <c r="A436" s="4" t="n">
        <v>435</v>
      </c>
      <c r="B436" s="4" t="inlineStr">
        <is>
          <t>compression_set_pct</t>
        </is>
      </c>
      <c r="C436" s="4" t="inlineStr">
        <is>
          <t>Exp2_BO</t>
        </is>
      </c>
      <c r="D436" s="4" t="n">
        <v>0</v>
      </c>
      <c r="E436" s="4" t="n">
        <v>2</v>
      </c>
      <c r="F436" s="4" t="inlineStr">
        <is>
          <t>GP</t>
        </is>
      </c>
      <c r="G436" s="4" t="inlineStr">
        <is>
          <t>matern12</t>
        </is>
      </c>
      <c r="H436" s="4" t="b">
        <v>0</v>
      </c>
      <c r="I436" s="4" t="b">
        <v>1</v>
      </c>
      <c r="J436" s="4" t="inlineStr">
        <is>
          <t>std</t>
        </is>
      </c>
      <c r="K436" s="4" t="inlineStr">
        <is>
          <t>log</t>
        </is>
      </c>
      <c r="L436" s="4" t="inlineStr">
        <is>
          <t>full_cure6</t>
        </is>
      </c>
      <c r="M436" s="11" t="n">
        <v>-0.648688758794882</v>
      </c>
      <c r="N436" s="11" t="n">
        <v>-0.4104632329503404</v>
      </c>
      <c r="O436" s="11" t="n">
        <v>-3.834155119003633</v>
      </c>
      <c r="P436" s="4" t="n">
        <v>1</v>
      </c>
      <c r="Q436" s="11" t="n">
        <v>0.2967756111297527</v>
      </c>
      <c r="R436" s="11" t="n">
        <v>0</v>
      </c>
      <c r="S436" s="11" t="n">
        <v>11.91269073224972</v>
      </c>
      <c r="T436" s="11" t="n">
        <v>7.519416903935135</v>
      </c>
      <c r="U436" s="11" t="n">
        <v>0.915</v>
      </c>
      <c r="V436" s="11" t="n">
        <v>3.991004326085518</v>
      </c>
      <c r="W436" s="12" t="n">
        <v>5.841962814331055</v>
      </c>
    </row>
    <row r="437">
      <c r="A437" s="4" t="n">
        <v>436</v>
      </c>
      <c r="B437" s="4" t="inlineStr">
        <is>
          <t>compression_set_pct</t>
        </is>
      </c>
      <c r="C437" s="4" t="inlineStr">
        <is>
          <t>Exp2_BO</t>
        </is>
      </c>
      <c r="D437" s="4" t="n">
        <v>0</v>
      </c>
      <c r="E437" s="4" t="n">
        <v>3</v>
      </c>
      <c r="F437" s="4" t="inlineStr">
        <is>
          <t>GP</t>
        </is>
      </c>
      <c r="G437" s="4" t="inlineStr">
        <is>
          <t>rbf</t>
        </is>
      </c>
      <c r="H437" s="4" t="b">
        <v>1</v>
      </c>
      <c r="I437" s="4" t="b">
        <v>0</v>
      </c>
      <c r="J437" s="4" t="inlineStr">
        <is>
          <t>std</t>
        </is>
      </c>
      <c r="K437" s="4" t="inlineStr">
        <is>
          <t>none</t>
        </is>
      </c>
      <c r="L437" s="4" t="inlineStr">
        <is>
          <t>full</t>
        </is>
      </c>
      <c r="M437" s="11" t="n">
        <v>-0.7514334470008721</v>
      </c>
      <c r="N437" s="11" t="n">
        <v>-0.9881267559191088</v>
      </c>
      <c r="O437" s="11" t="n">
        <v>-3.411241953703</v>
      </c>
      <c r="P437" s="4" t="n">
        <v>1</v>
      </c>
      <c r="Q437" s="11" t="n">
        <v>0.2556152522199173</v>
      </c>
      <c r="R437" s="11" t="n">
        <v>0</v>
      </c>
      <c r="S437" s="11" t="n">
        <v>12.25636364536604</v>
      </c>
      <c r="T437" s="11" t="n">
        <v>7.88352673218493</v>
      </c>
      <c r="U437" s="11" t="n">
        <v>0.92</v>
      </c>
      <c r="V437" s="11" t="n">
        <v>4.001225204779594</v>
      </c>
      <c r="W437" s="12" t="n">
        <v>41.81254816055298</v>
      </c>
    </row>
    <row r="438">
      <c r="A438" s="4" t="n">
        <v>437</v>
      </c>
      <c r="B438" s="4" t="inlineStr">
        <is>
          <t>compression_set_pct</t>
        </is>
      </c>
      <c r="C438" s="4" t="inlineStr">
        <is>
          <t>Exp2_BO</t>
        </is>
      </c>
      <c r="D438" s="4" t="n">
        <v>0</v>
      </c>
      <c r="E438" s="4" t="n">
        <v>4</v>
      </c>
      <c r="F438" s="4" t="inlineStr">
        <is>
          <t>GP</t>
        </is>
      </c>
      <c r="G438" s="4" t="inlineStr">
        <is>
          <t>matern12</t>
        </is>
      </c>
      <c r="H438" s="4" t="b">
        <v>0</v>
      </c>
      <c r="I438" s="4" t="b">
        <v>1</v>
      </c>
      <c r="J438" s="4" t="inlineStr">
        <is>
          <t>std</t>
        </is>
      </c>
      <c r="K438" s="4" t="inlineStr">
        <is>
          <t>none</t>
        </is>
      </c>
      <c r="L438" s="4" t="inlineStr">
        <is>
          <t>compact</t>
        </is>
      </c>
      <c r="M438" s="11" t="n">
        <v>0.9616706775524602</v>
      </c>
      <c r="N438" s="11" t="n">
        <v>-0.943374046557916</v>
      </c>
      <c r="O438" s="11" t="n">
        <v>-3.398162894928735</v>
      </c>
      <c r="P438" s="4" t="n">
        <v>1</v>
      </c>
      <c r="Q438" s="11" t="n">
        <v>0.3159401603804772</v>
      </c>
      <c r="R438" s="11" t="n">
        <v>0</v>
      </c>
      <c r="S438" s="11" t="n">
        <v>11.74924478646479</v>
      </c>
      <c r="T438" s="11" t="n">
        <v>7.624567868966771</v>
      </c>
      <c r="U438" s="11" t="n">
        <v>0.9399999999999999</v>
      </c>
      <c r="V438" s="11" t="n">
        <v>3.906578480466353</v>
      </c>
      <c r="W438" s="12" t="n">
        <v>6.49507474899292</v>
      </c>
    </row>
    <row r="439">
      <c r="A439" s="4" t="n">
        <v>438</v>
      </c>
      <c r="B439" s="4" t="inlineStr">
        <is>
          <t>compression_set_pct</t>
        </is>
      </c>
      <c r="C439" s="4" t="inlineStr">
        <is>
          <t>Exp2_BO</t>
        </is>
      </c>
      <c r="D439" s="4" t="n">
        <v>0</v>
      </c>
      <c r="E439" s="4" t="n">
        <v>5</v>
      </c>
      <c r="F439" s="4" t="inlineStr">
        <is>
          <t>GP</t>
        </is>
      </c>
      <c r="G439" s="4" t="inlineStr">
        <is>
          <t>rq</t>
        </is>
      </c>
      <c r="H439" s="4" t="b">
        <v>0</v>
      </c>
      <c r="I439" s="4" t="b">
        <v>1</v>
      </c>
      <c r="J439" s="4" t="inlineStr">
        <is>
          <t>std</t>
        </is>
      </c>
      <c r="K439" s="4" t="inlineStr">
        <is>
          <t>log</t>
        </is>
      </c>
      <c r="L439" s="4" t="inlineStr">
        <is>
          <t>full</t>
        </is>
      </c>
      <c r="M439" s="11" t="n">
        <v>0.4429766803881634</v>
      </c>
      <c r="N439" s="11" t="n">
        <v>-1.423937032572822</v>
      </c>
      <c r="O439" s="11" t="n">
        <v>-4.759032497764178</v>
      </c>
      <c r="P439" s="4" t="n">
        <v>1</v>
      </c>
      <c r="Q439" s="11" t="n">
        <v>0.3169544555978154</v>
      </c>
      <c r="R439" s="11" t="n">
        <v>0</v>
      </c>
      <c r="S439" s="11" t="n">
        <v>11.74053091162232</v>
      </c>
      <c r="T439" s="11" t="n">
        <v>7.371792637449378</v>
      </c>
      <c r="U439" s="11" t="n">
        <v>0.925</v>
      </c>
      <c r="V439" s="11" t="n">
        <v>4.121098830022358</v>
      </c>
      <c r="W439" s="12" t="n">
        <v>10.29337334632874</v>
      </c>
    </row>
    <row r="440">
      <c r="A440" s="4" t="n">
        <v>439</v>
      </c>
      <c r="B440" s="4" t="inlineStr">
        <is>
          <t>compression_set_pct</t>
        </is>
      </c>
      <c r="C440" s="4" t="inlineStr">
        <is>
          <t>Exp2_BO</t>
        </is>
      </c>
      <c r="D440" s="4" t="n">
        <v>0</v>
      </c>
      <c r="E440" s="4" t="n">
        <v>6</v>
      </c>
      <c r="F440" s="4" t="inlineStr">
        <is>
          <t>GP</t>
        </is>
      </c>
      <c r="G440" s="4" t="inlineStr">
        <is>
          <t>matern32</t>
        </is>
      </c>
      <c r="H440" s="4" t="b">
        <v>1</v>
      </c>
      <c r="I440" s="4" t="b">
        <v>1</v>
      </c>
      <c r="J440" s="4" t="inlineStr">
        <is>
          <t>log1p</t>
        </is>
      </c>
      <c r="K440" s="4" t="inlineStr">
        <is>
          <t>none</t>
        </is>
      </c>
      <c r="L440" s="4" t="inlineStr">
        <is>
          <t>compact</t>
        </is>
      </c>
      <c r="M440" s="11" t="n">
        <v>-0.2844096065818595</v>
      </c>
      <c r="N440" s="11" t="n">
        <v>-1.285410507810717</v>
      </c>
      <c r="O440" s="11" t="n">
        <v>-4.712522435696231</v>
      </c>
      <c r="P440" s="4" t="n">
        <v>1</v>
      </c>
      <c r="Q440" s="11" t="n">
        <v>0.2481950963819313</v>
      </c>
      <c r="R440" s="11" t="n">
        <v>0</v>
      </c>
      <c r="S440" s="11" t="n">
        <v>12.31729894422643</v>
      </c>
      <c r="T440" s="11" t="n">
        <v>7.912814415743212</v>
      </c>
      <c r="U440" s="11" t="n">
        <v>0.925</v>
      </c>
      <c r="V440" s="11" t="n">
        <v>3.959005366675544</v>
      </c>
      <c r="W440" s="12" t="n">
        <v>37.65262341499329</v>
      </c>
    </row>
    <row r="441">
      <c r="A441" s="4" t="n">
        <v>440</v>
      </c>
      <c r="B441" s="4" t="inlineStr">
        <is>
          <t>compression_set_pct</t>
        </is>
      </c>
      <c r="C441" s="4" t="inlineStr">
        <is>
          <t>Exp2_BO</t>
        </is>
      </c>
      <c r="D441" s="4" t="n">
        <v>0</v>
      </c>
      <c r="E441" s="4" t="n">
        <v>7</v>
      </c>
      <c r="F441" s="4" t="inlineStr">
        <is>
          <t>GP</t>
        </is>
      </c>
      <c r="G441" s="4" t="inlineStr">
        <is>
          <t>matern52</t>
        </is>
      </c>
      <c r="H441" s="4" t="b">
        <v>0</v>
      </c>
      <c r="I441" s="4" t="b">
        <v>1</v>
      </c>
      <c r="J441" s="4" t="inlineStr">
        <is>
          <t>std</t>
        </is>
      </c>
      <c r="K441" s="4" t="inlineStr">
        <is>
          <t>log</t>
        </is>
      </c>
      <c r="L441" s="4" t="inlineStr">
        <is>
          <t>full_agg</t>
        </is>
      </c>
      <c r="M441" s="11" t="n">
        <v>0.7805487040095846</v>
      </c>
      <c r="N441" s="11" t="n">
        <v>-2.318527219399861</v>
      </c>
      <c r="O441" s="11" t="n">
        <v>-3.50725142125583</v>
      </c>
      <c r="P441" s="4" t="n">
        <v>1</v>
      </c>
      <c r="Q441" s="11" t="n">
        <v>0.3187439591744434</v>
      </c>
      <c r="R441" s="11" t="n">
        <v>0</v>
      </c>
      <c r="S441" s="11" t="n">
        <v>11.72514138081354</v>
      </c>
      <c r="T441" s="11" t="n">
        <v>7.321604657694443</v>
      </c>
      <c r="U441" s="11" t="n">
        <v>0.93</v>
      </c>
      <c r="V441" s="11" t="n">
        <v>4.119718456124189</v>
      </c>
      <c r="W441" s="12" t="n">
        <v>6.927153587341309</v>
      </c>
    </row>
    <row r="442">
      <c r="A442" s="4" t="n">
        <v>441</v>
      </c>
      <c r="B442" s="4" t="inlineStr">
        <is>
          <t>compression_set_pct</t>
        </is>
      </c>
      <c r="C442" s="4" t="inlineStr">
        <is>
          <t>Exp2_BO</t>
        </is>
      </c>
      <c r="D442" s="4" t="n">
        <v>0</v>
      </c>
      <c r="E442" s="4" t="n">
        <v>8</v>
      </c>
      <c r="F442" s="4" t="inlineStr">
        <is>
          <t>GP</t>
        </is>
      </c>
      <c r="G442" s="4" t="inlineStr">
        <is>
          <t>matern32</t>
        </is>
      </c>
      <c r="H442" s="4" t="b">
        <v>0</v>
      </c>
      <c r="I442" s="4" t="b">
        <v>1</v>
      </c>
      <c r="J442" s="4" t="inlineStr">
        <is>
          <t>std</t>
        </is>
      </c>
      <c r="K442" s="4" t="inlineStr">
        <is>
          <t>log</t>
        </is>
      </c>
      <c r="L442" s="4" t="inlineStr">
        <is>
          <t>full</t>
        </is>
      </c>
      <c r="M442" s="11" t="n">
        <v>0.9952935784035531</v>
      </c>
      <c r="N442" s="11" t="n">
        <v>-0.7247659566513356</v>
      </c>
      <c r="O442" s="11" t="n">
        <v>-2.072424432337178</v>
      </c>
      <c r="P442" s="4" t="n">
        <v>1</v>
      </c>
      <c r="Q442" s="11" t="n">
        <v>0.3124796943274116</v>
      </c>
      <c r="R442" s="11" t="n">
        <v>0</v>
      </c>
      <c r="S442" s="11" t="n">
        <v>11.7789253574176</v>
      </c>
      <c r="T442" s="11" t="n">
        <v>7.386091118047891</v>
      </c>
      <c r="U442" s="11" t="n">
        <v>0.925</v>
      </c>
      <c r="V442" s="11" t="n">
        <v>4.108221626041532</v>
      </c>
      <c r="W442" s="12" t="n">
        <v>5.320234775543213</v>
      </c>
    </row>
    <row r="443">
      <c r="A443" s="4" t="n">
        <v>442</v>
      </c>
      <c r="B443" s="4" t="inlineStr">
        <is>
          <t>compression_set_pct</t>
        </is>
      </c>
      <c r="C443" s="4" t="inlineStr">
        <is>
          <t>Exp2_BO</t>
        </is>
      </c>
      <c r="D443" s="4" t="n">
        <v>0</v>
      </c>
      <c r="E443" s="4" t="n">
        <v>9</v>
      </c>
      <c r="F443" s="4" t="inlineStr">
        <is>
          <t>GP</t>
        </is>
      </c>
      <c r="G443" s="4" t="inlineStr">
        <is>
          <t>rq</t>
        </is>
      </c>
      <c r="H443" s="4" t="b">
        <v>0</v>
      </c>
      <c r="I443" s="4" t="b">
        <v>0</v>
      </c>
      <c r="J443" s="4" t="inlineStr">
        <is>
          <t>log1p</t>
        </is>
      </c>
      <c r="K443" s="4" t="inlineStr">
        <is>
          <t>none</t>
        </is>
      </c>
      <c r="L443" s="4" t="inlineStr">
        <is>
          <t>compact</t>
        </is>
      </c>
      <c r="M443" s="11" t="n">
        <v>0.9616542839973692</v>
      </c>
      <c r="N443" s="11" t="n">
        <v>-2.946821688349724</v>
      </c>
      <c r="O443" s="11" t="n">
        <v>-2.222324536141137</v>
      </c>
      <c r="P443" s="4" t="n">
        <v>1</v>
      </c>
      <c r="Q443" s="11" t="n">
        <v>0.3506604636062814</v>
      </c>
      <c r="R443" s="11" t="n">
        <v>0</v>
      </c>
      <c r="S443" s="11" t="n">
        <v>11.44718833920247</v>
      </c>
      <c r="T443" s="11" t="n">
        <v>7.41791702860254</v>
      </c>
      <c r="U443" s="11" t="n">
        <v>0.945</v>
      </c>
      <c r="V443" s="11" t="n">
        <v>3.867556118401536</v>
      </c>
      <c r="W443" s="12" t="n">
        <v>4.013373374938965</v>
      </c>
    </row>
    <row r="444">
      <c r="A444" s="4" t="n">
        <v>443</v>
      </c>
      <c r="B444" s="4" t="inlineStr">
        <is>
          <t>compression_set_pct</t>
        </is>
      </c>
      <c r="C444" s="4" t="inlineStr">
        <is>
          <t>Exp2_BO</t>
        </is>
      </c>
      <c r="D444" s="4" t="n">
        <v>0</v>
      </c>
      <c r="E444" s="4" t="n">
        <v>10</v>
      </c>
      <c r="F444" s="4" t="inlineStr">
        <is>
          <t>GP</t>
        </is>
      </c>
      <c r="G444" s="4" t="inlineStr">
        <is>
          <t>matern32</t>
        </is>
      </c>
      <c r="H444" s="4" t="b">
        <v>1</v>
      </c>
      <c r="I444" s="4" t="b">
        <v>1</v>
      </c>
      <c r="J444" s="4" t="inlineStr">
        <is>
          <t>log1p</t>
        </is>
      </c>
      <c r="K444" s="4" t="inlineStr">
        <is>
          <t>none</t>
        </is>
      </c>
      <c r="L444" s="4" t="inlineStr">
        <is>
          <t>full_cure6</t>
        </is>
      </c>
      <c r="M444" s="11" t="n">
        <v>0.4442591525450365</v>
      </c>
      <c r="N444" s="11" t="n">
        <v>-2.747695938272059</v>
      </c>
      <c r="O444" s="11" t="n">
        <v>-3.65869736159352</v>
      </c>
      <c r="P444" s="4" t="n">
        <v>1</v>
      </c>
      <c r="Q444" s="11" t="n">
        <v>0.2741145683111753</v>
      </c>
      <c r="R444" s="11" t="n">
        <v>0</v>
      </c>
      <c r="S444" s="11" t="n">
        <v>12.10310901652248</v>
      </c>
      <c r="T444" s="11" t="n">
        <v>7.990927577690669</v>
      </c>
      <c r="U444" s="11" t="n">
        <v>0.895</v>
      </c>
      <c r="V444" s="11" t="n">
        <v>4.00188638499487</v>
      </c>
      <c r="W444" s="12" t="n">
        <v>56.66011786460876</v>
      </c>
    </row>
    <row r="445">
      <c r="A445" s="4" t="n">
        <v>444</v>
      </c>
      <c r="B445" s="4" t="inlineStr">
        <is>
          <t>compression_set_pct</t>
        </is>
      </c>
      <c r="C445" s="4" t="inlineStr">
        <is>
          <t>Exp2_BO</t>
        </is>
      </c>
      <c r="D445" s="4" t="n">
        <v>0</v>
      </c>
      <c r="E445" s="4" t="n">
        <v>11</v>
      </c>
      <c r="F445" s="4" t="inlineStr">
        <is>
          <t>GP</t>
        </is>
      </c>
      <c r="G445" s="4" t="inlineStr">
        <is>
          <t>rbf</t>
        </is>
      </c>
      <c r="H445" s="4" t="b">
        <v>0</v>
      </c>
      <c r="I445" s="4" t="b">
        <v>0</v>
      </c>
      <c r="J445" s="4" t="inlineStr">
        <is>
          <t>log1p</t>
        </is>
      </c>
      <c r="K445" s="4" t="inlineStr">
        <is>
          <t>none</t>
        </is>
      </c>
      <c r="L445" s="4" t="inlineStr">
        <is>
          <t>full</t>
        </is>
      </c>
      <c r="M445" s="11" t="n">
        <v>0.8196245585191206</v>
      </c>
      <c r="N445" s="11" t="n">
        <v>-0.7355660702567559</v>
      </c>
      <c r="O445" s="11" t="n">
        <v>-2.998127770741997</v>
      </c>
      <c r="P445" s="4" t="n">
        <v>1</v>
      </c>
      <c r="Q445" s="11" t="n">
        <v>0.338235579873854</v>
      </c>
      <c r="R445" s="11" t="n">
        <v>0</v>
      </c>
      <c r="S445" s="11" t="n">
        <v>11.55618835279874</v>
      </c>
      <c r="T445" s="11" t="n">
        <v>7.512174723129492</v>
      </c>
      <c r="U445" s="11" t="n">
        <v>0.9350000000000001</v>
      </c>
      <c r="V445" s="11" t="n">
        <v>3.889068963871881</v>
      </c>
      <c r="W445" s="12" t="n">
        <v>2.066930532455444</v>
      </c>
    </row>
    <row r="446">
      <c r="A446" s="4" t="n">
        <v>445</v>
      </c>
      <c r="B446" s="4" t="inlineStr">
        <is>
          <t>compression_set_pct</t>
        </is>
      </c>
      <c r="C446" s="4" t="inlineStr">
        <is>
          <t>Exp2_BO</t>
        </is>
      </c>
      <c r="D446" s="4" t="n">
        <v>0</v>
      </c>
      <c r="E446" s="4" t="n">
        <v>12</v>
      </c>
      <c r="F446" s="4" t="inlineStr">
        <is>
          <t>GP</t>
        </is>
      </c>
      <c r="G446" s="4" t="inlineStr">
        <is>
          <t>matern32</t>
        </is>
      </c>
      <c r="H446" s="4" t="b">
        <v>1</v>
      </c>
      <c r="I446" s="4" t="b">
        <v>0</v>
      </c>
      <c r="J446" s="4" t="inlineStr">
        <is>
          <t>log1p</t>
        </is>
      </c>
      <c r="K446" s="4" t="inlineStr">
        <is>
          <t>none</t>
        </is>
      </c>
      <c r="L446" s="4" t="inlineStr">
        <is>
          <t>compact</t>
        </is>
      </c>
      <c r="M446" s="11" t="n">
        <v>-0.5223563269858336</v>
      </c>
      <c r="N446" s="11" t="n">
        <v>-2.758634210888156</v>
      </c>
      <c r="O446" s="11" t="n">
        <v>-4.77034273197046</v>
      </c>
      <c r="P446" s="4" t="n">
        <v>1</v>
      </c>
      <c r="Q446" s="11" t="n">
        <v>0.2618676363108696</v>
      </c>
      <c r="R446" s="11" t="n">
        <v>0</v>
      </c>
      <c r="S446" s="11" t="n">
        <v>12.20478206254162</v>
      </c>
      <c r="T446" s="11" t="n">
        <v>7.882136022021829</v>
      </c>
      <c r="U446" s="11" t="n">
        <v>0.93</v>
      </c>
      <c r="V446" s="11" t="n">
        <v>3.929406185177436</v>
      </c>
      <c r="W446" s="12" t="n">
        <v>29.50718140602112</v>
      </c>
    </row>
    <row r="447">
      <c r="A447" s="4" t="n">
        <v>446</v>
      </c>
      <c r="B447" s="4" t="inlineStr">
        <is>
          <t>compression_set_pct</t>
        </is>
      </c>
      <c r="C447" s="4" t="inlineStr">
        <is>
          <t>Exp2_BO</t>
        </is>
      </c>
      <c r="D447" s="4" t="n">
        <v>0</v>
      </c>
      <c r="E447" s="4" t="n">
        <v>13</v>
      </c>
      <c r="F447" s="4" t="inlineStr">
        <is>
          <t>GP</t>
        </is>
      </c>
      <c r="G447" s="4" t="inlineStr">
        <is>
          <t>matern52</t>
        </is>
      </c>
      <c r="H447" s="4" t="b">
        <v>0</v>
      </c>
      <c r="I447" s="4" t="b">
        <v>0</v>
      </c>
      <c r="J447" s="4" t="inlineStr">
        <is>
          <t>std</t>
        </is>
      </c>
      <c r="K447" s="4" t="inlineStr">
        <is>
          <t>none</t>
        </is>
      </c>
      <c r="L447" s="4" t="inlineStr">
        <is>
          <t>full_agg</t>
        </is>
      </c>
      <c r="M447" s="11" t="n">
        <v>0.9818388535740046</v>
      </c>
      <c r="N447" s="11" t="n">
        <v>-2.937793495409628</v>
      </c>
      <c r="O447" s="11" t="n">
        <v>-5.350591460796663</v>
      </c>
      <c r="P447" s="4" t="n">
        <v>1</v>
      </c>
      <c r="Q447" s="11" t="n">
        <v>0.1965080596258922</v>
      </c>
      <c r="R447" s="11" t="n">
        <v>0</v>
      </c>
      <c r="S447" s="11" t="n">
        <v>12.73367224846427</v>
      </c>
      <c r="T447" s="11" t="n">
        <v>8.493066253880365</v>
      </c>
      <c r="U447" s="11" t="n">
        <v>0.945</v>
      </c>
      <c r="V447" s="11" t="n">
        <v>3.991061885709025</v>
      </c>
      <c r="W447" s="12" t="n">
        <v>3.079023599624634</v>
      </c>
    </row>
    <row r="448">
      <c r="A448" s="4" t="n">
        <v>447</v>
      </c>
      <c r="B448" s="4" t="inlineStr">
        <is>
          <t>compression_set_pct</t>
        </is>
      </c>
      <c r="C448" s="4" t="inlineStr">
        <is>
          <t>Exp2_BO</t>
        </is>
      </c>
      <c r="D448" s="4" t="n">
        <v>0</v>
      </c>
      <c r="E448" s="4" t="n">
        <v>14</v>
      </c>
      <c r="F448" s="4" t="inlineStr">
        <is>
          <t>GP</t>
        </is>
      </c>
      <c r="G448" s="4" t="inlineStr">
        <is>
          <t>matern12</t>
        </is>
      </c>
      <c r="H448" s="4" t="b">
        <v>0</v>
      </c>
      <c r="I448" s="4" t="b">
        <v>1</v>
      </c>
      <c r="J448" s="4" t="inlineStr">
        <is>
          <t>log1p</t>
        </is>
      </c>
      <c r="K448" s="4" t="inlineStr">
        <is>
          <t>none</t>
        </is>
      </c>
      <c r="L448" s="4" t="inlineStr">
        <is>
          <t>full_cure6</t>
        </is>
      </c>
      <c r="M448" s="11" t="n">
        <v>-0.2845121422753931</v>
      </c>
      <c r="N448" s="11" t="n">
        <v>-2.739030904902214</v>
      </c>
      <c r="O448" s="11" t="n">
        <v>-4.173123557817053</v>
      </c>
      <c r="P448" s="4" t="n">
        <v>1</v>
      </c>
      <c r="Q448" s="11" t="n">
        <v>0.304490420717358</v>
      </c>
      <c r="R448" s="11" t="n">
        <v>0</v>
      </c>
      <c r="S448" s="11" t="n">
        <v>11.84716570514558</v>
      </c>
      <c r="T448" s="11" t="n">
        <v>7.733159727480047</v>
      </c>
      <c r="U448" s="11" t="n">
        <v>0.92</v>
      </c>
      <c r="V448" s="11" t="n">
        <v>3.90672861890581</v>
      </c>
      <c r="W448" s="12" t="n">
        <v>5.962567567825317</v>
      </c>
    </row>
    <row r="449">
      <c r="A449" s="4" t="n">
        <v>448</v>
      </c>
      <c r="B449" s="4" t="inlineStr">
        <is>
          <t>compression_set_pct</t>
        </is>
      </c>
      <c r="C449" s="4" t="inlineStr">
        <is>
          <t>Exp2_BO</t>
        </is>
      </c>
      <c r="D449" s="4" t="n">
        <v>0</v>
      </c>
      <c r="E449" s="4" t="n">
        <v>15</v>
      </c>
      <c r="F449" s="4" t="inlineStr">
        <is>
          <t>GP</t>
        </is>
      </c>
      <c r="G449" s="4" t="inlineStr">
        <is>
          <t>rq</t>
        </is>
      </c>
      <c r="H449" s="4" t="b">
        <v>0</v>
      </c>
      <c r="I449" s="4" t="b">
        <v>0</v>
      </c>
      <c r="J449" s="4" t="inlineStr">
        <is>
          <t>std</t>
        </is>
      </c>
      <c r="K449" s="4" t="inlineStr">
        <is>
          <t>log</t>
        </is>
      </c>
      <c r="L449" s="4" t="inlineStr">
        <is>
          <t>full_cure6</t>
        </is>
      </c>
      <c r="M449" s="11" t="n">
        <v>0.8788507481500059</v>
      </c>
      <c r="N449" s="11" t="n">
        <v>-0.482482689291464</v>
      </c>
      <c r="O449" s="11" t="n">
        <v>-5.55494870151141</v>
      </c>
      <c r="P449" s="4" t="n">
        <v>1</v>
      </c>
      <c r="Q449" s="11" t="n">
        <v>0.2747205906838397</v>
      </c>
      <c r="R449" s="11" t="n">
        <v>0</v>
      </c>
      <c r="S449" s="11" t="n">
        <v>12.09805568023848</v>
      </c>
      <c r="T449" s="11" t="n">
        <v>7.678529856072987</v>
      </c>
      <c r="U449" s="11" t="n">
        <v>0.915</v>
      </c>
      <c r="V449" s="11" t="n">
        <v>4.024205251435479</v>
      </c>
      <c r="W449" s="12" t="n">
        <v>4.331824064254761</v>
      </c>
    </row>
    <row r="450">
      <c r="A450" s="4" t="n">
        <v>449</v>
      </c>
      <c r="B450" s="4" t="inlineStr">
        <is>
          <t>compression_set_pct</t>
        </is>
      </c>
      <c r="C450" s="4" t="inlineStr">
        <is>
          <t>Exp2_BO</t>
        </is>
      </c>
      <c r="D450" s="4" t="n">
        <v>0</v>
      </c>
      <c r="E450" s="4" t="n">
        <v>16</v>
      </c>
      <c r="F450" s="4" t="inlineStr">
        <is>
          <t>GP</t>
        </is>
      </c>
      <c r="G450" s="4" t="inlineStr">
        <is>
          <t>rq</t>
        </is>
      </c>
      <c r="H450" s="4" t="b">
        <v>0</v>
      </c>
      <c r="I450" s="4" t="b">
        <v>0</v>
      </c>
      <c r="J450" s="4" t="inlineStr">
        <is>
          <t>log1p</t>
        </is>
      </c>
      <c r="K450" s="4" t="inlineStr">
        <is>
          <t>none</t>
        </is>
      </c>
      <c r="L450" s="4" t="inlineStr">
        <is>
          <t>full_cure6</t>
        </is>
      </c>
      <c r="M450" s="11" t="n">
        <v>0.9616542839973692</v>
      </c>
      <c r="N450" s="11" t="n">
        <v>-2.946821688349724</v>
      </c>
      <c r="O450" s="11" t="n">
        <v>-2.222324536141137</v>
      </c>
      <c r="P450" s="4" t="n">
        <v>1</v>
      </c>
      <c r="Q450" s="11" t="n">
        <v>0.3009857391935745</v>
      </c>
      <c r="R450" s="11" t="n">
        <v>0</v>
      </c>
      <c r="S450" s="11" t="n">
        <v>11.87697720575439</v>
      </c>
      <c r="T450" s="11" t="n">
        <v>7.682650145244208</v>
      </c>
      <c r="U450" s="11" t="n">
        <v>0.92</v>
      </c>
      <c r="V450" s="11" t="n">
        <v>3.918367676121018</v>
      </c>
      <c r="W450" s="12" t="n">
        <v>3.723598718643189</v>
      </c>
    </row>
    <row r="451">
      <c r="A451" s="4" t="n">
        <v>450</v>
      </c>
      <c r="B451" s="4" t="inlineStr">
        <is>
          <t>compression_set_pct</t>
        </is>
      </c>
      <c r="C451" s="4" t="inlineStr">
        <is>
          <t>Exp2_BO</t>
        </is>
      </c>
      <c r="D451" s="4" t="n">
        <v>0</v>
      </c>
      <c r="E451" s="4" t="n">
        <v>17</v>
      </c>
      <c r="F451" s="4" t="inlineStr">
        <is>
          <t>GP</t>
        </is>
      </c>
      <c r="G451" s="4" t="inlineStr">
        <is>
          <t>rq</t>
        </is>
      </c>
      <c r="H451" s="4" t="b">
        <v>0</v>
      </c>
      <c r="I451" s="4" t="b">
        <v>1</v>
      </c>
      <c r="J451" s="4" t="inlineStr">
        <is>
          <t>log1p</t>
        </is>
      </c>
      <c r="K451" s="4" t="inlineStr">
        <is>
          <t>none</t>
        </is>
      </c>
      <c r="L451" s="4" t="inlineStr">
        <is>
          <t>compact</t>
        </is>
      </c>
      <c r="M451" s="11" t="n">
        <v>-0.9981305881964906</v>
      </c>
      <c r="N451" s="11" t="n">
        <v>-1.404605588256886</v>
      </c>
      <c r="O451" s="11" t="n">
        <v>-2.502314052555579</v>
      </c>
      <c r="P451" s="4" t="n">
        <v>1</v>
      </c>
      <c r="Q451" s="11" t="n">
        <v>0.3554961000780314</v>
      </c>
      <c r="R451" s="11" t="n">
        <v>0</v>
      </c>
      <c r="S451" s="11" t="n">
        <v>11.40448503832045</v>
      </c>
      <c r="T451" s="11" t="n">
        <v>7.312289418870734</v>
      </c>
      <c r="U451" s="11" t="n">
        <v>0.945</v>
      </c>
      <c r="V451" s="11" t="n">
        <v>3.867274291318275</v>
      </c>
      <c r="W451" s="12" t="n">
        <v>7.846073389053345</v>
      </c>
    </row>
    <row r="452">
      <c r="A452" s="4" t="n">
        <v>451</v>
      </c>
      <c r="B452" s="4" t="inlineStr">
        <is>
          <t>compression_set_pct</t>
        </is>
      </c>
      <c r="C452" s="4" t="inlineStr">
        <is>
          <t>Exp2_BO</t>
        </is>
      </c>
      <c r="D452" s="4" t="n">
        <v>0</v>
      </c>
      <c r="E452" s="4" t="n">
        <v>18</v>
      </c>
      <c r="F452" s="4" t="inlineStr">
        <is>
          <t>GP</t>
        </is>
      </c>
      <c r="G452" s="4" t="inlineStr">
        <is>
          <t>rq</t>
        </is>
      </c>
      <c r="H452" s="4" t="b">
        <v>0</v>
      </c>
      <c r="I452" s="4" t="b">
        <v>1</v>
      </c>
      <c r="J452" s="4" t="inlineStr">
        <is>
          <t>std</t>
        </is>
      </c>
      <c r="K452" s="4" t="inlineStr">
        <is>
          <t>log</t>
        </is>
      </c>
      <c r="L452" s="4" t="inlineStr">
        <is>
          <t>full_agg</t>
        </is>
      </c>
      <c r="M452" s="11" t="n">
        <v>-0.6240262467731648</v>
      </c>
      <c r="N452" s="11" t="n">
        <v>-2.357415695527855</v>
      </c>
      <c r="O452" s="11" t="n">
        <v>-4.642880441426358</v>
      </c>
      <c r="P452" s="4" t="n">
        <v>1</v>
      </c>
      <c r="Q452" s="11" t="n">
        <v>0.3207047068418485</v>
      </c>
      <c r="R452" s="11" t="n">
        <v>0</v>
      </c>
      <c r="S452" s="11" t="n">
        <v>11.70825594552856</v>
      </c>
      <c r="T452" s="11" t="n">
        <v>7.293272672862836</v>
      </c>
      <c r="U452" s="11" t="n">
        <v>0.93</v>
      </c>
      <c r="V452" s="11" t="n">
        <v>4.130497134869955</v>
      </c>
      <c r="W452" s="12" t="n">
        <v>8.799907922744751</v>
      </c>
    </row>
    <row r="453">
      <c r="A453" s="4" t="n">
        <v>452</v>
      </c>
      <c r="B453" s="4" t="inlineStr">
        <is>
          <t>compression_set_pct</t>
        </is>
      </c>
      <c r="C453" s="4" t="inlineStr">
        <is>
          <t>Exp2_BO</t>
        </is>
      </c>
      <c r="D453" s="4" t="n">
        <v>0</v>
      </c>
      <c r="E453" s="4" t="n">
        <v>19</v>
      </c>
      <c r="F453" s="4" t="inlineStr">
        <is>
          <t>GP</t>
        </is>
      </c>
      <c r="G453" s="4" t="inlineStr">
        <is>
          <t>matern52</t>
        </is>
      </c>
      <c r="H453" s="4" t="b">
        <v>0</v>
      </c>
      <c r="I453" s="4" t="b">
        <v>1</v>
      </c>
      <c r="J453" s="4" t="inlineStr">
        <is>
          <t>log1p</t>
        </is>
      </c>
      <c r="K453" s="4" t="inlineStr">
        <is>
          <t>log</t>
        </is>
      </c>
      <c r="L453" s="4" t="inlineStr">
        <is>
          <t>full_agg</t>
        </is>
      </c>
      <c r="M453" s="11" t="n">
        <v>0.3873776695607018</v>
      </c>
      <c r="N453" s="11" t="n">
        <v>-2.298770390559089</v>
      </c>
      <c r="O453" s="11" t="n">
        <v>-4.208631880084466</v>
      </c>
      <c r="P453" s="4" t="n">
        <v>1</v>
      </c>
      <c r="Q453" s="11" t="n">
        <v>0.3092916284371799</v>
      </c>
      <c r="R453" s="11" t="n">
        <v>0</v>
      </c>
      <c r="S453" s="11" t="n">
        <v>11.8062035031494</v>
      </c>
      <c r="T453" s="11" t="n">
        <v>7.516283983725217</v>
      </c>
      <c r="U453" s="11" t="n">
        <v>0.9350000000000001</v>
      </c>
      <c r="V453" s="11" t="n">
        <v>4.170821413101631</v>
      </c>
      <c r="W453" s="12" t="n">
        <v>7.162051439285278</v>
      </c>
    </row>
    <row r="454">
      <c r="A454" s="4" t="n">
        <v>453</v>
      </c>
      <c r="B454" s="4" t="inlineStr">
        <is>
          <t>compression_set_pct</t>
        </is>
      </c>
      <c r="C454" s="4" t="inlineStr">
        <is>
          <t>Exp2_BO</t>
        </is>
      </c>
      <c r="D454" s="4" t="n">
        <v>0</v>
      </c>
      <c r="E454" s="4" t="n">
        <v>20</v>
      </c>
      <c r="F454" s="4" t="inlineStr">
        <is>
          <t>GP</t>
        </is>
      </c>
      <c r="G454" s="4" t="inlineStr">
        <is>
          <t>matern32</t>
        </is>
      </c>
      <c r="H454" s="4" t="b">
        <v>1</v>
      </c>
      <c r="I454" s="4" t="b">
        <v>1</v>
      </c>
      <c r="J454" s="4" t="inlineStr">
        <is>
          <t>log1p</t>
        </is>
      </c>
      <c r="K454" s="4" t="inlineStr">
        <is>
          <t>log</t>
        </is>
      </c>
      <c r="L454" s="4" t="inlineStr">
        <is>
          <t>full</t>
        </is>
      </c>
      <c r="M454" s="11" t="n">
        <v>-0.0741398133104305</v>
      </c>
      <c r="N454" s="11" t="n">
        <v>-1.726587691067351</v>
      </c>
      <c r="O454" s="11" t="n">
        <v>-2.542900196646204</v>
      </c>
      <c r="P454" s="4" t="n">
        <v>1</v>
      </c>
      <c r="Q454" s="11" t="n">
        <v>0.3643736883163581</v>
      </c>
      <c r="R454" s="11" t="n">
        <v>0</v>
      </c>
      <c r="S454" s="11" t="n">
        <v>11.32566830298174</v>
      </c>
      <c r="T454" s="11" t="n">
        <v>7.306656935110936</v>
      </c>
      <c r="U454" s="11" t="n">
        <v>0.91</v>
      </c>
      <c r="V454" s="11" t="n">
        <v>3.832231106798434</v>
      </c>
      <c r="W454" s="12" t="n">
        <v>53.95871472358704</v>
      </c>
    </row>
    <row r="455">
      <c r="A455" s="4" t="n">
        <v>454</v>
      </c>
      <c r="B455" s="4" t="inlineStr">
        <is>
          <t>compression_set_pct</t>
        </is>
      </c>
      <c r="C455" s="4" t="inlineStr">
        <is>
          <t>Exp2_BO</t>
        </is>
      </c>
      <c r="D455" s="4" t="n">
        <v>0</v>
      </c>
      <c r="E455" s="4" t="n">
        <v>21</v>
      </c>
      <c r="F455" s="4" t="inlineStr">
        <is>
          <t>GP</t>
        </is>
      </c>
      <c r="G455" s="4" t="inlineStr">
        <is>
          <t>rq</t>
        </is>
      </c>
      <c r="H455" s="4" t="b">
        <v>1</v>
      </c>
      <c r="I455" s="4" t="b">
        <v>0</v>
      </c>
      <c r="J455" s="4" t="inlineStr">
        <is>
          <t>std</t>
        </is>
      </c>
      <c r="K455" s="4" t="inlineStr">
        <is>
          <t>log</t>
        </is>
      </c>
      <c r="L455" s="4" t="inlineStr">
        <is>
          <t>full_cure6</t>
        </is>
      </c>
      <c r="M455" s="11" t="n">
        <v>-0.1594497473586544</v>
      </c>
      <c r="N455" s="11" t="n">
        <v>-0.1645662407424399</v>
      </c>
      <c r="O455" s="11" t="n">
        <v>-4.47700075872337</v>
      </c>
      <c r="P455" s="4" t="n">
        <v>1</v>
      </c>
      <c r="Q455" s="11" t="n">
        <v>0.2747211983192773</v>
      </c>
      <c r="R455" s="11" t="n">
        <v>0</v>
      </c>
      <c r="S455" s="11" t="n">
        <v>12.09805061239235</v>
      </c>
      <c r="T455" s="11" t="n">
        <v>7.67852723437933</v>
      </c>
      <c r="U455" s="11" t="n">
        <v>0.915</v>
      </c>
      <c r="V455" s="11" t="n">
        <v>4.024202364421358</v>
      </c>
      <c r="W455" s="12" t="n">
        <v>3.158826351165771</v>
      </c>
    </row>
    <row r="456">
      <c r="A456" s="4" t="n">
        <v>455</v>
      </c>
      <c r="B456" s="4" t="inlineStr">
        <is>
          <t>compression_set_pct</t>
        </is>
      </c>
      <c r="C456" s="4" t="inlineStr">
        <is>
          <t>Exp2_BO</t>
        </is>
      </c>
      <c r="D456" s="4" t="n">
        <v>0</v>
      </c>
      <c r="E456" s="4" t="n">
        <v>22</v>
      </c>
      <c r="F456" s="4" t="inlineStr">
        <is>
          <t>GP</t>
        </is>
      </c>
      <c r="G456" s="4" t="inlineStr">
        <is>
          <t>matern52</t>
        </is>
      </c>
      <c r="H456" s="4" t="b">
        <v>1</v>
      </c>
      <c r="I456" s="4" t="b">
        <v>0</v>
      </c>
      <c r="J456" s="4" t="inlineStr">
        <is>
          <t>std</t>
        </is>
      </c>
      <c r="K456" s="4" t="inlineStr">
        <is>
          <t>log</t>
        </is>
      </c>
      <c r="L456" s="4" t="inlineStr">
        <is>
          <t>compact</t>
        </is>
      </c>
      <c r="M456" s="11" t="n">
        <v>-0.6648481435371407</v>
      </c>
      <c r="N456" s="11" t="n">
        <v>-0.2150944539860626</v>
      </c>
      <c r="O456" s="11" t="n">
        <v>-5.211522354704042</v>
      </c>
      <c r="P456" s="4" t="n">
        <v>1</v>
      </c>
      <c r="Q456" s="11" t="n">
        <v>0.2811372923379329</v>
      </c>
      <c r="R456" s="11" t="n">
        <v>0</v>
      </c>
      <c r="S456" s="11" t="n">
        <v>12.04441974483232</v>
      </c>
      <c r="T456" s="11" t="n">
        <v>7.677730915028956</v>
      </c>
      <c r="U456" s="11" t="n">
        <v>0.925</v>
      </c>
      <c r="V456" s="11" t="n">
        <v>4.304320864813326</v>
      </c>
      <c r="W456" s="12" t="n">
        <v>40.05578255653381</v>
      </c>
    </row>
    <row r="457">
      <c r="A457" s="4" t="n">
        <v>456</v>
      </c>
      <c r="B457" s="4" t="inlineStr">
        <is>
          <t>compression_set_pct</t>
        </is>
      </c>
      <c r="C457" s="4" t="inlineStr">
        <is>
          <t>Exp2_BO</t>
        </is>
      </c>
      <c r="D457" s="4" t="n">
        <v>0</v>
      </c>
      <c r="E457" s="4" t="n">
        <v>23</v>
      </c>
      <c r="F457" s="4" t="inlineStr">
        <is>
          <t>GP</t>
        </is>
      </c>
      <c r="G457" s="4" t="inlineStr">
        <is>
          <t>matern52</t>
        </is>
      </c>
      <c r="H457" s="4" t="b">
        <v>1</v>
      </c>
      <c r="I457" s="4" t="b">
        <v>1</v>
      </c>
      <c r="J457" s="4" t="inlineStr">
        <is>
          <t>log1p</t>
        </is>
      </c>
      <c r="K457" s="4" t="inlineStr">
        <is>
          <t>log</t>
        </is>
      </c>
      <c r="L457" s="4" t="inlineStr">
        <is>
          <t>compact</t>
        </is>
      </c>
      <c r="M457" s="11" t="n">
        <v>-0.3181919388695382</v>
      </c>
      <c r="N457" s="11" t="n">
        <v>-1.321601113253903</v>
      </c>
      <c r="O457" s="11" t="n">
        <v>-2.063928602413659</v>
      </c>
      <c r="P457" s="4" t="n">
        <v>1</v>
      </c>
      <c r="Q457" s="11" t="n">
        <v>0.365598612611875</v>
      </c>
      <c r="R457" s="11" t="n">
        <v>0</v>
      </c>
      <c r="S457" s="11" t="n">
        <v>11.31475011393385</v>
      </c>
      <c r="T457" s="11" t="n">
        <v>7.112946936447115</v>
      </c>
      <c r="U457" s="11" t="n">
        <v>0.91</v>
      </c>
      <c r="V457" s="11" t="n">
        <v>3.872852926359573</v>
      </c>
      <c r="W457" s="12" t="n">
        <v>45.75972843170166</v>
      </c>
    </row>
    <row r="458">
      <c r="A458" s="4" t="n">
        <v>457</v>
      </c>
      <c r="B458" s="4" t="inlineStr">
        <is>
          <t>compression_set_pct</t>
        </is>
      </c>
      <c r="C458" s="4" t="inlineStr">
        <is>
          <t>Exp2_BO</t>
        </is>
      </c>
      <c r="D458" s="4" t="n">
        <v>0</v>
      </c>
      <c r="E458" s="4" t="n">
        <v>24</v>
      </c>
      <c r="F458" s="4" t="inlineStr">
        <is>
          <t>GP</t>
        </is>
      </c>
      <c r="G458" s="4" t="inlineStr">
        <is>
          <t>matern52</t>
        </is>
      </c>
      <c r="H458" s="4" t="b">
        <v>0</v>
      </c>
      <c r="I458" s="4" t="b">
        <v>0</v>
      </c>
      <c r="J458" s="4" t="inlineStr">
        <is>
          <t>log1p</t>
        </is>
      </c>
      <c r="K458" s="4" t="inlineStr">
        <is>
          <t>log</t>
        </is>
      </c>
      <c r="L458" s="4" t="inlineStr">
        <is>
          <t>compact</t>
        </is>
      </c>
      <c r="M458" s="11" t="n">
        <v>-0.8226672380004492</v>
      </c>
      <c r="N458" s="11" t="n">
        <v>-2.862622438481724</v>
      </c>
      <c r="O458" s="11" t="n">
        <v>-2.10967889118929</v>
      </c>
      <c r="P458" s="4" t="n">
        <v>1</v>
      </c>
      <c r="Q458" s="11" t="n">
        <v>0.3470045462257872</v>
      </c>
      <c r="R458" s="11" t="n">
        <v>0</v>
      </c>
      <c r="S458" s="11" t="n">
        <v>11.47936814012534</v>
      </c>
      <c r="T458" s="11" t="n">
        <v>7.245193120890315</v>
      </c>
      <c r="U458" s="11" t="n">
        <v>0.93</v>
      </c>
      <c r="V458" s="11" t="n">
        <v>4.084213008015671</v>
      </c>
      <c r="W458" s="12" t="n">
        <v>3.025742769241333</v>
      </c>
    </row>
    <row r="459">
      <c r="A459" s="4" t="n">
        <v>458</v>
      </c>
      <c r="B459" s="4" t="inlineStr">
        <is>
          <t>compression_set_pct</t>
        </is>
      </c>
      <c r="C459" s="4" t="inlineStr">
        <is>
          <t>Exp2_BO</t>
        </is>
      </c>
      <c r="D459" s="4" t="n">
        <v>0</v>
      </c>
      <c r="E459" s="4" t="n">
        <v>25</v>
      </c>
      <c r="F459" s="4" t="inlineStr">
        <is>
          <t>GP</t>
        </is>
      </c>
      <c r="G459" s="4" t="inlineStr">
        <is>
          <t>rbf</t>
        </is>
      </c>
      <c r="H459" s="4" t="b">
        <v>1</v>
      </c>
      <c r="I459" s="4" t="b">
        <v>0</v>
      </c>
      <c r="J459" s="4" t="inlineStr">
        <is>
          <t>log1p</t>
        </is>
      </c>
      <c r="K459" s="4" t="inlineStr">
        <is>
          <t>log</t>
        </is>
      </c>
      <c r="L459" s="4" t="inlineStr">
        <is>
          <t>compact</t>
        </is>
      </c>
      <c r="M459" s="11" t="n">
        <v>-0.0844753118543317</v>
      </c>
      <c r="N459" s="11" t="n">
        <v>-2.470866047609295</v>
      </c>
      <c r="O459" s="11" t="n">
        <v>-2.389330317685122</v>
      </c>
      <c r="P459" s="4" t="n">
        <v>1</v>
      </c>
      <c r="Q459" s="11" t="n">
        <v>0.3045109366134664</v>
      </c>
      <c r="R459" s="11" t="n">
        <v>0</v>
      </c>
      <c r="S459" s="11" t="n">
        <v>11.8469909721006</v>
      </c>
      <c r="T459" s="11" t="n">
        <v>7.730318634955977</v>
      </c>
      <c r="U459" s="11" t="n">
        <v>0.92</v>
      </c>
      <c r="V459" s="11" t="n">
        <v>3.882812567403893</v>
      </c>
      <c r="W459" s="12" t="n">
        <v>36.40573048591614</v>
      </c>
    </row>
    <row r="460">
      <c r="A460" s="4" t="n">
        <v>459</v>
      </c>
      <c r="B460" s="4" t="inlineStr">
        <is>
          <t>compression_set_pct</t>
        </is>
      </c>
      <c r="C460" s="4" t="inlineStr">
        <is>
          <t>Exp2_BO</t>
        </is>
      </c>
      <c r="D460" s="4" t="n">
        <v>0</v>
      </c>
      <c r="E460" s="4" t="n">
        <v>26</v>
      </c>
      <c r="F460" s="4" t="inlineStr">
        <is>
          <t>GP</t>
        </is>
      </c>
      <c r="G460" s="4" t="inlineStr">
        <is>
          <t>rq</t>
        </is>
      </c>
      <c r="H460" s="4" t="b">
        <v>1</v>
      </c>
      <c r="I460" s="4" t="b">
        <v>1</v>
      </c>
      <c r="J460" s="4" t="inlineStr">
        <is>
          <t>log1p</t>
        </is>
      </c>
      <c r="K460" s="4" t="inlineStr">
        <is>
          <t>log</t>
        </is>
      </c>
      <c r="L460" s="4" t="inlineStr">
        <is>
          <t>full</t>
        </is>
      </c>
      <c r="M460" s="11" t="n">
        <v>0.8434872560945592</v>
      </c>
      <c r="N460" s="11" t="n">
        <v>-1.047613378524757</v>
      </c>
      <c r="O460" s="11" t="n">
        <v>-2.313491786467673</v>
      </c>
      <c r="P460" s="4" t="n">
        <v>1</v>
      </c>
      <c r="Q460" s="11" t="n">
        <v>0.343090980974636</v>
      </c>
      <c r="R460" s="11" t="n">
        <v>0</v>
      </c>
      <c r="S460" s="11" t="n">
        <v>11.51371611672953</v>
      </c>
      <c r="T460" s="11" t="n">
        <v>7.251802497266199</v>
      </c>
      <c r="U460" s="11" t="n">
        <v>0.9350000000000001</v>
      </c>
      <c r="V460" s="11" t="n">
        <v>4.156119251235532</v>
      </c>
      <c r="W460" s="12" t="n">
        <v>7.646174430847168</v>
      </c>
    </row>
    <row r="461">
      <c r="A461" s="4" t="n">
        <v>460</v>
      </c>
      <c r="B461" s="4" t="inlineStr">
        <is>
          <t>compression_set_pct</t>
        </is>
      </c>
      <c r="C461" s="4" t="inlineStr">
        <is>
          <t>Exp2_BO</t>
        </is>
      </c>
      <c r="D461" s="4" t="n">
        <v>0</v>
      </c>
      <c r="E461" s="4" t="n">
        <v>27</v>
      </c>
      <c r="F461" s="4" t="inlineStr">
        <is>
          <t>GP</t>
        </is>
      </c>
      <c r="G461" s="4" t="inlineStr">
        <is>
          <t>matern52</t>
        </is>
      </c>
      <c r="H461" s="4" t="b">
        <v>1</v>
      </c>
      <c r="I461" s="4" t="b">
        <v>1</v>
      </c>
      <c r="J461" s="4" t="inlineStr">
        <is>
          <t>log1p</t>
        </is>
      </c>
      <c r="K461" s="4" t="inlineStr">
        <is>
          <t>none</t>
        </is>
      </c>
      <c r="L461" s="4" t="inlineStr">
        <is>
          <t>compact</t>
        </is>
      </c>
      <c r="M461" s="11" t="n">
        <v>-0.3307464525781487</v>
      </c>
      <c r="N461" s="11" t="n">
        <v>-2.971779207357684</v>
      </c>
      <c r="O461" s="11" t="n">
        <v>-2.006568367327662</v>
      </c>
      <c r="P461" s="4" t="n">
        <v>1</v>
      </c>
      <c r="Q461" s="11" t="n">
        <v>0.2381671758292221</v>
      </c>
      <c r="R461" s="11" t="n">
        <v>0</v>
      </c>
      <c r="S461" s="11" t="n">
        <v>12.39917373485247</v>
      </c>
      <c r="T461" s="11" t="n">
        <v>8.001769110906601</v>
      </c>
      <c r="U461" s="11" t="n">
        <v>0.915</v>
      </c>
      <c r="V461" s="11" t="n">
        <v>3.990021090572577</v>
      </c>
      <c r="W461" s="12" t="n">
        <v>77.74841022491455</v>
      </c>
    </row>
    <row r="462">
      <c r="A462" s="4" t="n">
        <v>461</v>
      </c>
      <c r="B462" s="4" t="inlineStr">
        <is>
          <t>compression_set_pct</t>
        </is>
      </c>
      <c r="C462" s="4" t="inlineStr">
        <is>
          <t>Exp2_BO</t>
        </is>
      </c>
      <c r="D462" s="4" t="n">
        <v>0</v>
      </c>
      <c r="E462" s="4" t="n">
        <v>28</v>
      </c>
      <c r="F462" s="4" t="inlineStr">
        <is>
          <t>GP</t>
        </is>
      </c>
      <c r="G462" s="4" t="inlineStr">
        <is>
          <t>rbf</t>
        </is>
      </c>
      <c r="H462" s="4" t="b">
        <v>0</v>
      </c>
      <c r="I462" s="4" t="b">
        <v>1</v>
      </c>
      <c r="J462" s="4" t="inlineStr">
        <is>
          <t>log1p</t>
        </is>
      </c>
      <c r="K462" s="4" t="inlineStr">
        <is>
          <t>log</t>
        </is>
      </c>
      <c r="L462" s="4" t="inlineStr">
        <is>
          <t>compact</t>
        </is>
      </c>
      <c r="M462" s="11" t="n">
        <v>0.677649043440117</v>
      </c>
      <c r="N462" s="11" t="n">
        <v>-1.331334727757487</v>
      </c>
      <c r="O462" s="11" t="n">
        <v>-2.26218226056265</v>
      </c>
      <c r="P462" s="4" t="n">
        <v>1</v>
      </c>
      <c r="Q462" s="11" t="n">
        <v>0.353439422517979</v>
      </c>
      <c r="R462" s="11" t="n">
        <v>0</v>
      </c>
      <c r="S462" s="11" t="n">
        <v>11.42266698117648</v>
      </c>
      <c r="T462" s="11" t="n">
        <v>7.154077724694469</v>
      </c>
      <c r="U462" s="11" t="n">
        <v>0.925</v>
      </c>
      <c r="V462" s="11" t="n">
        <v>4.087714690085785</v>
      </c>
      <c r="W462" s="12" t="n">
        <v>5.935738325119019</v>
      </c>
    </row>
    <row r="463">
      <c r="A463" s="4" t="n">
        <v>462</v>
      </c>
      <c r="B463" s="4" t="inlineStr">
        <is>
          <t>compression_set_pct</t>
        </is>
      </c>
      <c r="C463" s="4" t="inlineStr">
        <is>
          <t>Exp2_BO</t>
        </is>
      </c>
      <c r="D463" s="4" t="n">
        <v>0</v>
      </c>
      <c r="E463" s="4" t="n">
        <v>29</v>
      </c>
      <c r="F463" s="4" t="inlineStr">
        <is>
          <t>GP</t>
        </is>
      </c>
      <c r="G463" s="4" t="inlineStr">
        <is>
          <t>matern12</t>
        </is>
      </c>
      <c r="H463" s="4" t="b">
        <v>0</v>
      </c>
      <c r="I463" s="4" t="b">
        <v>1</v>
      </c>
      <c r="J463" s="4" t="inlineStr">
        <is>
          <t>log1p</t>
        </is>
      </c>
      <c r="K463" s="4" t="inlineStr">
        <is>
          <t>none</t>
        </is>
      </c>
      <c r="L463" s="4" t="inlineStr">
        <is>
          <t>full</t>
        </is>
      </c>
      <c r="M463" s="11" t="n">
        <v>-0.5461294091741438</v>
      </c>
      <c r="N463" s="11" t="n">
        <v>-2.272401479806173</v>
      </c>
      <c r="O463" s="11" t="n">
        <v>-5.635642186085654</v>
      </c>
      <c r="P463" s="4" t="n">
        <v>1</v>
      </c>
      <c r="Q463" s="11" t="n">
        <v>0.3188934499509162</v>
      </c>
      <c r="R463" s="11" t="n">
        <v>0</v>
      </c>
      <c r="S463" s="11" t="n">
        <v>11.72385486256577</v>
      </c>
      <c r="T463" s="11" t="n">
        <v>7.636387804061078</v>
      </c>
      <c r="U463" s="11" t="n">
        <v>0.9350000000000001</v>
      </c>
      <c r="V463" s="11" t="n">
        <v>3.894782545706828</v>
      </c>
      <c r="W463" s="12" t="n">
        <v>6.138203144073486</v>
      </c>
    </row>
    <row r="464">
      <c r="A464" s="4" t="n">
        <v>463</v>
      </c>
      <c r="B464" s="4" t="inlineStr">
        <is>
          <t>compression_set_pct</t>
        </is>
      </c>
      <c r="C464" s="4" t="inlineStr">
        <is>
          <t>Exp2_BO</t>
        </is>
      </c>
      <c r="D464" s="4" t="n">
        <v>1</v>
      </c>
      <c r="E464" s="4" t="n">
        <v>0</v>
      </c>
      <c r="F464" s="4" t="inlineStr">
        <is>
          <t>GP</t>
        </is>
      </c>
      <c r="G464" s="4" t="inlineStr">
        <is>
          <t>matern32</t>
        </is>
      </c>
      <c r="H464" s="4" t="b">
        <v>0</v>
      </c>
      <c r="I464" s="4" t="b">
        <v>1</v>
      </c>
      <c r="J464" s="4" t="inlineStr">
        <is>
          <t>log1p</t>
        </is>
      </c>
      <c r="K464" s="4" t="inlineStr">
        <is>
          <t>none</t>
        </is>
      </c>
      <c r="L464" s="4" t="inlineStr">
        <is>
          <t>full</t>
        </is>
      </c>
      <c r="M464" s="11" t="n">
        <v>0.8972988942744877</v>
      </c>
      <c r="N464" s="11" t="n">
        <v>-2.064505643968544</v>
      </c>
      <c r="O464" s="11" t="n">
        <v>-4.306694204109697</v>
      </c>
      <c r="P464" s="4" t="n">
        <v>1</v>
      </c>
      <c r="Q464" s="11" t="n">
        <v>0.2995473861190141</v>
      </c>
      <c r="R464" s="11" t="n">
        <v>0</v>
      </c>
      <c r="S464" s="11" t="n">
        <v>11.88919048139856</v>
      </c>
      <c r="T464" s="11" t="n">
        <v>7.722131088491976</v>
      </c>
      <c r="U464" s="11" t="n">
        <v>0.93</v>
      </c>
      <c r="V464" s="11" t="n">
        <v>3.920765477217677</v>
      </c>
      <c r="W464" s="12" t="n">
        <v>6.958980321884155</v>
      </c>
    </row>
    <row r="465">
      <c r="A465" s="4" t="n">
        <v>464</v>
      </c>
      <c r="B465" s="4" t="inlineStr">
        <is>
          <t>compression_set_pct</t>
        </is>
      </c>
      <c r="C465" s="4" t="inlineStr">
        <is>
          <t>Exp2_BO</t>
        </is>
      </c>
      <c r="D465" s="4" t="n">
        <v>1</v>
      </c>
      <c r="E465" s="4" t="n">
        <v>1</v>
      </c>
      <c r="F465" s="4" t="inlineStr">
        <is>
          <t>GP</t>
        </is>
      </c>
      <c r="G465" s="4" t="inlineStr">
        <is>
          <t>matern12</t>
        </is>
      </c>
      <c r="H465" s="4" t="b">
        <v>0</v>
      </c>
      <c r="I465" s="4" t="b">
        <v>0</v>
      </c>
      <c r="J465" s="4" t="inlineStr">
        <is>
          <t>std</t>
        </is>
      </c>
      <c r="K465" s="4" t="inlineStr">
        <is>
          <t>log</t>
        </is>
      </c>
      <c r="L465" s="4" t="inlineStr">
        <is>
          <t>full_cure6</t>
        </is>
      </c>
      <c r="M465" s="11" t="n">
        <v>-0.9448817735138632</v>
      </c>
      <c r="N465" s="11" t="n">
        <v>-0.7394606739755805</v>
      </c>
      <c r="O465" s="11" t="n">
        <v>-3.847426747122887</v>
      </c>
      <c r="P465" s="4" t="n">
        <v>1</v>
      </c>
      <c r="Q465" s="11" t="n">
        <v>0.2723802985558506</v>
      </c>
      <c r="R465" s="11" t="n">
        <v>0</v>
      </c>
      <c r="S465" s="11" t="n">
        <v>12.11755863398602</v>
      </c>
      <c r="T465" s="11" t="n">
        <v>7.658182063555744</v>
      </c>
      <c r="U465" s="11" t="n">
        <v>0.925</v>
      </c>
      <c r="V465" s="11" t="n">
        <v>4.007459052708067</v>
      </c>
      <c r="W465" s="12" t="n">
        <v>1.901792526245117</v>
      </c>
    </row>
    <row r="466">
      <c r="A466" s="4" t="n">
        <v>465</v>
      </c>
      <c r="B466" s="4" t="inlineStr">
        <is>
          <t>compression_set_pct</t>
        </is>
      </c>
      <c r="C466" s="4" t="inlineStr">
        <is>
          <t>Exp2_BO</t>
        </is>
      </c>
      <c r="D466" s="4" t="n">
        <v>1</v>
      </c>
      <c r="E466" s="4" t="n">
        <v>2</v>
      </c>
      <c r="F466" s="4" t="inlineStr">
        <is>
          <t>GP</t>
        </is>
      </c>
      <c r="G466" s="4" t="inlineStr">
        <is>
          <t>rq</t>
        </is>
      </c>
      <c r="H466" s="4" t="b">
        <v>1</v>
      </c>
      <c r="I466" s="4" t="b">
        <v>0</v>
      </c>
      <c r="J466" s="4" t="inlineStr">
        <is>
          <t>log1p</t>
        </is>
      </c>
      <c r="K466" s="4" t="inlineStr">
        <is>
          <t>none</t>
        </is>
      </c>
      <c r="L466" s="4" t="inlineStr">
        <is>
          <t>full_agg</t>
        </is>
      </c>
      <c r="M466" s="11" t="n">
        <v>-0.0930042210386969</v>
      </c>
      <c r="N466" s="11" t="n">
        <v>-2.597874908258506</v>
      </c>
      <c r="O466" s="11" t="n">
        <v>-4.387548054211483</v>
      </c>
      <c r="P466" s="4" t="n">
        <v>1</v>
      </c>
      <c r="Q466" s="11" t="n">
        <v>0.3343694415569873</v>
      </c>
      <c r="R466" s="11" t="n">
        <v>0</v>
      </c>
      <c r="S466" s="11" t="n">
        <v>11.58989578502341</v>
      </c>
      <c r="T466" s="11" t="n">
        <v>7.551129568489792</v>
      </c>
      <c r="U466" s="11" t="n">
        <v>0.9350000000000001</v>
      </c>
      <c r="V466" s="11" t="n">
        <v>3.892944693585777</v>
      </c>
      <c r="W466" s="12" t="n">
        <v>5.508705377578735</v>
      </c>
    </row>
    <row r="467">
      <c r="A467" s="4" t="n">
        <v>466</v>
      </c>
      <c r="B467" s="4" t="inlineStr">
        <is>
          <t>compression_set_pct</t>
        </is>
      </c>
      <c r="C467" s="4" t="inlineStr">
        <is>
          <t>Exp2_BO</t>
        </is>
      </c>
      <c r="D467" s="4" t="n">
        <v>1</v>
      </c>
      <c r="E467" s="4" t="n">
        <v>3</v>
      </c>
      <c r="F467" s="4" t="inlineStr">
        <is>
          <t>GP</t>
        </is>
      </c>
      <c r="G467" s="4" t="inlineStr">
        <is>
          <t>rq</t>
        </is>
      </c>
      <c r="H467" s="4" t="b">
        <v>1</v>
      </c>
      <c r="I467" s="4" t="b">
        <v>1</v>
      </c>
      <c r="J467" s="4" t="inlineStr">
        <is>
          <t>std</t>
        </is>
      </c>
      <c r="K467" s="4" t="inlineStr">
        <is>
          <t>none</t>
        </is>
      </c>
      <c r="L467" s="4" t="inlineStr">
        <is>
          <t>compact</t>
        </is>
      </c>
      <c r="M467" s="11" t="n">
        <v>-0.4391824840279201</v>
      </c>
      <c r="N467" s="11" t="n">
        <v>-1.544427076705095</v>
      </c>
      <c r="O467" s="11" t="n">
        <v>-2.077051200795045</v>
      </c>
      <c r="P467" s="4" t="n">
        <v>1</v>
      </c>
      <c r="Q467" s="11" t="n">
        <v>0.3112697075493406</v>
      </c>
      <c r="R467" s="11" t="n">
        <v>0</v>
      </c>
      <c r="S467" s="11" t="n">
        <v>11.78928583590763</v>
      </c>
      <c r="T467" s="11" t="n">
        <v>7.593951231429545</v>
      </c>
      <c r="U467" s="11" t="n">
        <v>0.9399999999999999</v>
      </c>
      <c r="V467" s="11" t="n">
        <v>3.919187046167967</v>
      </c>
      <c r="W467" s="12" t="n">
        <v>7.421609163284302</v>
      </c>
    </row>
    <row r="468">
      <c r="A468" s="4" t="n">
        <v>467</v>
      </c>
      <c r="B468" s="4" t="inlineStr">
        <is>
          <t>compression_set_pct</t>
        </is>
      </c>
      <c r="C468" s="4" t="inlineStr">
        <is>
          <t>Exp2_BO</t>
        </is>
      </c>
      <c r="D468" s="4" t="n">
        <v>1</v>
      </c>
      <c r="E468" s="4" t="n">
        <v>4</v>
      </c>
      <c r="F468" s="4" t="inlineStr">
        <is>
          <t>GP</t>
        </is>
      </c>
      <c r="G468" s="4" t="inlineStr">
        <is>
          <t>matern52</t>
        </is>
      </c>
      <c r="H468" s="4" t="b">
        <v>0</v>
      </c>
      <c r="I468" s="4" t="b">
        <v>0</v>
      </c>
      <c r="J468" s="4" t="inlineStr">
        <is>
          <t>log1p</t>
        </is>
      </c>
      <c r="K468" s="4" t="inlineStr">
        <is>
          <t>none</t>
        </is>
      </c>
      <c r="L468" s="4" t="inlineStr">
        <is>
          <t>full_cure6</t>
        </is>
      </c>
      <c r="M468" s="11" t="n">
        <v>-0.4462175919092583</v>
      </c>
      <c r="N468" s="11" t="n">
        <v>-2.51804397367462</v>
      </c>
      <c r="O468" s="11" t="n">
        <v>-2.12029834713547</v>
      </c>
      <c r="P468" s="4" t="n">
        <v>1</v>
      </c>
      <c r="Q468" s="11" t="n">
        <v>0.3012121642556282</v>
      </c>
      <c r="R468" s="11" t="n">
        <v>0</v>
      </c>
      <c r="S468" s="11" t="n">
        <v>11.8750534516464</v>
      </c>
      <c r="T468" s="11" t="n">
        <v>7.692729717956102</v>
      </c>
      <c r="U468" s="11" t="n">
        <v>0.92</v>
      </c>
      <c r="V468" s="11" t="n">
        <v>3.916816096521056</v>
      </c>
      <c r="W468" s="12" t="n">
        <v>3.403897047042847</v>
      </c>
    </row>
    <row r="469">
      <c r="A469" s="4" t="n">
        <v>468</v>
      </c>
      <c r="B469" s="4" t="inlineStr">
        <is>
          <t>compression_set_pct</t>
        </is>
      </c>
      <c r="C469" s="4" t="inlineStr">
        <is>
          <t>Exp2_BO</t>
        </is>
      </c>
      <c r="D469" s="4" t="n">
        <v>1</v>
      </c>
      <c r="E469" s="4" t="n">
        <v>5</v>
      </c>
      <c r="F469" s="4" t="inlineStr">
        <is>
          <t>GP</t>
        </is>
      </c>
      <c r="G469" s="4" t="inlineStr">
        <is>
          <t>matern32</t>
        </is>
      </c>
      <c r="H469" s="4" t="b">
        <v>0</v>
      </c>
      <c r="I469" s="4" t="b">
        <v>0</v>
      </c>
      <c r="J469" s="4" t="inlineStr">
        <is>
          <t>std</t>
        </is>
      </c>
      <c r="K469" s="4" t="inlineStr">
        <is>
          <t>none</t>
        </is>
      </c>
      <c r="L469" s="4" t="inlineStr">
        <is>
          <t>full_cure6</t>
        </is>
      </c>
      <c r="M469" s="11" t="n">
        <v>0.553366228684596</v>
      </c>
      <c r="N469" s="11" t="n">
        <v>-1.160990096840879</v>
      </c>
      <c r="O469" s="11" t="n">
        <v>-2.330809180836389</v>
      </c>
      <c r="P469" s="4" t="n">
        <v>1</v>
      </c>
      <c r="Q469" s="11" t="n">
        <v>0.2622454595972406</v>
      </c>
      <c r="R469" s="11" t="n">
        <v>0</v>
      </c>
      <c r="S469" s="11" t="n">
        <v>12.20165806925164</v>
      </c>
      <c r="T469" s="11" t="n">
        <v>7.997083943750058</v>
      </c>
      <c r="U469" s="11" t="n">
        <v>0.9350000000000001</v>
      </c>
      <c r="V469" s="11" t="n">
        <v>3.938414599708096</v>
      </c>
      <c r="W469" s="12" t="n">
        <v>2.414662837982178</v>
      </c>
    </row>
    <row r="470">
      <c r="A470" s="4" t="n">
        <v>469</v>
      </c>
      <c r="B470" s="4" t="inlineStr">
        <is>
          <t>compression_set_pct</t>
        </is>
      </c>
      <c r="C470" s="4" t="inlineStr">
        <is>
          <t>Exp2_BO</t>
        </is>
      </c>
      <c r="D470" s="4" t="n">
        <v>1</v>
      </c>
      <c r="E470" s="4" t="n">
        <v>6</v>
      </c>
      <c r="F470" s="4" t="inlineStr">
        <is>
          <t>GP</t>
        </is>
      </c>
      <c r="G470" s="4" t="inlineStr">
        <is>
          <t>matern32</t>
        </is>
      </c>
      <c r="H470" s="4" t="b">
        <v>1</v>
      </c>
      <c r="I470" s="4" t="b">
        <v>1</v>
      </c>
      <c r="J470" s="4" t="inlineStr">
        <is>
          <t>log1p</t>
        </is>
      </c>
      <c r="K470" s="4" t="inlineStr">
        <is>
          <t>log</t>
        </is>
      </c>
      <c r="L470" s="4" t="inlineStr">
        <is>
          <t>full_agg</t>
        </is>
      </c>
      <c r="M470" s="11" t="n">
        <v>-0.8753008417002488</v>
      </c>
      <c r="N470" s="11" t="n">
        <v>-1.076015492581875</v>
      </c>
      <c r="O470" s="11" t="n">
        <v>-2.589468646077373</v>
      </c>
      <c r="P470" s="4" t="n">
        <v>1</v>
      </c>
      <c r="Q470" s="11" t="n">
        <v>0.3123780773279128</v>
      </c>
      <c r="R470" s="11" t="n">
        <v>0</v>
      </c>
      <c r="S470" s="11" t="n">
        <v>11.77979580067432</v>
      </c>
      <c r="T470" s="11" t="n">
        <v>7.655465546820087</v>
      </c>
      <c r="U470" s="11" t="n">
        <v>0.92</v>
      </c>
      <c r="V470" s="11" t="n">
        <v>3.860339704932666</v>
      </c>
      <c r="W470" s="12" t="n">
        <v>65.22668600082397</v>
      </c>
    </row>
    <row r="471">
      <c r="A471" s="4" t="n">
        <v>470</v>
      </c>
      <c r="B471" s="4" t="inlineStr">
        <is>
          <t>compression_set_pct</t>
        </is>
      </c>
      <c r="C471" s="4" t="inlineStr">
        <is>
          <t>Exp2_BO</t>
        </is>
      </c>
      <c r="D471" s="4" t="n">
        <v>1</v>
      </c>
      <c r="E471" s="4" t="n">
        <v>7</v>
      </c>
      <c r="F471" s="4" t="inlineStr">
        <is>
          <t>GP</t>
        </is>
      </c>
      <c r="G471" s="4" t="inlineStr">
        <is>
          <t>matern12</t>
        </is>
      </c>
      <c r="H471" s="4" t="b">
        <v>0</v>
      </c>
      <c r="I471" s="4" t="b">
        <v>1</v>
      </c>
      <c r="J471" s="4" t="inlineStr">
        <is>
          <t>std</t>
        </is>
      </c>
      <c r="K471" s="4" t="inlineStr">
        <is>
          <t>none</t>
        </is>
      </c>
      <c r="L471" s="4" t="inlineStr">
        <is>
          <t>compact</t>
        </is>
      </c>
      <c r="M471" s="11" t="n">
        <v>0.0189917630430187</v>
      </c>
      <c r="N471" s="11" t="n">
        <v>-1.467333346600401</v>
      </c>
      <c r="O471" s="11" t="n">
        <v>-2.987879169191288</v>
      </c>
      <c r="P471" s="4" t="n">
        <v>1</v>
      </c>
      <c r="Q471" s="11" t="n">
        <v>0.3159392474043447</v>
      </c>
      <c r="R471" s="11" t="n">
        <v>0</v>
      </c>
      <c r="S471" s="11" t="n">
        <v>11.74925262698974</v>
      </c>
      <c r="T471" s="11" t="n">
        <v>7.624623999997325</v>
      </c>
      <c r="U471" s="11" t="n">
        <v>0.9399999999999999</v>
      </c>
      <c r="V471" s="11" t="n">
        <v>3.906579025130595</v>
      </c>
      <c r="W471" s="12" t="n">
        <v>6.00641131401062</v>
      </c>
    </row>
    <row r="472">
      <c r="A472" s="4" t="n">
        <v>471</v>
      </c>
      <c r="B472" s="4" t="inlineStr">
        <is>
          <t>compression_set_pct</t>
        </is>
      </c>
      <c r="C472" s="4" t="inlineStr">
        <is>
          <t>Exp2_BO</t>
        </is>
      </c>
      <c r="D472" s="4" t="n">
        <v>1</v>
      </c>
      <c r="E472" s="4" t="n">
        <v>8</v>
      </c>
      <c r="F472" s="4" t="inlineStr">
        <is>
          <t>GP</t>
        </is>
      </c>
      <c r="G472" s="4" t="inlineStr">
        <is>
          <t>rbf</t>
        </is>
      </c>
      <c r="H472" s="4" t="b">
        <v>0</v>
      </c>
      <c r="I472" s="4" t="b">
        <v>0</v>
      </c>
      <c r="J472" s="4" t="inlineStr">
        <is>
          <t>log1p</t>
        </is>
      </c>
      <c r="K472" s="4" t="inlineStr">
        <is>
          <t>log</t>
        </is>
      </c>
      <c r="L472" s="4" t="inlineStr">
        <is>
          <t>full_agg</t>
        </is>
      </c>
      <c r="M472" s="11" t="n">
        <v>0.4684556180070023</v>
      </c>
      <c r="N472" s="11" t="n">
        <v>-2.781112837013123</v>
      </c>
      <c r="O472" s="11" t="n">
        <v>-5.459089658040108</v>
      </c>
      <c r="P472" s="4" t="n">
        <v>1</v>
      </c>
      <c r="Q472" s="11" t="n">
        <v>0.0915240123008928</v>
      </c>
      <c r="R472" s="11" t="n">
        <v>0</v>
      </c>
      <c r="S472" s="11" t="n">
        <v>13.54003014855127</v>
      </c>
      <c r="T472" s="11" t="n">
        <v>9.35717812518226</v>
      </c>
      <c r="U472" s="11" t="n">
        <v>0.925</v>
      </c>
      <c r="V472" s="11" t="n">
        <v>4.012793208611833</v>
      </c>
      <c r="W472" s="12" t="n">
        <v>1.670369625091553</v>
      </c>
    </row>
    <row r="473">
      <c r="A473" s="4" t="n">
        <v>472</v>
      </c>
      <c r="B473" s="4" t="inlineStr">
        <is>
          <t>compression_set_pct</t>
        </is>
      </c>
      <c r="C473" s="4" t="inlineStr">
        <is>
          <t>Exp2_BO</t>
        </is>
      </c>
      <c r="D473" s="4" t="n">
        <v>1</v>
      </c>
      <c r="E473" s="4" t="n">
        <v>9</v>
      </c>
      <c r="F473" s="4" t="inlineStr">
        <is>
          <t>GP</t>
        </is>
      </c>
      <c r="G473" s="4" t="inlineStr">
        <is>
          <t>rbf</t>
        </is>
      </c>
      <c r="H473" s="4" t="b">
        <v>0</v>
      </c>
      <c r="I473" s="4" t="b">
        <v>1</v>
      </c>
      <c r="J473" s="4" t="inlineStr">
        <is>
          <t>std</t>
        </is>
      </c>
      <c r="K473" s="4" t="inlineStr">
        <is>
          <t>none</t>
        </is>
      </c>
      <c r="L473" s="4" t="inlineStr">
        <is>
          <t>full_cure6</t>
        </is>
      </c>
      <c r="M473" s="11" t="n">
        <v>0.7978516070768131</v>
      </c>
      <c r="N473" s="11" t="n">
        <v>-0.2734663958390406</v>
      </c>
      <c r="O473" s="11" t="n">
        <v>-2.33923931924494</v>
      </c>
      <c r="P473" s="4" t="n">
        <v>1</v>
      </c>
      <c r="Q473" s="11" t="n">
        <v>0.2891025743966503</v>
      </c>
      <c r="R473" s="11" t="n">
        <v>0</v>
      </c>
      <c r="S473" s="11" t="n">
        <v>11.97750541085332</v>
      </c>
      <c r="T473" s="11" t="n">
        <v>7.814879449203369</v>
      </c>
      <c r="U473" s="11" t="n">
        <v>0.93</v>
      </c>
      <c r="V473" s="11" t="n">
        <v>3.929991822584774</v>
      </c>
      <c r="W473" s="12" t="n">
        <v>4.806876182556152</v>
      </c>
    </row>
    <row r="474">
      <c r="A474" s="4" t="n">
        <v>473</v>
      </c>
      <c r="B474" s="4" t="inlineStr">
        <is>
          <t>compression_set_pct</t>
        </is>
      </c>
      <c r="C474" s="4" t="inlineStr">
        <is>
          <t>Exp2_BO</t>
        </is>
      </c>
      <c r="D474" s="4" t="n">
        <v>1</v>
      </c>
      <c r="E474" s="4" t="n">
        <v>10</v>
      </c>
      <c r="F474" s="4" t="inlineStr">
        <is>
          <t>GP</t>
        </is>
      </c>
      <c r="G474" s="4" t="inlineStr">
        <is>
          <t>rq</t>
        </is>
      </c>
      <c r="H474" s="4" t="b">
        <v>1</v>
      </c>
      <c r="I474" s="4" t="b">
        <v>0</v>
      </c>
      <c r="J474" s="4" t="inlineStr">
        <is>
          <t>std</t>
        </is>
      </c>
      <c r="K474" s="4" t="inlineStr">
        <is>
          <t>none</t>
        </is>
      </c>
      <c r="L474" s="4" t="inlineStr">
        <is>
          <t>full</t>
        </is>
      </c>
      <c r="M474" s="11" t="n">
        <v>0.1769085307826883</v>
      </c>
      <c r="N474" s="11" t="n">
        <v>-0.8748118565603065</v>
      </c>
      <c r="O474" s="11" t="n">
        <v>-5.947897743485637</v>
      </c>
      <c r="P474" s="4" t="n">
        <v>1</v>
      </c>
      <c r="Q474" s="11" t="n">
        <v>0.2941901442546218</v>
      </c>
      <c r="R474" s="11" t="n">
        <v>0</v>
      </c>
      <c r="S474" s="11" t="n">
        <v>11.9345696730826</v>
      </c>
      <c r="T474" s="11" t="n">
        <v>7.848281190582196</v>
      </c>
      <c r="U474" s="11" t="n">
        <v>0.9399999999999999</v>
      </c>
      <c r="V474" s="11" t="n">
        <v>3.920906809316135</v>
      </c>
      <c r="W474" s="12" t="n">
        <v>3.870834827423096</v>
      </c>
    </row>
    <row r="475">
      <c r="A475" s="4" t="n">
        <v>474</v>
      </c>
      <c r="B475" s="4" t="inlineStr">
        <is>
          <t>compression_set_pct</t>
        </is>
      </c>
      <c r="C475" s="4" t="inlineStr">
        <is>
          <t>Exp2_BO</t>
        </is>
      </c>
      <c r="D475" s="4" t="n">
        <v>1</v>
      </c>
      <c r="E475" s="4" t="n">
        <v>11</v>
      </c>
      <c r="F475" s="4" t="inlineStr">
        <is>
          <t>GP</t>
        </is>
      </c>
      <c r="G475" s="4" t="inlineStr">
        <is>
          <t>matern52</t>
        </is>
      </c>
      <c r="H475" s="4" t="b">
        <v>1</v>
      </c>
      <c r="I475" s="4" t="b">
        <v>0</v>
      </c>
      <c r="J475" s="4" t="inlineStr">
        <is>
          <t>log1p</t>
        </is>
      </c>
      <c r="K475" s="4" t="inlineStr">
        <is>
          <t>log</t>
        </is>
      </c>
      <c r="L475" s="4" t="inlineStr">
        <is>
          <t>full</t>
        </is>
      </c>
      <c r="M475" s="11" t="n">
        <v>-0.6797680335622733</v>
      </c>
      <c r="N475" s="11" t="n">
        <v>-1.087849124020908</v>
      </c>
      <c r="O475" s="11" t="n">
        <v>-2.519028836219338</v>
      </c>
      <c r="P475" s="4" t="n">
        <v>1</v>
      </c>
      <c r="Q475" s="11" t="n">
        <v>0.3683586918409987</v>
      </c>
      <c r="R475" s="11" t="n">
        <v>0</v>
      </c>
      <c r="S475" s="11" t="n">
        <v>11.29010983964159</v>
      </c>
      <c r="T475" s="11" t="n">
        <v>7.439704107557085</v>
      </c>
      <c r="U475" s="11" t="n">
        <v>0.915</v>
      </c>
      <c r="V475" s="11" t="n">
        <v>3.797566630563005</v>
      </c>
      <c r="W475" s="12" t="n">
        <v>55.4124710559845</v>
      </c>
    </row>
    <row r="476">
      <c r="A476" s="4" t="n">
        <v>475</v>
      </c>
      <c r="B476" s="4" t="inlineStr">
        <is>
          <t>compression_set_pct</t>
        </is>
      </c>
      <c r="C476" s="4" t="inlineStr">
        <is>
          <t>Exp2_BO</t>
        </is>
      </c>
      <c r="D476" s="4" t="n">
        <v>1</v>
      </c>
      <c r="E476" s="4" t="n">
        <v>12</v>
      </c>
      <c r="F476" s="4" t="inlineStr">
        <is>
          <t>GP</t>
        </is>
      </c>
      <c r="G476" s="4" t="inlineStr">
        <is>
          <t>matern32</t>
        </is>
      </c>
      <c r="H476" s="4" t="b">
        <v>1</v>
      </c>
      <c r="I476" s="4" t="b">
        <v>0</v>
      </c>
      <c r="J476" s="4" t="inlineStr">
        <is>
          <t>log1p</t>
        </is>
      </c>
      <c r="K476" s="4" t="inlineStr">
        <is>
          <t>none</t>
        </is>
      </c>
      <c r="L476" s="4" t="inlineStr">
        <is>
          <t>full_cure6</t>
        </is>
      </c>
      <c r="M476" s="11" t="n">
        <v>0.2991242855761264</v>
      </c>
      <c r="N476" s="11" t="n">
        <v>-2.705248331225938</v>
      </c>
      <c r="O476" s="11" t="n">
        <v>-3.104082152025712</v>
      </c>
      <c r="P476" s="4" t="n">
        <v>1</v>
      </c>
      <c r="Q476" s="11" t="n">
        <v>0.2581006449163775</v>
      </c>
      <c r="R476" s="11" t="n">
        <v>0</v>
      </c>
      <c r="S476" s="11" t="n">
        <v>12.23588542743881</v>
      </c>
      <c r="T476" s="11" t="n">
        <v>7.773128790814158</v>
      </c>
      <c r="U476" s="11" t="n">
        <v>0.905</v>
      </c>
      <c r="V476" s="11" t="n">
        <v>4.030322112797378</v>
      </c>
      <c r="W476" s="12" t="n">
        <v>68.94467711448669</v>
      </c>
    </row>
    <row r="477">
      <c r="A477" s="4" t="n">
        <v>476</v>
      </c>
      <c r="B477" s="4" t="inlineStr">
        <is>
          <t>compression_set_pct</t>
        </is>
      </c>
      <c r="C477" s="4" t="inlineStr">
        <is>
          <t>Exp2_BO</t>
        </is>
      </c>
      <c r="D477" s="4" t="n">
        <v>1</v>
      </c>
      <c r="E477" s="4" t="n">
        <v>13</v>
      </c>
      <c r="F477" s="4" t="inlineStr">
        <is>
          <t>GP</t>
        </is>
      </c>
      <c r="G477" s="4" t="inlineStr">
        <is>
          <t>matern52</t>
        </is>
      </c>
      <c r="H477" s="4" t="b">
        <v>1</v>
      </c>
      <c r="I477" s="4" t="b">
        <v>1</v>
      </c>
      <c r="J477" s="4" t="inlineStr">
        <is>
          <t>std</t>
        </is>
      </c>
      <c r="K477" s="4" t="inlineStr">
        <is>
          <t>log</t>
        </is>
      </c>
      <c r="L477" s="4" t="inlineStr">
        <is>
          <t>compact</t>
        </is>
      </c>
      <c r="M477" s="11" t="n">
        <v>0.9431186882608036</v>
      </c>
      <c r="N477" s="11" t="n">
        <v>-2.990154364327658</v>
      </c>
      <c r="O477" s="11" t="n">
        <v>-5.57317242649131</v>
      </c>
      <c r="P477" s="4" t="n">
        <v>1</v>
      </c>
      <c r="Q477" s="11" t="n">
        <v>0.2597206524147368</v>
      </c>
      <c r="R477" s="11" t="n">
        <v>0</v>
      </c>
      <c r="S477" s="11" t="n">
        <v>12.22251901947322</v>
      </c>
      <c r="T477" s="11" t="n">
        <v>7.54935850747014</v>
      </c>
      <c r="U477" s="11" t="n">
        <v>0.91</v>
      </c>
      <c r="V477" s="11" t="n">
        <v>4.384029140938254</v>
      </c>
      <c r="W477" s="12" t="n">
        <v>47.96431946754456</v>
      </c>
    </row>
    <row r="478">
      <c r="A478" s="4" t="n">
        <v>477</v>
      </c>
      <c r="B478" s="4" t="inlineStr">
        <is>
          <t>compression_set_pct</t>
        </is>
      </c>
      <c r="C478" s="4" t="inlineStr">
        <is>
          <t>Exp2_BO</t>
        </is>
      </c>
      <c r="D478" s="4" t="n">
        <v>1</v>
      </c>
      <c r="E478" s="4" t="n">
        <v>14</v>
      </c>
      <c r="F478" s="4" t="inlineStr">
        <is>
          <t>GP</t>
        </is>
      </c>
      <c r="G478" s="4" t="inlineStr">
        <is>
          <t>rbf</t>
        </is>
      </c>
      <c r="H478" s="4" t="b">
        <v>1</v>
      </c>
      <c r="I478" s="4" t="b">
        <v>0</v>
      </c>
      <c r="J478" s="4" t="inlineStr">
        <is>
          <t>std</t>
        </is>
      </c>
      <c r="K478" s="4" t="inlineStr">
        <is>
          <t>none</t>
        </is>
      </c>
      <c r="L478" s="4" t="inlineStr">
        <is>
          <t>full_cure6</t>
        </is>
      </c>
      <c r="M478" s="11" t="n">
        <v>-0.0633618201402625</v>
      </c>
      <c r="N478" s="11" t="n">
        <v>-1.851800937251926</v>
      </c>
      <c r="O478" s="11" t="n">
        <v>-2.32688853001883</v>
      </c>
      <c r="P478" s="4" t="n">
        <v>1</v>
      </c>
      <c r="Q478" s="11" t="n">
        <v>0.2025143283569028</v>
      </c>
      <c r="R478" s="11" t="n">
        <v>0</v>
      </c>
      <c r="S478" s="11" t="n">
        <v>12.68598955262013</v>
      </c>
      <c r="T478" s="11" t="n">
        <v>8.132606443705493</v>
      </c>
      <c r="U478" s="11" t="n">
        <v>0.875</v>
      </c>
      <c r="V478" s="11" t="n">
        <v>4.077765925668027</v>
      </c>
      <c r="W478" s="12" t="n">
        <v>43.78225255012512</v>
      </c>
    </row>
    <row r="479">
      <c r="A479" s="4" t="n">
        <v>478</v>
      </c>
      <c r="B479" s="4" t="inlineStr">
        <is>
          <t>compression_set_pct</t>
        </is>
      </c>
      <c r="C479" s="4" t="inlineStr">
        <is>
          <t>Exp2_BO</t>
        </is>
      </c>
      <c r="D479" s="4" t="n">
        <v>1</v>
      </c>
      <c r="E479" s="4" t="n">
        <v>15</v>
      </c>
      <c r="F479" s="4" t="inlineStr">
        <is>
          <t>GP</t>
        </is>
      </c>
      <c r="G479" s="4" t="inlineStr">
        <is>
          <t>matern12</t>
        </is>
      </c>
      <c r="H479" s="4" t="b">
        <v>1</v>
      </c>
      <c r="I479" s="4" t="b">
        <v>0</v>
      </c>
      <c r="J479" s="4" t="inlineStr">
        <is>
          <t>std</t>
        </is>
      </c>
      <c r="K479" s="4" t="inlineStr">
        <is>
          <t>none</t>
        </is>
      </c>
      <c r="L479" s="4" t="inlineStr">
        <is>
          <t>compact</t>
        </is>
      </c>
      <c r="M479" s="11" t="n">
        <v>0.8628664447870718</v>
      </c>
      <c r="N479" s="11" t="n">
        <v>-0.9973235506522676</v>
      </c>
      <c r="O479" s="11" t="n">
        <v>-2.022255760224278</v>
      </c>
      <c r="P479" s="4" t="n">
        <v>1</v>
      </c>
      <c r="Q479" s="11" t="n">
        <v>0.2357942896688483</v>
      </c>
      <c r="R479" s="11" t="n">
        <v>0</v>
      </c>
      <c r="S479" s="11" t="n">
        <v>12.41846861972622</v>
      </c>
      <c r="T479" s="11" t="n">
        <v>7.923023178055381</v>
      </c>
      <c r="U479" s="11" t="n">
        <v>0.91</v>
      </c>
      <c r="V479" s="11" t="n">
        <v>3.95311206850306</v>
      </c>
      <c r="W479" s="12" t="n">
        <v>38.71872782707214</v>
      </c>
    </row>
    <row r="480">
      <c r="A480" s="4" t="n">
        <v>479</v>
      </c>
      <c r="B480" s="4" t="inlineStr">
        <is>
          <t>compression_set_pct</t>
        </is>
      </c>
      <c r="C480" s="4" t="inlineStr">
        <is>
          <t>Exp2_BO</t>
        </is>
      </c>
      <c r="D480" s="4" t="n">
        <v>1</v>
      </c>
      <c r="E480" s="4" t="n">
        <v>16</v>
      </c>
      <c r="F480" s="4" t="inlineStr">
        <is>
          <t>GP</t>
        </is>
      </c>
      <c r="G480" s="4" t="inlineStr">
        <is>
          <t>matern52</t>
        </is>
      </c>
      <c r="H480" s="4" t="b">
        <v>0</v>
      </c>
      <c r="I480" s="4" t="b">
        <v>0</v>
      </c>
      <c r="J480" s="4" t="inlineStr">
        <is>
          <t>std</t>
        </is>
      </c>
      <c r="K480" s="4" t="inlineStr">
        <is>
          <t>log</t>
        </is>
      </c>
      <c r="L480" s="4" t="inlineStr">
        <is>
          <t>compact</t>
        </is>
      </c>
      <c r="M480" s="11" t="n">
        <v>0.5847693879156286</v>
      </c>
      <c r="N480" s="11" t="n">
        <v>-2.995234328819002</v>
      </c>
      <c r="O480" s="11" t="n">
        <v>-5.311146743698846</v>
      </c>
      <c r="P480" s="4" t="n">
        <v>1</v>
      </c>
      <c r="Q480" s="11" t="n">
        <v>0.2657795353171583</v>
      </c>
      <c r="R480" s="11" t="n">
        <v>0</v>
      </c>
      <c r="S480" s="11" t="n">
        <v>12.1723981008607</v>
      </c>
      <c r="T480" s="11" t="n">
        <v>7.87260318883551</v>
      </c>
      <c r="U480" s="11" t="n">
        <v>0.905</v>
      </c>
      <c r="V480" s="11" t="n">
        <v>4.117948151678672</v>
      </c>
      <c r="W480" s="12" t="n">
        <v>2.542123794555664</v>
      </c>
    </row>
    <row r="481">
      <c r="A481" s="4" t="n">
        <v>480</v>
      </c>
      <c r="B481" s="4" t="inlineStr">
        <is>
          <t>compression_set_pct</t>
        </is>
      </c>
      <c r="C481" s="4" t="inlineStr">
        <is>
          <t>Exp2_BO</t>
        </is>
      </c>
      <c r="D481" s="4" t="n">
        <v>1</v>
      </c>
      <c r="E481" s="4" t="n">
        <v>17</v>
      </c>
      <c r="F481" s="4" t="inlineStr">
        <is>
          <t>GP</t>
        </is>
      </c>
      <c r="G481" s="4" t="inlineStr">
        <is>
          <t>rq</t>
        </is>
      </c>
      <c r="H481" s="4" t="b">
        <v>0</v>
      </c>
      <c r="I481" s="4" t="b">
        <v>0</v>
      </c>
      <c r="J481" s="4" t="inlineStr">
        <is>
          <t>std</t>
        </is>
      </c>
      <c r="K481" s="4" t="inlineStr">
        <is>
          <t>log</t>
        </is>
      </c>
      <c r="L481" s="4" t="inlineStr">
        <is>
          <t>full_cure6</t>
        </is>
      </c>
      <c r="M481" s="11" t="n">
        <v>-0.5337343830878374</v>
      </c>
      <c r="N481" s="11" t="n">
        <v>-0.3331143573361164</v>
      </c>
      <c r="O481" s="11" t="n">
        <v>-2.02147137169306</v>
      </c>
      <c r="P481" s="4" t="n">
        <v>1</v>
      </c>
      <c r="Q481" s="11" t="n">
        <v>0.2747204194926957</v>
      </c>
      <c r="R481" s="11" t="n">
        <v>0</v>
      </c>
      <c r="S481" s="11" t="n">
        <v>12.09805710801917</v>
      </c>
      <c r="T481" s="11" t="n">
        <v>7.678531720594058</v>
      </c>
      <c r="U481" s="11" t="n">
        <v>0.915</v>
      </c>
      <c r="V481" s="11" t="n">
        <v>4.024202962669119</v>
      </c>
      <c r="W481" s="12" t="n">
        <v>3.664832830429077</v>
      </c>
    </row>
    <row r="482">
      <c r="A482" s="4" t="n">
        <v>481</v>
      </c>
      <c r="B482" s="4" t="inlineStr">
        <is>
          <t>compression_set_pct</t>
        </is>
      </c>
      <c r="C482" s="4" t="inlineStr">
        <is>
          <t>Exp2_BO</t>
        </is>
      </c>
      <c r="D482" s="4" t="n">
        <v>1</v>
      </c>
      <c r="E482" s="4" t="n">
        <v>18</v>
      </c>
      <c r="F482" s="4" t="inlineStr">
        <is>
          <t>GP</t>
        </is>
      </c>
      <c r="G482" s="4" t="inlineStr">
        <is>
          <t>matern32</t>
        </is>
      </c>
      <c r="H482" s="4" t="b">
        <v>0</v>
      </c>
      <c r="I482" s="4" t="b">
        <v>0</v>
      </c>
      <c r="J482" s="4" t="inlineStr">
        <is>
          <t>std</t>
        </is>
      </c>
      <c r="K482" s="4" t="inlineStr">
        <is>
          <t>log</t>
        </is>
      </c>
      <c r="L482" s="4" t="inlineStr">
        <is>
          <t>full_agg</t>
        </is>
      </c>
      <c r="M482" s="11" t="n">
        <v>-0.9875567861848312</v>
      </c>
      <c r="N482" s="11" t="n">
        <v>-1.040823000770555</v>
      </c>
      <c r="O482" s="11" t="n">
        <v>-3.207517144514252</v>
      </c>
      <c r="P482" s="4" t="n">
        <v>1</v>
      </c>
      <c r="Q482" s="11" t="n">
        <v>0.3049496000788806</v>
      </c>
      <c r="R482" s="11" t="n">
        <v>0</v>
      </c>
      <c r="S482" s="11" t="n">
        <v>11.84325427651948</v>
      </c>
      <c r="T482" s="11" t="n">
        <v>7.547583136642195</v>
      </c>
      <c r="U482" s="11" t="n">
        <v>0.93</v>
      </c>
      <c r="V482" s="11" t="n">
        <v>4.145380114818184</v>
      </c>
      <c r="W482" s="12" t="n">
        <v>2.319341659545898</v>
      </c>
    </row>
    <row r="483">
      <c r="A483" s="4" t="n">
        <v>482</v>
      </c>
      <c r="B483" s="4" t="inlineStr">
        <is>
          <t>compression_set_pct</t>
        </is>
      </c>
      <c r="C483" s="4" t="inlineStr">
        <is>
          <t>Exp2_BO</t>
        </is>
      </c>
      <c r="D483" s="4" t="n">
        <v>1</v>
      </c>
      <c r="E483" s="4" t="n">
        <v>19</v>
      </c>
      <c r="F483" s="4" t="inlineStr">
        <is>
          <t>GP</t>
        </is>
      </c>
      <c r="G483" s="4" t="inlineStr">
        <is>
          <t>matern32</t>
        </is>
      </c>
      <c r="H483" s="4" t="b">
        <v>0</v>
      </c>
      <c r="I483" s="4" t="b">
        <v>1</v>
      </c>
      <c r="J483" s="4" t="inlineStr">
        <is>
          <t>std</t>
        </is>
      </c>
      <c r="K483" s="4" t="inlineStr">
        <is>
          <t>log</t>
        </is>
      </c>
      <c r="L483" s="4" t="inlineStr">
        <is>
          <t>full_cure6</t>
        </is>
      </c>
      <c r="M483" s="11" t="n">
        <v>-0.1338620142285436</v>
      </c>
      <c r="N483" s="11" t="n">
        <v>-0.0153525303262576</v>
      </c>
      <c r="O483" s="11" t="n">
        <v>-4.338962649724633</v>
      </c>
      <c r="P483" s="4" t="n">
        <v>1</v>
      </c>
      <c r="Q483" s="11" t="n">
        <v>0.2976435045412515</v>
      </c>
      <c r="R483" s="11" t="n">
        <v>0</v>
      </c>
      <c r="S483" s="11" t="n">
        <v>11.9053373626005</v>
      </c>
      <c r="T483" s="11" t="n">
        <v>7.484239451457499</v>
      </c>
      <c r="U483" s="11" t="n">
        <v>0.925</v>
      </c>
      <c r="V483" s="11" t="n">
        <v>4.021433089530536</v>
      </c>
      <c r="W483" s="12" t="n">
        <v>4.967272996902466</v>
      </c>
    </row>
    <row r="484">
      <c r="A484" s="4" t="n">
        <v>483</v>
      </c>
      <c r="B484" s="4" t="inlineStr">
        <is>
          <t>compression_set_pct</t>
        </is>
      </c>
      <c r="C484" s="4" t="inlineStr">
        <is>
          <t>Exp2_BO</t>
        </is>
      </c>
      <c r="D484" s="4" t="n">
        <v>1</v>
      </c>
      <c r="E484" s="4" t="n">
        <v>20</v>
      </c>
      <c r="F484" s="4" t="inlineStr">
        <is>
          <t>GP</t>
        </is>
      </c>
      <c r="G484" s="4" t="inlineStr">
        <is>
          <t>rbf</t>
        </is>
      </c>
      <c r="H484" s="4" t="b">
        <v>0</v>
      </c>
      <c r="I484" s="4" t="b">
        <v>1</v>
      </c>
      <c r="J484" s="4" t="inlineStr">
        <is>
          <t>log1p</t>
        </is>
      </c>
      <c r="K484" s="4" t="inlineStr">
        <is>
          <t>log</t>
        </is>
      </c>
      <c r="L484" s="4" t="inlineStr">
        <is>
          <t>compact</t>
        </is>
      </c>
      <c r="M484" s="11" t="n">
        <v>0.9778582864222792</v>
      </c>
      <c r="N484" s="11" t="n">
        <v>-2.766563616519082</v>
      </c>
      <c r="O484" s="11" t="n">
        <v>-5.908440642345108</v>
      </c>
      <c r="P484" s="4" t="n">
        <v>1</v>
      </c>
      <c r="Q484" s="11" t="n">
        <v>0.3534428135916981</v>
      </c>
      <c r="R484" s="11" t="n">
        <v>0</v>
      </c>
      <c r="S484" s="11" t="n">
        <v>11.42263702639889</v>
      </c>
      <c r="T484" s="11" t="n">
        <v>7.154051378569997</v>
      </c>
      <c r="U484" s="11" t="n">
        <v>0.925</v>
      </c>
      <c r="V484" s="11" t="n">
        <v>4.087706933631272</v>
      </c>
      <c r="W484" s="12" t="n">
        <v>5.366026401519775</v>
      </c>
    </row>
    <row r="485">
      <c r="A485" s="4" t="n">
        <v>484</v>
      </c>
      <c r="B485" s="4" t="inlineStr">
        <is>
          <t>compression_set_pct</t>
        </is>
      </c>
      <c r="C485" s="4" t="inlineStr">
        <is>
          <t>Exp2_BO</t>
        </is>
      </c>
      <c r="D485" s="4" t="n">
        <v>1</v>
      </c>
      <c r="E485" s="4" t="n">
        <v>21</v>
      </c>
      <c r="F485" s="4" t="inlineStr">
        <is>
          <t>GP</t>
        </is>
      </c>
      <c r="G485" s="4" t="inlineStr">
        <is>
          <t>matern52</t>
        </is>
      </c>
      <c r="H485" s="4" t="b">
        <v>0</v>
      </c>
      <c r="I485" s="4" t="b">
        <v>0</v>
      </c>
      <c r="J485" s="4" t="inlineStr">
        <is>
          <t>std</t>
        </is>
      </c>
      <c r="K485" s="4" t="inlineStr">
        <is>
          <t>none</t>
        </is>
      </c>
      <c r="L485" s="4" t="inlineStr">
        <is>
          <t>full</t>
        </is>
      </c>
      <c r="M485" s="11" t="n">
        <v>0.3828366838824062</v>
      </c>
      <c r="N485" s="11" t="n">
        <v>-2.466878915058384</v>
      </c>
      <c r="O485" s="11" t="n">
        <v>-5.053465133266267</v>
      </c>
      <c r="P485" s="4" t="n">
        <v>1</v>
      </c>
      <c r="Q485" s="11" t="n">
        <v>0.2972595172649072</v>
      </c>
      <c r="R485" s="11" t="n">
        <v>0</v>
      </c>
      <c r="S485" s="11" t="n">
        <v>11.90859131799495</v>
      </c>
      <c r="T485" s="11" t="n">
        <v>7.811528987535741</v>
      </c>
      <c r="U485" s="11" t="n">
        <v>0.9399999999999999</v>
      </c>
      <c r="V485" s="11" t="n">
        <v>3.91874437039086</v>
      </c>
      <c r="W485" s="12" t="n">
        <v>2.798281192779541</v>
      </c>
    </row>
    <row r="486">
      <c r="A486" s="4" t="n">
        <v>485</v>
      </c>
      <c r="B486" s="4" t="inlineStr">
        <is>
          <t>compression_set_pct</t>
        </is>
      </c>
      <c r="C486" s="4" t="inlineStr">
        <is>
          <t>Exp2_BO</t>
        </is>
      </c>
      <c r="D486" s="4" t="n">
        <v>1</v>
      </c>
      <c r="E486" s="4" t="n">
        <v>22</v>
      </c>
      <c r="F486" s="4" t="inlineStr">
        <is>
          <t>GP</t>
        </is>
      </c>
      <c r="G486" s="4" t="inlineStr">
        <is>
          <t>rbf</t>
        </is>
      </c>
      <c r="H486" s="4" t="b">
        <v>1</v>
      </c>
      <c r="I486" s="4" t="b">
        <v>1</v>
      </c>
      <c r="J486" s="4" t="inlineStr">
        <is>
          <t>std</t>
        </is>
      </c>
      <c r="K486" s="4" t="inlineStr">
        <is>
          <t>log</t>
        </is>
      </c>
      <c r="L486" s="4" t="inlineStr">
        <is>
          <t>full</t>
        </is>
      </c>
      <c r="M486" s="11" t="n">
        <v>0.8724183322369774</v>
      </c>
      <c r="N486" s="11" t="n">
        <v>-0.3657525988878776</v>
      </c>
      <c r="O486" s="11" t="n">
        <v>-5.976185935346274</v>
      </c>
      <c r="P486" s="4" t="n">
        <v>1</v>
      </c>
      <c r="Q486" s="11" t="n">
        <v>0.251314267059025</v>
      </c>
      <c r="R486" s="11" t="n">
        <v>0</v>
      </c>
      <c r="S486" s="11" t="n">
        <v>12.29172070550292</v>
      </c>
      <c r="T486" s="11" t="n">
        <v>8.03925504290776</v>
      </c>
      <c r="U486" s="11" t="n">
        <v>0.905</v>
      </c>
      <c r="V486" s="11" t="n">
        <v>4.379205092077245</v>
      </c>
      <c r="W486" s="12" t="n">
        <v>49.70630788803101</v>
      </c>
    </row>
    <row r="487">
      <c r="A487" s="4" t="n">
        <v>486</v>
      </c>
      <c r="B487" s="4" t="inlineStr">
        <is>
          <t>compression_set_pct</t>
        </is>
      </c>
      <c r="C487" s="4" t="inlineStr">
        <is>
          <t>Exp2_BO</t>
        </is>
      </c>
      <c r="D487" s="4" t="n">
        <v>1</v>
      </c>
      <c r="E487" s="4" t="n">
        <v>23</v>
      </c>
      <c r="F487" s="4" t="inlineStr">
        <is>
          <t>GP</t>
        </is>
      </c>
      <c r="G487" s="4" t="inlineStr">
        <is>
          <t>matern52</t>
        </is>
      </c>
      <c r="H487" s="4" t="b">
        <v>0</v>
      </c>
      <c r="I487" s="4" t="b">
        <v>1</v>
      </c>
      <c r="J487" s="4" t="inlineStr">
        <is>
          <t>std</t>
        </is>
      </c>
      <c r="K487" s="4" t="inlineStr">
        <is>
          <t>log</t>
        </is>
      </c>
      <c r="L487" s="4" t="inlineStr">
        <is>
          <t>full</t>
        </is>
      </c>
      <c r="M487" s="11" t="n">
        <v>-0.048228489013895</v>
      </c>
      <c r="N487" s="11" t="n">
        <v>-2.668721200243504</v>
      </c>
      <c r="O487" s="11" t="n">
        <v>-5.907615612095144</v>
      </c>
      <c r="P487" s="4" t="n">
        <v>1</v>
      </c>
      <c r="Q487" s="11" t="n">
        <v>0.3151898152337318</v>
      </c>
      <c r="R487" s="11" t="n">
        <v>0</v>
      </c>
      <c r="S487" s="11" t="n">
        <v>11.75568689288132</v>
      </c>
      <c r="T487" s="11" t="n">
        <v>7.373497548286557</v>
      </c>
      <c r="U487" s="11" t="n">
        <v>0.925</v>
      </c>
      <c r="V487" s="11" t="n">
        <v>4.112902917072978</v>
      </c>
      <c r="W487" s="12" t="n">
        <v>4.87511157989502</v>
      </c>
    </row>
    <row r="488">
      <c r="A488" s="4" t="n">
        <v>487</v>
      </c>
      <c r="B488" s="4" t="inlineStr">
        <is>
          <t>compression_set_pct</t>
        </is>
      </c>
      <c r="C488" s="4" t="inlineStr">
        <is>
          <t>Exp2_BO</t>
        </is>
      </c>
      <c r="D488" s="4" t="n">
        <v>1</v>
      </c>
      <c r="E488" s="4" t="n">
        <v>24</v>
      </c>
      <c r="F488" s="4" t="inlineStr">
        <is>
          <t>GP</t>
        </is>
      </c>
      <c r="G488" s="4" t="inlineStr">
        <is>
          <t>matern52</t>
        </is>
      </c>
      <c r="H488" s="4" t="b">
        <v>0</v>
      </c>
      <c r="I488" s="4" t="b">
        <v>0</v>
      </c>
      <c r="J488" s="4" t="inlineStr">
        <is>
          <t>log1p</t>
        </is>
      </c>
      <c r="K488" s="4" t="inlineStr">
        <is>
          <t>none</t>
        </is>
      </c>
      <c r="L488" s="4" t="inlineStr">
        <is>
          <t>full</t>
        </is>
      </c>
      <c r="M488" s="11" t="n">
        <v>-0.9488533213610502</v>
      </c>
      <c r="N488" s="11" t="n">
        <v>-0.0192958393802076</v>
      </c>
      <c r="O488" s="11" t="n">
        <v>-5.714213721875712</v>
      </c>
      <c r="P488" s="4" t="n">
        <v>1</v>
      </c>
      <c r="Q488" s="11" t="n">
        <v>0.3381679791416883</v>
      </c>
      <c r="R488" s="11" t="n">
        <v>0</v>
      </c>
      <c r="S488" s="11" t="n">
        <v>11.55677858311366</v>
      </c>
      <c r="T488" s="11" t="n">
        <v>7.487328690913017</v>
      </c>
      <c r="U488" s="11" t="n">
        <v>0.9350000000000001</v>
      </c>
      <c r="V488" s="11" t="n">
        <v>3.88808817781937</v>
      </c>
      <c r="W488" s="12" t="n">
        <v>1.451329469680786</v>
      </c>
    </row>
    <row r="489">
      <c r="A489" s="4" t="n">
        <v>488</v>
      </c>
      <c r="B489" s="4" t="inlineStr">
        <is>
          <t>compression_set_pct</t>
        </is>
      </c>
      <c r="C489" s="4" t="inlineStr">
        <is>
          <t>Exp2_BO</t>
        </is>
      </c>
      <c r="D489" s="4" t="n">
        <v>1</v>
      </c>
      <c r="E489" s="4" t="n">
        <v>25</v>
      </c>
      <c r="F489" s="4" t="inlineStr">
        <is>
          <t>GP</t>
        </is>
      </c>
      <c r="G489" s="4" t="inlineStr">
        <is>
          <t>rbf</t>
        </is>
      </c>
      <c r="H489" s="4" t="b">
        <v>0</v>
      </c>
      <c r="I489" s="4" t="b">
        <v>1</v>
      </c>
      <c r="J489" s="4" t="inlineStr">
        <is>
          <t>log1p</t>
        </is>
      </c>
      <c r="K489" s="4" t="inlineStr">
        <is>
          <t>none</t>
        </is>
      </c>
      <c r="L489" s="4" t="inlineStr">
        <is>
          <t>compact</t>
        </is>
      </c>
      <c r="M489" s="11" t="n">
        <v>-0.940538311223302</v>
      </c>
      <c r="N489" s="11" t="n">
        <v>-2.981546824218</v>
      </c>
      <c r="O489" s="11" t="n">
        <v>-3.118251281596257</v>
      </c>
      <c r="P489" s="4" t="n">
        <v>1</v>
      </c>
      <c r="Q489" s="11" t="n">
        <v>0.3555120519055477</v>
      </c>
      <c r="R489" s="11" t="n">
        <v>0</v>
      </c>
      <c r="S489" s="11" t="n">
        <v>11.40434390379516</v>
      </c>
      <c r="T489" s="11" t="n">
        <v>7.312224124514441</v>
      </c>
      <c r="U489" s="11" t="n">
        <v>0.945</v>
      </c>
      <c r="V489" s="11" t="n">
        <v>3.86726422430783</v>
      </c>
      <c r="W489" s="12" t="n">
        <v>4.915487051010132</v>
      </c>
    </row>
    <row r="490">
      <c r="A490" s="4" t="n">
        <v>489</v>
      </c>
      <c r="B490" s="4" t="inlineStr">
        <is>
          <t>compression_set_pct</t>
        </is>
      </c>
      <c r="C490" s="4" t="inlineStr">
        <is>
          <t>Exp2_BO</t>
        </is>
      </c>
      <c r="D490" s="4" t="n">
        <v>1</v>
      </c>
      <c r="E490" s="4" t="n">
        <v>26</v>
      </c>
      <c r="F490" s="4" t="inlineStr">
        <is>
          <t>GP</t>
        </is>
      </c>
      <c r="G490" s="4" t="inlineStr">
        <is>
          <t>matern52</t>
        </is>
      </c>
      <c r="H490" s="4" t="b">
        <v>1</v>
      </c>
      <c r="I490" s="4" t="b">
        <v>0</v>
      </c>
      <c r="J490" s="4" t="inlineStr">
        <is>
          <t>log1p</t>
        </is>
      </c>
      <c r="K490" s="4" t="inlineStr">
        <is>
          <t>log</t>
        </is>
      </c>
      <c r="L490" s="4" t="inlineStr">
        <is>
          <t>full</t>
        </is>
      </c>
      <c r="M490" s="11" t="n">
        <v>-0.6797680335622733</v>
      </c>
      <c r="N490" s="11" t="n">
        <v>0</v>
      </c>
      <c r="O490" s="11" t="n">
        <v>-2.519028836219338</v>
      </c>
      <c r="P490" s="4" t="n">
        <v>1</v>
      </c>
      <c r="Q490" s="11" t="n">
        <v>0.3651678486419842</v>
      </c>
      <c r="R490" s="11" t="n">
        <v>0</v>
      </c>
      <c r="S490" s="11" t="n">
        <v>11.31859086813568</v>
      </c>
      <c r="T490" s="11" t="n">
        <v>7.450004915733371</v>
      </c>
      <c r="U490" s="11" t="n">
        <v>0.915</v>
      </c>
      <c r="V490" s="11" t="n">
        <v>3.834029416826551</v>
      </c>
      <c r="W490" s="12" t="n">
        <v>61.3984112739563</v>
      </c>
    </row>
    <row r="491">
      <c r="A491" s="4" t="n">
        <v>490</v>
      </c>
      <c r="B491" s="4" t="inlineStr">
        <is>
          <t>compression_set_pct</t>
        </is>
      </c>
      <c r="C491" s="4" t="inlineStr">
        <is>
          <t>Exp2_BO</t>
        </is>
      </c>
      <c r="D491" s="4" t="n">
        <v>1</v>
      </c>
      <c r="E491" s="4" t="n">
        <v>27</v>
      </c>
      <c r="F491" s="4" t="inlineStr">
        <is>
          <t>GP</t>
        </is>
      </c>
      <c r="G491" s="4" t="inlineStr">
        <is>
          <t>rbf</t>
        </is>
      </c>
      <c r="H491" s="4" t="b">
        <v>1</v>
      </c>
      <c r="I491" s="4" t="b">
        <v>1</v>
      </c>
      <c r="J491" s="4" t="inlineStr">
        <is>
          <t>std</t>
        </is>
      </c>
      <c r="K491" s="4" t="inlineStr">
        <is>
          <t>none</t>
        </is>
      </c>
      <c r="L491" s="4" t="inlineStr">
        <is>
          <t>compact</t>
        </is>
      </c>
      <c r="M491" s="11" t="n">
        <v>-0.7780315764493504</v>
      </c>
      <c r="N491" s="11" t="n">
        <v>-2.772631100556985</v>
      </c>
      <c r="O491" s="11" t="n">
        <v>-4.538442430376114</v>
      </c>
      <c r="P491" s="4" t="n">
        <v>1</v>
      </c>
      <c r="Q491" s="11" t="n">
        <v>0.2814286482829622</v>
      </c>
      <c r="R491" s="11" t="n">
        <v>0</v>
      </c>
      <c r="S491" s="11" t="n">
        <v>12.0419786883525</v>
      </c>
      <c r="T491" s="11" t="n">
        <v>7.561019123345054</v>
      </c>
      <c r="U491" s="11" t="n">
        <v>0.91</v>
      </c>
      <c r="V491" s="11" t="n">
        <v>3.954134471921891</v>
      </c>
      <c r="W491" s="12" t="n">
        <v>29.53079724311829</v>
      </c>
    </row>
    <row r="492">
      <c r="A492" s="4" t="n">
        <v>491</v>
      </c>
      <c r="B492" s="4" t="inlineStr">
        <is>
          <t>compression_set_pct</t>
        </is>
      </c>
      <c r="C492" s="4" t="inlineStr">
        <is>
          <t>Exp2_BO</t>
        </is>
      </c>
      <c r="D492" s="4" t="n">
        <v>1</v>
      </c>
      <c r="E492" s="4" t="n">
        <v>28</v>
      </c>
      <c r="F492" s="4" t="inlineStr">
        <is>
          <t>GP</t>
        </is>
      </c>
      <c r="G492" s="4" t="inlineStr">
        <is>
          <t>matern52</t>
        </is>
      </c>
      <c r="H492" s="4" t="b">
        <v>0</v>
      </c>
      <c r="I492" s="4" t="b">
        <v>1</v>
      </c>
      <c r="J492" s="4" t="inlineStr">
        <is>
          <t>log1p</t>
        </is>
      </c>
      <c r="K492" s="4" t="inlineStr">
        <is>
          <t>log</t>
        </is>
      </c>
      <c r="L492" s="4" t="inlineStr">
        <is>
          <t>full_agg</t>
        </is>
      </c>
      <c r="M492" s="11" t="n">
        <v>-0.179467906286711</v>
      </c>
      <c r="N492" s="11" t="n">
        <v>-2.866925464144421</v>
      </c>
      <c r="O492" s="11" t="n">
        <v>-2.202583566795404</v>
      </c>
      <c r="P492" s="4" t="n">
        <v>1</v>
      </c>
      <c r="Q492" s="11" t="n">
        <v>0.3518574292922546</v>
      </c>
      <c r="R492" s="11" t="n">
        <v>0</v>
      </c>
      <c r="S492" s="11" t="n">
        <v>11.43663283543561</v>
      </c>
      <c r="T492" s="11" t="n">
        <v>7.214314862866457</v>
      </c>
      <c r="U492" s="11" t="n">
        <v>0.9350000000000001</v>
      </c>
      <c r="V492" s="11" t="n">
        <v>4.122100178408492</v>
      </c>
      <c r="W492" s="12" t="n">
        <v>5.926434755325317</v>
      </c>
    </row>
    <row r="493">
      <c r="A493" s="4" t="n">
        <v>492</v>
      </c>
      <c r="B493" s="4" t="inlineStr">
        <is>
          <t>compression_set_pct</t>
        </is>
      </c>
      <c r="C493" s="4" t="inlineStr">
        <is>
          <t>Exp2_BO</t>
        </is>
      </c>
      <c r="D493" s="4" t="n">
        <v>1</v>
      </c>
      <c r="E493" s="4" t="n">
        <v>29</v>
      </c>
      <c r="F493" s="4" t="inlineStr">
        <is>
          <t>GP</t>
        </is>
      </c>
      <c r="G493" s="4" t="inlineStr">
        <is>
          <t>rbf</t>
        </is>
      </c>
      <c r="H493" s="4" t="b">
        <v>0</v>
      </c>
      <c r="I493" s="4" t="b">
        <v>1</v>
      </c>
      <c r="J493" s="4" t="inlineStr">
        <is>
          <t>log1p</t>
        </is>
      </c>
      <c r="K493" s="4" t="inlineStr">
        <is>
          <t>none</t>
        </is>
      </c>
      <c r="L493" s="4" t="inlineStr">
        <is>
          <t>full_agg</t>
        </is>
      </c>
      <c r="M493" s="11" t="n">
        <v>-0.4569206595857655</v>
      </c>
      <c r="N493" s="11" t="n">
        <v>-2.814971984114164</v>
      </c>
      <c r="O493" s="11" t="n">
        <v>-4.149365740982088</v>
      </c>
      <c r="P493" s="4" t="n">
        <v>1</v>
      </c>
      <c r="Q493" s="11" t="n">
        <v>0.3343070524449062</v>
      </c>
      <c r="R493" s="11" t="n">
        <v>0</v>
      </c>
      <c r="S493" s="11" t="n">
        <v>11.59043892893052</v>
      </c>
      <c r="T493" s="11" t="n">
        <v>7.421301416524718</v>
      </c>
      <c r="U493" s="11" t="n">
        <v>0.93</v>
      </c>
      <c r="V493" s="11" t="n">
        <v>3.895469702025213</v>
      </c>
      <c r="W493" s="12" t="n">
        <v>4.96828556060791</v>
      </c>
    </row>
    <row r="494">
      <c r="A494" s="4" t="n">
        <v>493</v>
      </c>
      <c r="B494" s="4" t="inlineStr">
        <is>
          <t>compression_set_pct</t>
        </is>
      </c>
      <c r="C494" s="4" t="inlineStr">
        <is>
          <t>Exp2_BO</t>
        </is>
      </c>
      <c r="D494" s="4" t="n">
        <v>2</v>
      </c>
      <c r="E494" s="4" t="n">
        <v>0</v>
      </c>
      <c r="F494" s="4" t="inlineStr">
        <is>
          <t>GP</t>
        </is>
      </c>
      <c r="G494" s="4" t="inlineStr">
        <is>
          <t>rq</t>
        </is>
      </c>
      <c r="H494" s="4" t="b">
        <v>1</v>
      </c>
      <c r="I494" s="4" t="b">
        <v>0</v>
      </c>
      <c r="J494" s="4" t="inlineStr">
        <is>
          <t>std</t>
        </is>
      </c>
      <c r="K494" s="4" t="inlineStr">
        <is>
          <t>none</t>
        </is>
      </c>
      <c r="L494" s="4" t="inlineStr">
        <is>
          <t>compact</t>
        </is>
      </c>
      <c r="M494" s="11" t="n">
        <v>-0.8161681157298062</v>
      </c>
      <c r="N494" s="11" t="n">
        <v>-1.199698422103038</v>
      </c>
      <c r="O494" s="11" t="n">
        <v>-3.085757892752821</v>
      </c>
      <c r="P494" s="4" t="n">
        <v>1</v>
      </c>
      <c r="Q494" s="11" t="n">
        <v>0.2759019206507752</v>
      </c>
      <c r="R494" s="11" t="n">
        <v>0</v>
      </c>
      <c r="S494" s="11" t="n">
        <v>12.08819905128192</v>
      </c>
      <c r="T494" s="11" t="n">
        <v>8.007183998520448</v>
      </c>
      <c r="U494" s="11" t="n">
        <v>0.945</v>
      </c>
      <c r="V494" s="11" t="n">
        <v>3.930713896144084</v>
      </c>
      <c r="W494" s="12" t="n">
        <v>7.444952249526978</v>
      </c>
    </row>
    <row r="495">
      <c r="A495" s="4" t="n">
        <v>494</v>
      </c>
      <c r="B495" s="4" t="inlineStr">
        <is>
          <t>compression_set_pct</t>
        </is>
      </c>
      <c r="C495" s="4" t="inlineStr">
        <is>
          <t>Exp2_BO</t>
        </is>
      </c>
      <c r="D495" s="4" t="n">
        <v>2</v>
      </c>
      <c r="E495" s="4" t="n">
        <v>1</v>
      </c>
      <c r="F495" s="4" t="inlineStr">
        <is>
          <t>GP</t>
        </is>
      </c>
      <c r="G495" s="4" t="inlineStr">
        <is>
          <t>rq</t>
        </is>
      </c>
      <c r="H495" s="4" t="b">
        <v>1</v>
      </c>
      <c r="I495" s="4" t="b">
        <v>1</v>
      </c>
      <c r="J495" s="4" t="inlineStr">
        <is>
          <t>std</t>
        </is>
      </c>
      <c r="K495" s="4" t="inlineStr">
        <is>
          <t>log</t>
        </is>
      </c>
      <c r="L495" s="4" t="inlineStr">
        <is>
          <t>full_agg</t>
        </is>
      </c>
      <c r="M495" s="11" t="n">
        <v>0.3148660297511851</v>
      </c>
      <c r="N495" s="11" t="n">
        <v>-1.313203011658716</v>
      </c>
      <c r="O495" s="11" t="n">
        <v>-5.399750946778656</v>
      </c>
      <c r="P495" s="4" t="n">
        <v>1</v>
      </c>
      <c r="Q495" s="11" t="n">
        <v>0.3207060146209499</v>
      </c>
      <c r="R495" s="11" t="n">
        <v>0</v>
      </c>
      <c r="S495" s="11" t="n">
        <v>11.70824467515766</v>
      </c>
      <c r="T495" s="11" t="n">
        <v>7.293246850654782</v>
      </c>
      <c r="U495" s="11" t="n">
        <v>0.93</v>
      </c>
      <c r="V495" s="11" t="n">
        <v>4.130476013058242</v>
      </c>
      <c r="W495" s="12" t="n">
        <v>13.2253520488739</v>
      </c>
    </row>
    <row r="496">
      <c r="A496" s="4" t="n">
        <v>495</v>
      </c>
      <c r="B496" s="4" t="inlineStr">
        <is>
          <t>compression_set_pct</t>
        </is>
      </c>
      <c r="C496" s="4" t="inlineStr">
        <is>
          <t>Exp2_BO</t>
        </is>
      </c>
      <c r="D496" s="4" t="n">
        <v>2</v>
      </c>
      <c r="E496" s="4" t="n">
        <v>2</v>
      </c>
      <c r="F496" s="4" t="inlineStr">
        <is>
          <t>GP</t>
        </is>
      </c>
      <c r="G496" s="4" t="inlineStr">
        <is>
          <t>matern52</t>
        </is>
      </c>
      <c r="H496" s="4" t="b">
        <v>1</v>
      </c>
      <c r="I496" s="4" t="b">
        <v>1</v>
      </c>
      <c r="J496" s="4" t="inlineStr">
        <is>
          <t>log1p</t>
        </is>
      </c>
      <c r="K496" s="4" t="inlineStr">
        <is>
          <t>log</t>
        </is>
      </c>
      <c r="L496" s="4" t="inlineStr">
        <is>
          <t>full_agg</t>
        </is>
      </c>
      <c r="M496" s="11" t="n">
        <v>0.2663687985482328</v>
      </c>
      <c r="N496" s="11" t="n">
        <v>-0.0976921425189702</v>
      </c>
      <c r="O496" s="11" t="n">
        <v>-3.267740710761499</v>
      </c>
      <c r="P496" s="4" t="n">
        <v>1</v>
      </c>
      <c r="Q496" s="11" t="n">
        <v>0.3652916117017672</v>
      </c>
      <c r="R496" s="11" t="n">
        <v>0</v>
      </c>
      <c r="S496" s="11" t="n">
        <v>11.31748751214153</v>
      </c>
      <c r="T496" s="11" t="n">
        <v>7.240189927289225</v>
      </c>
      <c r="U496" s="11" t="n">
        <v>0.92</v>
      </c>
      <c r="V496" s="11" t="n">
        <v>3.801081994531784</v>
      </c>
      <c r="W496" s="12" t="n">
        <v>80.02697038650513</v>
      </c>
    </row>
    <row r="497">
      <c r="A497" s="4" t="n">
        <v>496</v>
      </c>
      <c r="B497" s="4" t="inlineStr">
        <is>
          <t>compression_set_pct</t>
        </is>
      </c>
      <c r="C497" s="4" t="inlineStr">
        <is>
          <t>Exp2_BO</t>
        </is>
      </c>
      <c r="D497" s="4" t="n">
        <v>2</v>
      </c>
      <c r="E497" s="4" t="n">
        <v>3</v>
      </c>
      <c r="F497" s="4" t="inlineStr">
        <is>
          <t>GP</t>
        </is>
      </c>
      <c r="G497" s="4" t="inlineStr">
        <is>
          <t>matern12</t>
        </is>
      </c>
      <c r="H497" s="4" t="b">
        <v>1</v>
      </c>
      <c r="I497" s="4" t="b">
        <v>0</v>
      </c>
      <c r="J497" s="4" t="inlineStr">
        <is>
          <t>std</t>
        </is>
      </c>
      <c r="K497" s="4" t="inlineStr">
        <is>
          <t>none</t>
        </is>
      </c>
      <c r="L497" s="4" t="inlineStr">
        <is>
          <t>full_agg</t>
        </is>
      </c>
      <c r="M497" s="11" t="n">
        <v>0.0221319471391541</v>
      </c>
      <c r="N497" s="11" t="n">
        <v>-0.3263717714982626</v>
      </c>
      <c r="O497" s="11" t="n">
        <v>-2.897744230109242</v>
      </c>
      <c r="P497" s="4" t="n">
        <v>1</v>
      </c>
      <c r="Q497" s="11" t="n">
        <v>0.2281412015230737</v>
      </c>
      <c r="R497" s="11" t="n">
        <v>0</v>
      </c>
      <c r="S497" s="11" t="n">
        <v>12.48049568630629</v>
      </c>
      <c r="T497" s="11" t="n">
        <v>7.889086240463373</v>
      </c>
      <c r="U497" s="11" t="n">
        <v>0.92</v>
      </c>
      <c r="V497" s="11" t="n">
        <v>3.984836668528218</v>
      </c>
      <c r="W497" s="12" t="n">
        <v>70.54960680007935</v>
      </c>
    </row>
    <row r="498">
      <c r="A498" s="4" t="n">
        <v>497</v>
      </c>
      <c r="B498" s="4" t="inlineStr">
        <is>
          <t>compression_set_pct</t>
        </is>
      </c>
      <c r="C498" s="4" t="inlineStr">
        <is>
          <t>Exp2_BO</t>
        </is>
      </c>
      <c r="D498" s="4" t="n">
        <v>2</v>
      </c>
      <c r="E498" s="4" t="n">
        <v>4</v>
      </c>
      <c r="F498" s="4" t="inlineStr">
        <is>
          <t>GP</t>
        </is>
      </c>
      <c r="G498" s="4" t="inlineStr">
        <is>
          <t>rq</t>
        </is>
      </c>
      <c r="H498" s="4" t="b">
        <v>1</v>
      </c>
      <c r="I498" s="4" t="b">
        <v>1</v>
      </c>
      <c r="J498" s="4" t="inlineStr">
        <is>
          <t>log1p</t>
        </is>
      </c>
      <c r="K498" s="4" t="inlineStr">
        <is>
          <t>none</t>
        </is>
      </c>
      <c r="L498" s="4" t="inlineStr">
        <is>
          <t>full_agg</t>
        </is>
      </c>
      <c r="M498" s="11" t="n">
        <v>0.3875176844044601</v>
      </c>
      <c r="N498" s="11" t="n">
        <v>-2.678378074639236</v>
      </c>
      <c r="O498" s="11" t="n">
        <v>-5.581825766268234</v>
      </c>
      <c r="P498" s="4" t="n">
        <v>1</v>
      </c>
      <c r="Q498" s="11" t="n">
        <v>0.3255395646582099</v>
      </c>
      <c r="R498" s="11" t="n">
        <v>0</v>
      </c>
      <c r="S498" s="11" t="n">
        <v>11.66651501248107</v>
      </c>
      <c r="T498" s="11" t="n">
        <v>7.569630753194115</v>
      </c>
      <c r="U498" s="11" t="n">
        <v>0.93</v>
      </c>
      <c r="V498" s="11" t="n">
        <v>3.898141854304454</v>
      </c>
      <c r="W498" s="12" t="n">
        <v>12.85760927200317</v>
      </c>
    </row>
    <row r="499">
      <c r="A499" s="4" t="n">
        <v>498</v>
      </c>
      <c r="B499" s="4" t="inlineStr">
        <is>
          <t>compression_set_pct</t>
        </is>
      </c>
      <c r="C499" s="4" t="inlineStr">
        <is>
          <t>Exp2_BO</t>
        </is>
      </c>
      <c r="D499" s="4" t="n">
        <v>2</v>
      </c>
      <c r="E499" s="4" t="n">
        <v>5</v>
      </c>
      <c r="F499" s="4" t="inlineStr">
        <is>
          <t>GP</t>
        </is>
      </c>
      <c r="G499" s="4" t="inlineStr">
        <is>
          <t>rq</t>
        </is>
      </c>
      <c r="H499" s="4" t="b">
        <v>1</v>
      </c>
      <c r="I499" s="4" t="b">
        <v>0</v>
      </c>
      <c r="J499" s="4" t="inlineStr">
        <is>
          <t>log1p</t>
        </is>
      </c>
      <c r="K499" s="4" t="inlineStr">
        <is>
          <t>log</t>
        </is>
      </c>
      <c r="L499" s="4" t="inlineStr">
        <is>
          <t>full_cure6</t>
        </is>
      </c>
      <c r="M499" s="11" t="n">
        <v>0.6984726472288691</v>
      </c>
      <c r="N499" s="11" t="n">
        <v>-1.066691192383448</v>
      </c>
      <c r="O499" s="11" t="n">
        <v>-4.373830409297854</v>
      </c>
      <c r="P499" s="4" t="n">
        <v>1</v>
      </c>
      <c r="Q499" s="11" t="n">
        <v>0.3138328436110283</v>
      </c>
      <c r="R499" s="11" t="n">
        <v>0</v>
      </c>
      <c r="S499" s="11" t="n">
        <v>11.76732824933851</v>
      </c>
      <c r="T499" s="11" t="n">
        <v>7.337992316096839</v>
      </c>
      <c r="U499" s="11" t="n">
        <v>0.93</v>
      </c>
      <c r="V499" s="11" t="n">
        <v>4.067465632544408</v>
      </c>
      <c r="W499" s="12" t="n">
        <v>5.250912666320801</v>
      </c>
    </row>
    <row r="500">
      <c r="A500" s="4" t="n">
        <v>499</v>
      </c>
      <c r="B500" s="4" t="inlineStr">
        <is>
          <t>compression_set_pct</t>
        </is>
      </c>
      <c r="C500" s="4" t="inlineStr">
        <is>
          <t>Exp2_BO</t>
        </is>
      </c>
      <c r="D500" s="4" t="n">
        <v>2</v>
      </c>
      <c r="E500" s="4" t="n">
        <v>6</v>
      </c>
      <c r="F500" s="4" t="inlineStr">
        <is>
          <t>GP</t>
        </is>
      </c>
      <c r="G500" s="4" t="inlineStr">
        <is>
          <t>matern32</t>
        </is>
      </c>
      <c r="H500" s="4" t="b">
        <v>0</v>
      </c>
      <c r="I500" s="4" t="b">
        <v>1</v>
      </c>
      <c r="J500" s="4" t="inlineStr">
        <is>
          <t>log1p</t>
        </is>
      </c>
      <c r="K500" s="4" t="inlineStr">
        <is>
          <t>none</t>
        </is>
      </c>
      <c r="L500" s="4" t="inlineStr">
        <is>
          <t>compact</t>
        </is>
      </c>
      <c r="M500" s="11" t="n">
        <v>-0.12362766768175</v>
      </c>
      <c r="N500" s="11" t="n">
        <v>-0.3232796701000713</v>
      </c>
      <c r="O500" s="11" t="n">
        <v>-3.545132246389651</v>
      </c>
      <c r="P500" s="4" t="n">
        <v>1</v>
      </c>
      <c r="Q500" s="11" t="n">
        <v>0.3514779516002426</v>
      </c>
      <c r="R500" s="11" t="n">
        <v>0</v>
      </c>
      <c r="S500" s="11" t="n">
        <v>11.43998033347957</v>
      </c>
      <c r="T500" s="11" t="n">
        <v>7.370250965675989</v>
      </c>
      <c r="U500" s="11" t="n">
        <v>0.9399999999999999</v>
      </c>
      <c r="V500" s="11" t="n">
        <v>3.87150249995163</v>
      </c>
      <c r="W500" s="12" t="n">
        <v>4.654444932937622</v>
      </c>
    </row>
    <row r="501">
      <c r="A501" s="4" t="n">
        <v>500</v>
      </c>
      <c r="B501" s="4" t="inlineStr">
        <is>
          <t>compression_set_pct</t>
        </is>
      </c>
      <c r="C501" s="4" t="inlineStr">
        <is>
          <t>Exp2_BO</t>
        </is>
      </c>
      <c r="D501" s="4" t="n">
        <v>2</v>
      </c>
      <c r="E501" s="4" t="n">
        <v>7</v>
      </c>
      <c r="F501" s="4" t="inlineStr">
        <is>
          <t>GP</t>
        </is>
      </c>
      <c r="G501" s="4" t="inlineStr">
        <is>
          <t>rbf</t>
        </is>
      </c>
      <c r="H501" s="4" t="b">
        <v>0</v>
      </c>
      <c r="I501" s="4" t="b">
        <v>0</v>
      </c>
      <c r="J501" s="4" t="inlineStr">
        <is>
          <t>std</t>
        </is>
      </c>
      <c r="K501" s="4" t="inlineStr">
        <is>
          <t>none</t>
        </is>
      </c>
      <c r="L501" s="4" t="inlineStr">
        <is>
          <t>full_cure6</t>
        </is>
      </c>
      <c r="M501" s="11" t="n">
        <v>-0.3219492507013799</v>
      </c>
      <c r="N501" s="11" t="n">
        <v>-1.431514488228708</v>
      </c>
      <c r="O501" s="11" t="n">
        <v>-5.135106435923943</v>
      </c>
      <c r="P501" s="4" t="n">
        <v>1</v>
      </c>
      <c r="Q501" s="11" t="n">
        <v>0.2329484927005987</v>
      </c>
      <c r="R501" s="11" t="n">
        <v>0</v>
      </c>
      <c r="S501" s="11" t="n">
        <v>12.44156946826268</v>
      </c>
      <c r="T501" s="11" t="n">
        <v>8.294456722870288</v>
      </c>
      <c r="U501" s="11" t="n">
        <v>0.9350000000000001</v>
      </c>
      <c r="V501" s="11" t="n">
        <v>3.955286377538778</v>
      </c>
      <c r="W501" s="12" t="n">
        <v>1.860696792602539</v>
      </c>
    </row>
    <row r="502">
      <c r="A502" s="4" t="n">
        <v>501</v>
      </c>
      <c r="B502" s="4" t="inlineStr">
        <is>
          <t>compression_set_pct</t>
        </is>
      </c>
      <c r="C502" s="4" t="inlineStr">
        <is>
          <t>Exp2_BO</t>
        </is>
      </c>
      <c r="D502" s="4" t="n">
        <v>2</v>
      </c>
      <c r="E502" s="4" t="n">
        <v>8</v>
      </c>
      <c r="F502" s="4" t="inlineStr">
        <is>
          <t>GP</t>
        </is>
      </c>
      <c r="G502" s="4" t="inlineStr">
        <is>
          <t>rbf</t>
        </is>
      </c>
      <c r="H502" s="4" t="b">
        <v>1</v>
      </c>
      <c r="I502" s="4" t="b">
        <v>1</v>
      </c>
      <c r="J502" s="4" t="inlineStr">
        <is>
          <t>log1p</t>
        </is>
      </c>
      <c r="K502" s="4" t="inlineStr">
        <is>
          <t>log</t>
        </is>
      </c>
      <c r="L502" s="4" t="inlineStr">
        <is>
          <t>full</t>
        </is>
      </c>
      <c r="M502" s="11" t="n">
        <v>0.9904096324287176</v>
      </c>
      <c r="N502" s="11" t="n">
        <v>-0.1188080258968629</v>
      </c>
      <c r="O502" s="11" t="n">
        <v>-4.506843964305242</v>
      </c>
      <c r="P502" s="4" t="n">
        <v>1</v>
      </c>
      <c r="Q502" s="11" t="n">
        <v>0.3472861352160332</v>
      </c>
      <c r="R502" s="11" t="n">
        <v>0</v>
      </c>
      <c r="S502" s="11" t="n">
        <v>11.47689276895639</v>
      </c>
      <c r="T502" s="11" t="n">
        <v>7.414463004430354</v>
      </c>
      <c r="U502" s="11" t="n">
        <v>0.9</v>
      </c>
      <c r="V502" s="11" t="n">
        <v>3.854503261905197</v>
      </c>
      <c r="W502" s="12" t="n">
        <v>75.23995089530945</v>
      </c>
    </row>
    <row r="503">
      <c r="A503" s="4" t="n">
        <v>502</v>
      </c>
      <c r="B503" s="4" t="inlineStr">
        <is>
          <t>compression_set_pct</t>
        </is>
      </c>
      <c r="C503" s="4" t="inlineStr">
        <is>
          <t>Exp2_BO</t>
        </is>
      </c>
      <c r="D503" s="4" t="n">
        <v>2</v>
      </c>
      <c r="E503" s="4" t="n">
        <v>9</v>
      </c>
      <c r="F503" s="4" t="inlineStr">
        <is>
          <t>GP</t>
        </is>
      </c>
      <c r="G503" s="4" t="inlineStr">
        <is>
          <t>matern52</t>
        </is>
      </c>
      <c r="H503" s="4" t="b">
        <v>0</v>
      </c>
      <c r="I503" s="4" t="b">
        <v>1</v>
      </c>
      <c r="J503" s="4" t="inlineStr">
        <is>
          <t>std</t>
        </is>
      </c>
      <c r="K503" s="4" t="inlineStr">
        <is>
          <t>log</t>
        </is>
      </c>
      <c r="L503" s="4" t="inlineStr">
        <is>
          <t>full</t>
        </is>
      </c>
      <c r="M503" s="11" t="n">
        <v>-0.5505609231745336</v>
      </c>
      <c r="N503" s="11" t="n">
        <v>-1.024093370132596</v>
      </c>
      <c r="O503" s="11" t="n">
        <v>-2.139233633299868</v>
      </c>
      <c r="P503" s="4" t="n">
        <v>1</v>
      </c>
      <c r="Q503" s="11" t="n">
        <v>0.3151893750195894</v>
      </c>
      <c r="R503" s="11" t="n">
        <v>0</v>
      </c>
      <c r="S503" s="11" t="n">
        <v>11.75569067131432</v>
      </c>
      <c r="T503" s="11" t="n">
        <v>7.373485894618927</v>
      </c>
      <c r="U503" s="11" t="n">
        <v>0.925</v>
      </c>
      <c r="V503" s="11" t="n">
        <v>4.112903636610269</v>
      </c>
      <c r="W503" s="12" t="n">
        <v>7.633671998977661</v>
      </c>
    </row>
    <row r="504">
      <c r="A504" s="4" t="n">
        <v>503</v>
      </c>
      <c r="B504" s="4" t="inlineStr">
        <is>
          <t>compression_set_pct</t>
        </is>
      </c>
      <c r="C504" s="4" t="inlineStr">
        <is>
          <t>Exp2_BO</t>
        </is>
      </c>
      <c r="D504" s="4" t="n">
        <v>2</v>
      </c>
      <c r="E504" s="4" t="n">
        <v>10</v>
      </c>
      <c r="F504" s="4" t="inlineStr">
        <is>
          <t>GP</t>
        </is>
      </c>
      <c r="G504" s="4" t="inlineStr">
        <is>
          <t>matern52</t>
        </is>
      </c>
      <c r="H504" s="4" t="b">
        <v>1</v>
      </c>
      <c r="I504" s="4" t="b">
        <v>1</v>
      </c>
      <c r="J504" s="4" t="inlineStr">
        <is>
          <t>log1p</t>
        </is>
      </c>
      <c r="K504" s="4" t="inlineStr">
        <is>
          <t>log</t>
        </is>
      </c>
      <c r="L504" s="4" t="inlineStr">
        <is>
          <t>compact</t>
        </is>
      </c>
      <c r="M504" s="11" t="n">
        <v>0.2663687985482328</v>
      </c>
      <c r="N504" s="11" t="n">
        <v>-0.0976921425189702</v>
      </c>
      <c r="O504" s="11" t="n">
        <v>-3.267740710761499</v>
      </c>
      <c r="P504" s="4" t="n">
        <v>1</v>
      </c>
      <c r="Q504" s="11" t="n">
        <v>0.352384520249876</v>
      </c>
      <c r="R504" s="11" t="n">
        <v>0</v>
      </c>
      <c r="S504" s="11" t="n">
        <v>11.43198156571803</v>
      </c>
      <c r="T504" s="11" t="n">
        <v>7.190599829824159</v>
      </c>
      <c r="U504" s="11" t="n">
        <v>0.92</v>
      </c>
      <c r="V504" s="11" t="n">
        <v>4.39229850136397</v>
      </c>
      <c r="W504" s="12" t="n">
        <v>65.55044150352478</v>
      </c>
    </row>
    <row r="505">
      <c r="A505" s="4" t="n">
        <v>504</v>
      </c>
      <c r="B505" s="4" t="inlineStr">
        <is>
          <t>compression_set_pct</t>
        </is>
      </c>
      <c r="C505" s="4" t="inlineStr">
        <is>
          <t>Exp2_BO</t>
        </is>
      </c>
      <c r="D505" s="4" t="n">
        <v>2</v>
      </c>
      <c r="E505" s="4" t="n">
        <v>11</v>
      </c>
      <c r="F505" s="4" t="inlineStr">
        <is>
          <t>GP</t>
        </is>
      </c>
      <c r="G505" s="4" t="inlineStr">
        <is>
          <t>rbf</t>
        </is>
      </c>
      <c r="H505" s="4" t="b">
        <v>0</v>
      </c>
      <c r="I505" s="4" t="b">
        <v>0</v>
      </c>
      <c r="J505" s="4" t="inlineStr">
        <is>
          <t>log1p</t>
        </is>
      </c>
      <c r="K505" s="4" t="inlineStr">
        <is>
          <t>none</t>
        </is>
      </c>
      <c r="L505" s="4" t="inlineStr">
        <is>
          <t>full</t>
        </is>
      </c>
      <c r="M505" s="11" t="n">
        <v>-0.9748650043565484</v>
      </c>
      <c r="N505" s="11" t="n">
        <v>-0.4838980359953662</v>
      </c>
      <c r="O505" s="11" t="n">
        <v>-5.954979842663034</v>
      </c>
      <c r="P505" s="4" t="n">
        <v>1</v>
      </c>
      <c r="Q505" s="11" t="n">
        <v>0.2430394643095681</v>
      </c>
      <c r="R505" s="11" t="n">
        <v>0</v>
      </c>
      <c r="S505" s="11" t="n">
        <v>12.35946078794146</v>
      </c>
      <c r="T505" s="11" t="n">
        <v>8.164078756219462</v>
      </c>
      <c r="U505" s="11" t="n">
        <v>0.9399999999999999</v>
      </c>
      <c r="V505" s="11" t="n">
        <v>3.952552448240198</v>
      </c>
      <c r="W505" s="12" t="n">
        <v>2.501985788345337</v>
      </c>
    </row>
    <row r="506">
      <c r="A506" s="4" t="n">
        <v>505</v>
      </c>
      <c r="B506" s="4" t="inlineStr">
        <is>
          <t>compression_set_pct</t>
        </is>
      </c>
      <c r="C506" s="4" t="inlineStr">
        <is>
          <t>Exp2_BO</t>
        </is>
      </c>
      <c r="D506" s="4" t="n">
        <v>2</v>
      </c>
      <c r="E506" s="4" t="n">
        <v>12</v>
      </c>
      <c r="F506" s="4" t="inlineStr">
        <is>
          <t>GP</t>
        </is>
      </c>
      <c r="G506" s="4" t="inlineStr">
        <is>
          <t>rq</t>
        </is>
      </c>
      <c r="H506" s="4" t="b">
        <v>0</v>
      </c>
      <c r="I506" s="4" t="b">
        <v>1</v>
      </c>
      <c r="J506" s="4" t="inlineStr">
        <is>
          <t>log1p</t>
        </is>
      </c>
      <c r="K506" s="4" t="inlineStr">
        <is>
          <t>log</t>
        </is>
      </c>
      <c r="L506" s="4" t="inlineStr">
        <is>
          <t>full</t>
        </is>
      </c>
      <c r="M506" s="11" t="n">
        <v>0.5915440337604085</v>
      </c>
      <c r="N506" s="11" t="n">
        <v>-0.0036280370180934</v>
      </c>
      <c r="O506" s="11" t="n">
        <v>-4.189393110115162</v>
      </c>
      <c r="P506" s="4" t="n">
        <v>1</v>
      </c>
      <c r="Q506" s="11" t="n">
        <v>0.3430867621909301</v>
      </c>
      <c r="R506" s="11" t="n">
        <v>0</v>
      </c>
      <c r="S506" s="11" t="n">
        <v>11.51375308821154</v>
      </c>
      <c r="T506" s="11" t="n">
        <v>7.251819318399973</v>
      </c>
      <c r="U506" s="11" t="n">
        <v>0.9350000000000001</v>
      </c>
      <c r="V506" s="11" t="n">
        <v>4.156127019529961</v>
      </c>
      <c r="W506" s="12" t="n">
        <v>15.23095607757568</v>
      </c>
    </row>
    <row r="507">
      <c r="A507" s="4" t="n">
        <v>506</v>
      </c>
      <c r="B507" s="4" t="inlineStr">
        <is>
          <t>compression_set_pct</t>
        </is>
      </c>
      <c r="C507" s="4" t="inlineStr">
        <is>
          <t>Exp2_BO</t>
        </is>
      </c>
      <c r="D507" s="4" t="n">
        <v>2</v>
      </c>
      <c r="E507" s="4" t="n">
        <v>13</v>
      </c>
      <c r="F507" s="4" t="inlineStr">
        <is>
          <t>GP</t>
        </is>
      </c>
      <c r="G507" s="4" t="inlineStr">
        <is>
          <t>matern52</t>
        </is>
      </c>
      <c r="H507" s="4" t="b">
        <v>1</v>
      </c>
      <c r="I507" s="4" t="b">
        <v>1</v>
      </c>
      <c r="J507" s="4" t="inlineStr">
        <is>
          <t>log1p</t>
        </is>
      </c>
      <c r="K507" s="4" t="inlineStr">
        <is>
          <t>log</t>
        </is>
      </c>
      <c r="L507" s="4" t="inlineStr">
        <is>
          <t>full_cure6</t>
        </is>
      </c>
      <c r="M507" s="11" t="n">
        <v>-0.5467212608005159</v>
      </c>
      <c r="N507" s="11" t="n">
        <v>-2.960926622440309</v>
      </c>
      <c r="O507" s="11" t="n">
        <v>-4.250699459344094</v>
      </c>
      <c r="P507" s="4" t="n">
        <v>1</v>
      </c>
      <c r="Q507" s="11" t="n">
        <v>0.334609451228406</v>
      </c>
      <c r="R507" s="11" t="n">
        <v>0</v>
      </c>
      <c r="S507" s="11" t="n">
        <v>11.58780608388161</v>
      </c>
      <c r="T507" s="11" t="n">
        <v>7.538128312530498</v>
      </c>
      <c r="U507" s="11" t="n">
        <v>0.92</v>
      </c>
      <c r="V507" s="11" t="n">
        <v>3.952772838847397</v>
      </c>
      <c r="W507" s="12" t="n">
        <v>98.65072679519652</v>
      </c>
    </row>
    <row r="508">
      <c r="A508" s="4" t="n">
        <v>507</v>
      </c>
      <c r="B508" s="4" t="inlineStr">
        <is>
          <t>compression_set_pct</t>
        </is>
      </c>
      <c r="C508" s="4" t="inlineStr">
        <is>
          <t>Exp2_BO</t>
        </is>
      </c>
      <c r="D508" s="4" t="n">
        <v>2</v>
      </c>
      <c r="E508" s="4" t="n">
        <v>14</v>
      </c>
      <c r="F508" s="4" t="inlineStr">
        <is>
          <t>GP</t>
        </is>
      </c>
      <c r="G508" s="4" t="inlineStr">
        <is>
          <t>matern52</t>
        </is>
      </c>
      <c r="H508" s="4" t="b">
        <v>0</v>
      </c>
      <c r="I508" s="4" t="b">
        <v>1</v>
      </c>
      <c r="J508" s="4" t="inlineStr">
        <is>
          <t>log1p</t>
        </is>
      </c>
      <c r="K508" s="4" t="inlineStr">
        <is>
          <t>log</t>
        </is>
      </c>
      <c r="L508" s="4" t="inlineStr">
        <is>
          <t>full_agg</t>
        </is>
      </c>
      <c r="M508" s="11" t="n">
        <v>0.939394004428642</v>
      </c>
      <c r="N508" s="11" t="n">
        <v>-1.642297374040084</v>
      </c>
      <c r="O508" s="11" t="n">
        <v>-3.204211632469744</v>
      </c>
      <c r="P508" s="4" t="n">
        <v>1</v>
      </c>
      <c r="Q508" s="11" t="n">
        <v>0.3092922684948196</v>
      </c>
      <c r="R508" s="11" t="n">
        <v>0</v>
      </c>
      <c r="S508" s="11" t="n">
        <v>11.80619803293012</v>
      </c>
      <c r="T508" s="11" t="n">
        <v>7.516268080479648</v>
      </c>
      <c r="U508" s="11" t="n">
        <v>0.9350000000000001</v>
      </c>
      <c r="V508" s="11" t="n">
        <v>4.170817483871507</v>
      </c>
      <c r="W508" s="12" t="n">
        <v>8.334874868392944</v>
      </c>
    </row>
    <row r="509">
      <c r="A509" s="4" t="n">
        <v>508</v>
      </c>
      <c r="B509" s="4" t="inlineStr">
        <is>
          <t>compression_set_pct</t>
        </is>
      </c>
      <c r="C509" s="4" t="inlineStr">
        <is>
          <t>Exp2_BO</t>
        </is>
      </c>
      <c r="D509" s="4" t="n">
        <v>2</v>
      </c>
      <c r="E509" s="4" t="n">
        <v>15</v>
      </c>
      <c r="F509" s="4" t="inlineStr">
        <is>
          <t>GP</t>
        </is>
      </c>
      <c r="G509" s="4" t="inlineStr">
        <is>
          <t>matern52</t>
        </is>
      </c>
      <c r="H509" s="4" t="b">
        <v>1</v>
      </c>
      <c r="I509" s="4" t="b">
        <v>1</v>
      </c>
      <c r="J509" s="4" t="inlineStr">
        <is>
          <t>std</t>
        </is>
      </c>
      <c r="K509" s="4" t="inlineStr">
        <is>
          <t>none</t>
        </is>
      </c>
      <c r="L509" s="4" t="inlineStr">
        <is>
          <t>full_agg</t>
        </is>
      </c>
      <c r="M509" s="11" t="n">
        <v>0.0611236499534486</v>
      </c>
      <c r="N509" s="11" t="n">
        <v>-0.0115820546425298</v>
      </c>
      <c r="O509" s="11" t="n">
        <v>-2.512656254317193</v>
      </c>
      <c r="P509" s="4" t="n">
        <v>1</v>
      </c>
      <c r="Q509" s="11" t="n">
        <v>0.2126795075644474</v>
      </c>
      <c r="R509" s="11" t="n">
        <v>0</v>
      </c>
      <c r="S509" s="11" t="n">
        <v>12.60487904783617</v>
      </c>
      <c r="T509" s="11" t="n">
        <v>7.852963285106187</v>
      </c>
      <c r="U509" s="11" t="n">
        <v>0.915</v>
      </c>
      <c r="V509" s="11" t="n">
        <v>4.065518750641233</v>
      </c>
      <c r="W509" s="12" t="n">
        <v>67.4889931678772</v>
      </c>
    </row>
    <row r="510">
      <c r="A510" s="4" t="n">
        <v>509</v>
      </c>
      <c r="B510" s="4" t="inlineStr">
        <is>
          <t>compression_set_pct</t>
        </is>
      </c>
      <c r="C510" s="4" t="inlineStr">
        <is>
          <t>Exp2_BO</t>
        </is>
      </c>
      <c r="D510" s="4" t="n">
        <v>2</v>
      </c>
      <c r="E510" s="4" t="n">
        <v>16</v>
      </c>
      <c r="F510" s="4" t="inlineStr">
        <is>
          <t>GP</t>
        </is>
      </c>
      <c r="G510" s="4" t="inlineStr">
        <is>
          <t>matern32</t>
        </is>
      </c>
      <c r="H510" s="4" t="b">
        <v>1</v>
      </c>
      <c r="I510" s="4" t="b">
        <v>1</v>
      </c>
      <c r="J510" s="4" t="inlineStr">
        <is>
          <t>std</t>
        </is>
      </c>
      <c r="K510" s="4" t="inlineStr">
        <is>
          <t>none</t>
        </is>
      </c>
      <c r="L510" s="4" t="inlineStr">
        <is>
          <t>compact</t>
        </is>
      </c>
      <c r="M510" s="11" t="n">
        <v>0.884086352802308</v>
      </c>
      <c r="N510" s="11" t="n">
        <v>-1.735003616371348</v>
      </c>
      <c r="O510" s="11" t="n">
        <v>-2.267558204514699</v>
      </c>
      <c r="P510" s="4" t="n">
        <v>1</v>
      </c>
      <c r="Q510" s="11" t="n">
        <v>0.23868836531106</v>
      </c>
      <c r="R510" s="11" t="n">
        <v>0</v>
      </c>
      <c r="S510" s="11" t="n">
        <v>12.39493171195256</v>
      </c>
      <c r="T510" s="11" t="n">
        <v>7.902274519567204</v>
      </c>
      <c r="U510" s="11" t="n">
        <v>0.91</v>
      </c>
      <c r="V510" s="11" t="n">
        <v>3.972689505596882</v>
      </c>
      <c r="W510" s="12" t="n">
        <v>40.53257346153259</v>
      </c>
    </row>
    <row r="511">
      <c r="A511" s="4" t="n">
        <v>510</v>
      </c>
      <c r="B511" s="4" t="inlineStr">
        <is>
          <t>compression_set_pct</t>
        </is>
      </c>
      <c r="C511" s="4" t="inlineStr">
        <is>
          <t>Exp2_BO</t>
        </is>
      </c>
      <c r="D511" s="4" t="n">
        <v>2</v>
      </c>
      <c r="E511" s="4" t="n">
        <v>17</v>
      </c>
      <c r="F511" s="4" t="inlineStr">
        <is>
          <t>GP</t>
        </is>
      </c>
      <c r="G511" s="4" t="inlineStr">
        <is>
          <t>rbf</t>
        </is>
      </c>
      <c r="H511" s="4" t="b">
        <v>1</v>
      </c>
      <c r="I511" s="4" t="b">
        <v>1</v>
      </c>
      <c r="J511" s="4" t="inlineStr">
        <is>
          <t>log1p</t>
        </is>
      </c>
      <c r="K511" s="4" t="inlineStr">
        <is>
          <t>log</t>
        </is>
      </c>
      <c r="L511" s="4" t="inlineStr">
        <is>
          <t>full</t>
        </is>
      </c>
      <c r="M511" s="11" t="n">
        <v>-0.9431889467572764</v>
      </c>
      <c r="N511" s="11" t="n">
        <v>-0.0813724630738899</v>
      </c>
      <c r="O511" s="11" t="n">
        <v>-4.573927800537495</v>
      </c>
      <c r="P511" s="4" t="n">
        <v>1</v>
      </c>
      <c r="Q511" s="11" t="n">
        <v>0.3797624836842344</v>
      </c>
      <c r="R511" s="11" t="n">
        <v>0</v>
      </c>
      <c r="S511" s="11" t="n">
        <v>11.18772856157826</v>
      </c>
      <c r="T511" s="11" t="n">
        <v>7.302432911442839</v>
      </c>
      <c r="U511" s="11" t="n">
        <v>0.905</v>
      </c>
      <c r="V511" s="11" t="n">
        <v>3.816432868482272</v>
      </c>
      <c r="W511" s="12" t="n">
        <v>59.83935165405273</v>
      </c>
    </row>
    <row r="512">
      <c r="A512" s="4" t="n">
        <v>511</v>
      </c>
      <c r="B512" s="4" t="inlineStr">
        <is>
          <t>compression_set_pct</t>
        </is>
      </c>
      <c r="C512" s="4" t="inlineStr">
        <is>
          <t>Exp2_BO</t>
        </is>
      </c>
      <c r="D512" s="4" t="n">
        <v>2</v>
      </c>
      <c r="E512" s="4" t="n">
        <v>18</v>
      </c>
      <c r="F512" s="4" t="inlineStr">
        <is>
          <t>GP</t>
        </is>
      </c>
      <c r="G512" s="4" t="inlineStr">
        <is>
          <t>rbf</t>
        </is>
      </c>
      <c r="H512" s="4" t="b">
        <v>1</v>
      </c>
      <c r="I512" s="4" t="b">
        <v>0</v>
      </c>
      <c r="J512" s="4" t="inlineStr">
        <is>
          <t>std</t>
        </is>
      </c>
      <c r="K512" s="4" t="inlineStr">
        <is>
          <t>log</t>
        </is>
      </c>
      <c r="L512" s="4" t="inlineStr">
        <is>
          <t>compact</t>
        </is>
      </c>
      <c r="M512" s="11" t="n">
        <v>0.9990062552598648</v>
      </c>
      <c r="N512" s="11" t="n">
        <v>-0.0210510849010399</v>
      </c>
      <c r="O512" s="11" t="n">
        <v>-3.342617279791264</v>
      </c>
      <c r="P512" s="4" t="n">
        <v>1</v>
      </c>
      <c r="Q512" s="11" t="n">
        <v>0.2424765570641827</v>
      </c>
      <c r="R512" s="11" t="n">
        <v>0</v>
      </c>
      <c r="S512" s="11" t="n">
        <v>12.36405543770068</v>
      </c>
      <c r="T512" s="11" t="n">
        <v>8.102695482867787</v>
      </c>
      <c r="U512" s="11" t="n">
        <v>0.92</v>
      </c>
      <c r="V512" s="11" t="n">
        <v>4.306058347454089</v>
      </c>
      <c r="W512" s="12" t="n">
        <v>28.45615124702454</v>
      </c>
    </row>
    <row r="513">
      <c r="A513" s="4" t="n">
        <v>512</v>
      </c>
      <c r="B513" s="4" t="inlineStr">
        <is>
          <t>compression_set_pct</t>
        </is>
      </c>
      <c r="C513" s="4" t="inlineStr">
        <is>
          <t>Exp2_BO</t>
        </is>
      </c>
      <c r="D513" s="4" t="n">
        <v>2</v>
      </c>
      <c r="E513" s="4" t="n">
        <v>19</v>
      </c>
      <c r="F513" s="4" t="inlineStr">
        <is>
          <t>GP</t>
        </is>
      </c>
      <c r="G513" s="4" t="inlineStr">
        <is>
          <t>rbf</t>
        </is>
      </c>
      <c r="H513" s="4" t="b">
        <v>1</v>
      </c>
      <c r="I513" s="4" t="b">
        <v>1</v>
      </c>
      <c r="J513" s="4" t="inlineStr">
        <is>
          <t>log1p</t>
        </is>
      </c>
      <c r="K513" s="4" t="inlineStr">
        <is>
          <t>none</t>
        </is>
      </c>
      <c r="L513" s="4" t="inlineStr">
        <is>
          <t>full</t>
        </is>
      </c>
      <c r="M513" s="11" t="n">
        <v>-0.9431889467572764</v>
      </c>
      <c r="N513" s="11" t="n">
        <v>-0.0813724630738899</v>
      </c>
      <c r="O513" s="11" t="n">
        <v>-4.573927800537495</v>
      </c>
      <c r="P513" s="4" t="n">
        <v>1</v>
      </c>
      <c r="Q513" s="11" t="n">
        <v>0.3099107143333225</v>
      </c>
      <c r="R513" s="11" t="n">
        <v>0</v>
      </c>
      <c r="S513" s="11" t="n">
        <v>11.80091133289492</v>
      </c>
      <c r="T513" s="11" t="n">
        <v>7.583172531453274</v>
      </c>
      <c r="U513" s="11" t="n">
        <v>0.93</v>
      </c>
      <c r="V513" s="11" t="n">
        <v>3.92218792861484</v>
      </c>
      <c r="W513" s="12" t="n">
        <v>62.18992567062378</v>
      </c>
    </row>
    <row r="514">
      <c r="A514" s="4" t="n">
        <v>513</v>
      </c>
      <c r="B514" s="4" t="inlineStr">
        <is>
          <t>compression_set_pct</t>
        </is>
      </c>
      <c r="C514" s="4" t="inlineStr">
        <is>
          <t>Exp2_BO</t>
        </is>
      </c>
      <c r="D514" s="4" t="n">
        <v>2</v>
      </c>
      <c r="E514" s="4" t="n">
        <v>20</v>
      </c>
      <c r="F514" s="4" t="inlineStr">
        <is>
          <t>GP</t>
        </is>
      </c>
      <c r="G514" s="4" t="inlineStr">
        <is>
          <t>matern52</t>
        </is>
      </c>
      <c r="H514" s="4" t="b">
        <v>1</v>
      </c>
      <c r="I514" s="4" t="b">
        <v>0</v>
      </c>
      <c r="J514" s="4" t="inlineStr">
        <is>
          <t>log1p</t>
        </is>
      </c>
      <c r="K514" s="4" t="inlineStr">
        <is>
          <t>log</t>
        </is>
      </c>
      <c r="L514" s="4" t="inlineStr">
        <is>
          <t>compact</t>
        </is>
      </c>
      <c r="M514" s="11" t="n">
        <v>-0.6985770126157198</v>
      </c>
      <c r="N514" s="11" t="n">
        <v>-0.1741005683825554</v>
      </c>
      <c r="O514" s="11" t="n">
        <v>-5.017755894214138</v>
      </c>
      <c r="P514" s="4" t="n">
        <v>1</v>
      </c>
      <c r="Q514" s="11" t="n">
        <v>0.3113718076446233</v>
      </c>
      <c r="R514" s="11" t="n">
        <v>0</v>
      </c>
      <c r="S514" s="11" t="n">
        <v>11.78841195840181</v>
      </c>
      <c r="T514" s="11" t="n">
        <v>7.586168192076304</v>
      </c>
      <c r="U514" s="11" t="n">
        <v>0.9399999999999999</v>
      </c>
      <c r="V514" s="11" t="n">
        <v>4.2625696139347</v>
      </c>
      <c r="W514" s="12" t="n">
        <v>44.14809465408325</v>
      </c>
    </row>
    <row r="515">
      <c r="A515" s="4" t="n">
        <v>514</v>
      </c>
      <c r="B515" s="4" t="inlineStr">
        <is>
          <t>compression_set_pct</t>
        </is>
      </c>
      <c r="C515" s="4" t="inlineStr">
        <is>
          <t>Exp2_BO</t>
        </is>
      </c>
      <c r="D515" s="4" t="n">
        <v>2</v>
      </c>
      <c r="E515" s="4" t="n">
        <v>21</v>
      </c>
      <c r="F515" s="4" t="inlineStr">
        <is>
          <t>GP</t>
        </is>
      </c>
      <c r="G515" s="4" t="inlineStr">
        <is>
          <t>rq</t>
        </is>
      </c>
      <c r="H515" s="4" t="b">
        <v>1</v>
      </c>
      <c r="I515" s="4" t="b">
        <v>1</v>
      </c>
      <c r="J515" s="4" t="inlineStr">
        <is>
          <t>log1p</t>
        </is>
      </c>
      <c r="K515" s="4" t="inlineStr">
        <is>
          <t>none</t>
        </is>
      </c>
      <c r="L515" s="4" t="inlineStr">
        <is>
          <t>compact</t>
        </is>
      </c>
      <c r="M515" s="11" t="n">
        <v>-0.7450095879377281</v>
      </c>
      <c r="N515" s="11" t="n">
        <v>-2.815779973186116</v>
      </c>
      <c r="O515" s="11" t="n">
        <v>-5.676289915468258</v>
      </c>
      <c r="P515" s="4" t="n">
        <v>1</v>
      </c>
      <c r="Q515" s="11" t="n">
        <v>0.3555061315616189</v>
      </c>
      <c r="R515" s="11" t="n">
        <v>0</v>
      </c>
      <c r="S515" s="11" t="n">
        <v>11.40439628451332</v>
      </c>
      <c r="T515" s="11" t="n">
        <v>7.312249752776371</v>
      </c>
      <c r="U515" s="11" t="n">
        <v>0.945</v>
      </c>
      <c r="V515" s="11" t="n">
        <v>3.867266374747202</v>
      </c>
      <c r="W515" s="12" t="n">
        <v>12.878582239151</v>
      </c>
    </row>
    <row r="516">
      <c r="A516" s="4" t="n">
        <v>515</v>
      </c>
      <c r="B516" s="4" t="inlineStr">
        <is>
          <t>compression_set_pct</t>
        </is>
      </c>
      <c r="C516" s="4" t="inlineStr">
        <is>
          <t>Exp2_BO</t>
        </is>
      </c>
      <c r="D516" s="4" t="n">
        <v>2</v>
      </c>
      <c r="E516" s="4" t="n">
        <v>22</v>
      </c>
      <c r="F516" s="4" t="inlineStr">
        <is>
          <t>GP</t>
        </is>
      </c>
      <c r="G516" s="4" t="inlineStr">
        <is>
          <t>matern12</t>
        </is>
      </c>
      <c r="H516" s="4" t="b">
        <v>0</v>
      </c>
      <c r="I516" s="4" t="b">
        <v>1</v>
      </c>
      <c r="J516" s="4" t="inlineStr">
        <is>
          <t>log1p</t>
        </is>
      </c>
      <c r="K516" s="4" t="inlineStr">
        <is>
          <t>none</t>
        </is>
      </c>
      <c r="L516" s="4" t="inlineStr">
        <is>
          <t>compact</t>
        </is>
      </c>
      <c r="M516" s="11" t="n">
        <v>0.8481501869502568</v>
      </c>
      <c r="N516" s="11" t="n">
        <v>-2.655999730217931</v>
      </c>
      <c r="O516" s="11" t="n">
        <v>-2.172880930357797</v>
      </c>
      <c r="P516" s="4" t="n">
        <v>1</v>
      </c>
      <c r="Q516" s="11" t="n">
        <v>0.3423417046044203</v>
      </c>
      <c r="R516" s="11" t="n">
        <v>0</v>
      </c>
      <c r="S516" s="11" t="n">
        <v>11.52028056977854</v>
      </c>
      <c r="T516" s="11" t="n">
        <v>7.475267292856692</v>
      </c>
      <c r="U516" s="11" t="n">
        <v>0.9350000000000001</v>
      </c>
      <c r="V516" s="11" t="n">
        <v>3.877189818425809</v>
      </c>
      <c r="W516" s="12" t="n">
        <v>7.024204015731812</v>
      </c>
    </row>
    <row r="517">
      <c r="A517" s="4" t="n">
        <v>516</v>
      </c>
      <c r="B517" s="4" t="inlineStr">
        <is>
          <t>compression_set_pct</t>
        </is>
      </c>
      <c r="C517" s="4" t="inlineStr">
        <is>
          <t>Exp2_BO</t>
        </is>
      </c>
      <c r="D517" s="4" t="n">
        <v>2</v>
      </c>
      <c r="E517" s="4" t="n">
        <v>23</v>
      </c>
      <c r="F517" s="4" t="inlineStr">
        <is>
          <t>GP</t>
        </is>
      </c>
      <c r="G517" s="4" t="inlineStr">
        <is>
          <t>rbf</t>
        </is>
      </c>
      <c r="H517" s="4" t="b">
        <v>1</v>
      </c>
      <c r="I517" s="4" t="b">
        <v>1</v>
      </c>
      <c r="J517" s="4" t="inlineStr">
        <is>
          <t>log1p</t>
        </is>
      </c>
      <c r="K517" s="4" t="inlineStr">
        <is>
          <t>log</t>
        </is>
      </c>
      <c r="L517" s="4" t="inlineStr">
        <is>
          <t>compact</t>
        </is>
      </c>
      <c r="M517" s="11" t="n">
        <v>-0.9431889467572764</v>
      </c>
      <c r="N517" s="11" t="n">
        <v>-0.0813724630738899</v>
      </c>
      <c r="O517" s="11" t="n">
        <v>-4.573927800537495</v>
      </c>
      <c r="P517" s="4" t="n">
        <v>1</v>
      </c>
      <c r="Q517" s="11" t="n">
        <v>0.3518184217150855</v>
      </c>
      <c r="R517" s="11" t="n">
        <v>0</v>
      </c>
      <c r="S517" s="11" t="n">
        <v>11.436976979337</v>
      </c>
      <c r="T517" s="11" t="n">
        <v>7.266470756444239</v>
      </c>
      <c r="U517" s="11" t="n">
        <v>0.925</v>
      </c>
      <c r="V517" s="11" t="n">
        <v>4.29935500461383</v>
      </c>
      <c r="W517" s="12" t="n">
        <v>29.11368370056152</v>
      </c>
    </row>
    <row r="518">
      <c r="A518" s="4" t="n">
        <v>517</v>
      </c>
      <c r="B518" s="4" t="inlineStr">
        <is>
          <t>compression_set_pct</t>
        </is>
      </c>
      <c r="C518" s="4" t="inlineStr">
        <is>
          <t>Exp2_BO</t>
        </is>
      </c>
      <c r="D518" s="4" t="n">
        <v>2</v>
      </c>
      <c r="E518" s="4" t="n">
        <v>24</v>
      </c>
      <c r="F518" s="4" t="inlineStr">
        <is>
          <t>GP</t>
        </is>
      </c>
      <c r="G518" s="4" t="inlineStr">
        <is>
          <t>matern12</t>
        </is>
      </c>
      <c r="H518" s="4" t="b">
        <v>1</v>
      </c>
      <c r="I518" s="4" t="b">
        <v>1</v>
      </c>
      <c r="J518" s="4" t="inlineStr">
        <is>
          <t>std</t>
        </is>
      </c>
      <c r="K518" s="4" t="inlineStr">
        <is>
          <t>log</t>
        </is>
      </c>
      <c r="L518" s="4" t="inlineStr">
        <is>
          <t>compact</t>
        </is>
      </c>
      <c r="M518" s="11" t="n">
        <v>-0.5557646218875913</v>
      </c>
      <c r="N518" s="11" t="n">
        <v>-2.834307351640548</v>
      </c>
      <c r="O518" s="11" t="n">
        <v>-3.094139712986064</v>
      </c>
      <c r="P518" s="4" t="n">
        <v>1</v>
      </c>
      <c r="Q518" s="11" t="n">
        <v>0.283706380516444</v>
      </c>
      <c r="R518" s="11" t="n">
        <v>0</v>
      </c>
      <c r="S518" s="11" t="n">
        <v>12.02287816816857</v>
      </c>
      <c r="T518" s="11" t="n">
        <v>7.674941698849871</v>
      </c>
      <c r="U518" s="11" t="n">
        <v>0.91</v>
      </c>
      <c r="V518" s="11" t="n">
        <v>4.02071111284538</v>
      </c>
      <c r="W518" s="12" t="n">
        <v>77.11950898170471</v>
      </c>
    </row>
    <row r="519">
      <c r="A519" s="4" t="n">
        <v>518</v>
      </c>
      <c r="B519" s="4" t="inlineStr">
        <is>
          <t>compression_set_pct</t>
        </is>
      </c>
      <c r="C519" s="4" t="inlineStr">
        <is>
          <t>Exp2_BO</t>
        </is>
      </c>
      <c r="D519" s="4" t="n">
        <v>2</v>
      </c>
      <c r="E519" s="4" t="n">
        <v>25</v>
      </c>
      <c r="F519" s="4" t="inlineStr">
        <is>
          <t>GP</t>
        </is>
      </c>
      <c r="G519" s="4" t="inlineStr">
        <is>
          <t>matern52</t>
        </is>
      </c>
      <c r="H519" s="4" t="b">
        <v>1</v>
      </c>
      <c r="I519" s="4" t="b">
        <v>0</v>
      </c>
      <c r="J519" s="4" t="inlineStr">
        <is>
          <t>log1p</t>
        </is>
      </c>
      <c r="K519" s="4" t="inlineStr">
        <is>
          <t>none</t>
        </is>
      </c>
      <c r="L519" s="4" t="inlineStr">
        <is>
          <t>compact</t>
        </is>
      </c>
      <c r="M519" s="11" t="n">
        <v>0.7709386790427455</v>
      </c>
      <c r="N519" s="11" t="n">
        <v>-2.991566924850338</v>
      </c>
      <c r="O519" s="11" t="n">
        <v>-3.36838617041313</v>
      </c>
      <c r="P519" s="4" t="n">
        <v>1</v>
      </c>
      <c r="Q519" s="11" t="n">
        <v>0.2243526267928701</v>
      </c>
      <c r="R519" s="11" t="n">
        <v>0</v>
      </c>
      <c r="S519" s="11" t="n">
        <v>12.51108768808465</v>
      </c>
      <c r="T519" s="11" t="n">
        <v>8.061957539017021</v>
      </c>
      <c r="U519" s="11" t="n">
        <v>0.93</v>
      </c>
      <c r="V519" s="11" t="n">
        <v>3.968477095569119</v>
      </c>
      <c r="W519" s="12" t="n">
        <v>66.08152079582214</v>
      </c>
    </row>
    <row r="520">
      <c r="A520" s="4" t="n">
        <v>519</v>
      </c>
      <c r="B520" s="4" t="inlineStr">
        <is>
          <t>compression_set_pct</t>
        </is>
      </c>
      <c r="C520" s="4" t="inlineStr">
        <is>
          <t>Exp2_BO</t>
        </is>
      </c>
      <c r="D520" s="4" t="n">
        <v>2</v>
      </c>
      <c r="E520" s="4" t="n">
        <v>26</v>
      </c>
      <c r="F520" s="4" t="inlineStr">
        <is>
          <t>GP</t>
        </is>
      </c>
      <c r="G520" s="4" t="inlineStr">
        <is>
          <t>rbf</t>
        </is>
      </c>
      <c r="H520" s="4" t="b">
        <v>0</v>
      </c>
      <c r="I520" s="4" t="b">
        <v>0</v>
      </c>
      <c r="J520" s="4" t="inlineStr">
        <is>
          <t>log1p</t>
        </is>
      </c>
      <c r="K520" s="4" t="inlineStr">
        <is>
          <t>log</t>
        </is>
      </c>
      <c r="L520" s="4" t="inlineStr">
        <is>
          <t>full_agg</t>
        </is>
      </c>
      <c r="M520" s="11" t="n">
        <v>-0.8647794645449576</v>
      </c>
      <c r="N520" s="11" t="n">
        <v>-2.96628114724763</v>
      </c>
      <c r="O520" s="11" t="n">
        <v>-4.269940671859533</v>
      </c>
      <c r="P520" s="4" t="n">
        <v>1</v>
      </c>
      <c r="Q520" s="11" t="n">
        <v>0.2120125370254865</v>
      </c>
      <c r="R520" s="11" t="n">
        <v>0</v>
      </c>
      <c r="S520" s="11" t="n">
        <v>12.61021696505852</v>
      </c>
      <c r="T520" s="11" t="n">
        <v>8.1528581153635</v>
      </c>
      <c r="U520" s="11" t="n">
        <v>0.9350000000000001</v>
      </c>
      <c r="V520" s="11" t="n">
        <v>4.243259560936751</v>
      </c>
      <c r="W520" s="12" t="n">
        <v>2.417928695678711</v>
      </c>
    </row>
    <row r="521">
      <c r="A521" s="4" t="n">
        <v>520</v>
      </c>
      <c r="B521" s="4" t="inlineStr">
        <is>
          <t>compression_set_pct</t>
        </is>
      </c>
      <c r="C521" s="4" t="inlineStr">
        <is>
          <t>Exp2_BO</t>
        </is>
      </c>
      <c r="D521" s="4" t="n">
        <v>2</v>
      </c>
      <c r="E521" s="4" t="n">
        <v>27</v>
      </c>
      <c r="F521" s="4" t="inlineStr">
        <is>
          <t>GP</t>
        </is>
      </c>
      <c r="G521" s="4" t="inlineStr">
        <is>
          <t>matern52</t>
        </is>
      </c>
      <c r="H521" s="4" t="b">
        <v>1</v>
      </c>
      <c r="I521" s="4" t="b">
        <v>1</v>
      </c>
      <c r="J521" s="4" t="inlineStr">
        <is>
          <t>log1p</t>
        </is>
      </c>
      <c r="K521" s="4" t="inlineStr">
        <is>
          <t>none</t>
        </is>
      </c>
      <c r="L521" s="4" t="inlineStr">
        <is>
          <t>compact</t>
        </is>
      </c>
      <c r="M521" s="11" t="n">
        <v>0.8517459182154183</v>
      </c>
      <c r="N521" s="11" t="n">
        <v>-0.487758380729272</v>
      </c>
      <c r="O521" s="11" t="n">
        <v>-3.382333612148111</v>
      </c>
      <c r="P521" s="4" t="n">
        <v>1</v>
      </c>
      <c r="Q521" s="11" t="n">
        <v>0.2501272004104636</v>
      </c>
      <c r="R521" s="11" t="n">
        <v>0</v>
      </c>
      <c r="S521" s="11" t="n">
        <v>12.30146131626519</v>
      </c>
      <c r="T521" s="11" t="n">
        <v>7.865260540123232</v>
      </c>
      <c r="U521" s="11" t="n">
        <v>0.93</v>
      </c>
      <c r="V521" s="11" t="n">
        <v>3.976564315442431</v>
      </c>
      <c r="W521" s="12" t="n">
        <v>67.71007347106934</v>
      </c>
    </row>
    <row r="522">
      <c r="A522" s="4" t="n">
        <v>521</v>
      </c>
      <c r="B522" s="4" t="inlineStr">
        <is>
          <t>compression_set_pct</t>
        </is>
      </c>
      <c r="C522" s="4" t="inlineStr">
        <is>
          <t>Exp2_BO</t>
        </is>
      </c>
      <c r="D522" s="4" t="n">
        <v>2</v>
      </c>
      <c r="E522" s="4" t="n">
        <v>28</v>
      </c>
      <c r="F522" s="4" t="inlineStr">
        <is>
          <t>GP</t>
        </is>
      </c>
      <c r="G522" s="4" t="inlineStr">
        <is>
          <t>rq</t>
        </is>
      </c>
      <c r="H522" s="4" t="b">
        <v>1</v>
      </c>
      <c r="I522" s="4" t="b">
        <v>1</v>
      </c>
      <c r="J522" s="4" t="inlineStr">
        <is>
          <t>log1p</t>
        </is>
      </c>
      <c r="K522" s="4" t="inlineStr">
        <is>
          <t>log</t>
        </is>
      </c>
      <c r="L522" s="4" t="inlineStr">
        <is>
          <t>full</t>
        </is>
      </c>
      <c r="M522" s="11" t="n">
        <v>-0.9431889467572764</v>
      </c>
      <c r="N522" s="11" t="n">
        <v>-0.0813724630738899</v>
      </c>
      <c r="O522" s="11" t="n">
        <v>-4.573927800537495</v>
      </c>
      <c r="P522" s="4" t="n">
        <v>1</v>
      </c>
      <c r="Q522" s="11" t="n">
        <v>0.3430929181871758</v>
      </c>
      <c r="R522" s="11" t="n">
        <v>0</v>
      </c>
      <c r="S522" s="11" t="n">
        <v>11.51369913984914</v>
      </c>
      <c r="T522" s="11" t="n">
        <v>7.251810584767343</v>
      </c>
      <c r="U522" s="11" t="n">
        <v>0.9350000000000001</v>
      </c>
      <c r="V522" s="11" t="n">
        <v>4.156127709781797</v>
      </c>
      <c r="W522" s="12" t="n">
        <v>7.039800643920898</v>
      </c>
    </row>
    <row r="523">
      <c r="A523" s="4" t="n">
        <v>522</v>
      </c>
      <c r="B523" s="4" t="inlineStr">
        <is>
          <t>compression_set_pct</t>
        </is>
      </c>
      <c r="C523" s="4" t="inlineStr">
        <is>
          <t>Exp2_BO</t>
        </is>
      </c>
      <c r="D523" s="4" t="n">
        <v>2</v>
      </c>
      <c r="E523" s="4" t="n">
        <v>29</v>
      </c>
      <c r="F523" s="4" t="inlineStr">
        <is>
          <t>GP</t>
        </is>
      </c>
      <c r="G523" s="4" t="inlineStr">
        <is>
          <t>rq</t>
        </is>
      </c>
      <c r="H523" s="4" t="b">
        <v>0</v>
      </c>
      <c r="I523" s="4" t="b">
        <v>1</v>
      </c>
      <c r="J523" s="4" t="inlineStr">
        <is>
          <t>log1p</t>
        </is>
      </c>
      <c r="K523" s="4" t="inlineStr">
        <is>
          <t>none</t>
        </is>
      </c>
      <c r="L523" s="4" t="inlineStr">
        <is>
          <t>compact</t>
        </is>
      </c>
      <c r="M523" s="11" t="n">
        <v>-0.6853671863979085</v>
      </c>
      <c r="N523" s="11" t="n">
        <v>-0.2789301751175759</v>
      </c>
      <c r="O523" s="11" t="n">
        <v>-2.544307238212828</v>
      </c>
      <c r="P523" s="4" t="n">
        <v>1</v>
      </c>
      <c r="Q523" s="11" t="n">
        <v>0.3554998401197289</v>
      </c>
      <c r="R523" s="11" t="n">
        <v>0</v>
      </c>
      <c r="S523" s="11" t="n">
        <v>11.40445194828681</v>
      </c>
      <c r="T523" s="11" t="n">
        <v>7.312272648263392</v>
      </c>
      <c r="U523" s="11" t="n">
        <v>0.945</v>
      </c>
      <c r="V523" s="11" t="n">
        <v>3.867274104220377</v>
      </c>
      <c r="W523" s="12" t="n">
        <v>6.324364423751831</v>
      </c>
    </row>
    <row r="524">
      <c r="A524" s="4" t="n">
        <v>523</v>
      </c>
      <c r="B524" s="4" t="inlineStr">
        <is>
          <t>compression_set_pct</t>
        </is>
      </c>
      <c r="C524" s="4" t="inlineStr">
        <is>
          <t>Exp3_robust</t>
        </is>
      </c>
      <c r="D524" s="4" t="n"/>
      <c r="E524" s="4" t="n"/>
      <c r="F524" s="4" t="inlineStr">
        <is>
          <t>GP</t>
        </is>
      </c>
      <c r="G524" s="4" t="inlineStr">
        <is>
          <t>rbf</t>
        </is>
      </c>
      <c r="H524" s="4" t="b">
        <v>1</v>
      </c>
      <c r="I524" s="4" t="b">
        <v>1</v>
      </c>
      <c r="J524" s="4" t="inlineStr">
        <is>
          <t>log1p</t>
        </is>
      </c>
      <c r="K524" s="4" t="inlineStr">
        <is>
          <t>log</t>
        </is>
      </c>
      <c r="L524" s="4" t="inlineStr">
        <is>
          <t>full</t>
        </is>
      </c>
      <c r="M524" s="11" t="n">
        <v>-0.9431889467572764</v>
      </c>
      <c r="N524" s="11" t="n">
        <v>-0.0813724630738899</v>
      </c>
      <c r="O524" s="11" t="n">
        <v>-4.573927800537495</v>
      </c>
      <c r="P524" s="4" t="n">
        <v>3</v>
      </c>
      <c r="Q524" s="11" t="n">
        <v>0.3119139292273126</v>
      </c>
      <c r="R524" s="11" t="n">
        <v>0.0596017630322597</v>
      </c>
      <c r="S524" s="11" t="n">
        <v>11.77276779580766</v>
      </c>
      <c r="T524" s="11" t="n">
        <v>7.624505606759771</v>
      </c>
      <c r="U524" s="11" t="n">
        <v>0.892</v>
      </c>
      <c r="V524" s="11" t="n">
        <v>4.106566450188181</v>
      </c>
      <c r="W524" s="12" t="n">
        <v>432.921843290329</v>
      </c>
    </row>
    <row r="525">
      <c r="A525" s="4" t="n">
        <v>524</v>
      </c>
      <c r="B525" s="4" t="inlineStr">
        <is>
          <t>compression_set_pct</t>
        </is>
      </c>
      <c r="C525" s="4" t="inlineStr">
        <is>
          <t>Exp3_robust</t>
        </is>
      </c>
      <c r="D525" s="4" t="n"/>
      <c r="E525" s="4" t="n"/>
      <c r="F525" s="4" t="inlineStr">
        <is>
          <t>GP</t>
        </is>
      </c>
      <c r="G525" s="4" t="inlineStr">
        <is>
          <t>matern52</t>
        </is>
      </c>
      <c r="H525" s="4" t="b">
        <v>1</v>
      </c>
      <c r="I525" s="4" t="b">
        <v>0</v>
      </c>
      <c r="J525" s="4" t="inlineStr">
        <is>
          <t>log1p</t>
        </is>
      </c>
      <c r="K525" s="4" t="inlineStr">
        <is>
          <t>log</t>
        </is>
      </c>
      <c r="L525" s="4" t="inlineStr">
        <is>
          <t>full</t>
        </is>
      </c>
      <c r="M525" s="11" t="n">
        <v>-0.6797680335622733</v>
      </c>
      <c r="N525" s="11" t="n">
        <v>-1.087849124020908</v>
      </c>
      <c r="O525" s="11" t="n">
        <v>-2.519028836219338</v>
      </c>
      <c r="P525" s="4" t="n">
        <v>3</v>
      </c>
      <c r="Q525" s="11" t="n">
        <v>0.3274556615935176</v>
      </c>
      <c r="R525" s="11" t="n">
        <v>0.0427701962114074</v>
      </c>
      <c r="S525" s="11" t="n">
        <v>11.64407135676102</v>
      </c>
      <c r="T525" s="11" t="n">
        <v>7.623708735467166</v>
      </c>
      <c r="U525" s="11" t="n">
        <v>0.91</v>
      </c>
      <c r="V525" s="11" t="n">
        <v>4.124881307987304</v>
      </c>
      <c r="W525" s="12" t="n">
        <v>555.7792022228241</v>
      </c>
    </row>
    <row r="526">
      <c r="A526" s="4" t="n">
        <v>525</v>
      </c>
      <c r="B526" s="4" t="inlineStr">
        <is>
          <t>compression_set_pct</t>
        </is>
      </c>
      <c r="C526" s="4" t="inlineStr">
        <is>
          <t>Exp3_robust</t>
        </is>
      </c>
      <c r="D526" s="4" t="n"/>
      <c r="E526" s="4" t="n"/>
      <c r="F526" s="4" t="inlineStr">
        <is>
          <t>GP</t>
        </is>
      </c>
      <c r="G526" s="4" t="inlineStr">
        <is>
          <t>matern52</t>
        </is>
      </c>
      <c r="H526" s="4" t="b">
        <v>1</v>
      </c>
      <c r="I526" s="4" t="b">
        <v>1</v>
      </c>
      <c r="J526" s="4" t="inlineStr">
        <is>
          <t>log1p</t>
        </is>
      </c>
      <c r="K526" s="4" t="inlineStr">
        <is>
          <t>log</t>
        </is>
      </c>
      <c r="L526" s="4" t="inlineStr">
        <is>
          <t>compact</t>
        </is>
      </c>
      <c r="M526" s="11" t="n">
        <v>-0.3181919388695382</v>
      </c>
      <c r="N526" s="11" t="n">
        <v>-1.321601113253903</v>
      </c>
      <c r="O526" s="11" t="n">
        <v>-2.063928602413659</v>
      </c>
      <c r="P526" s="4" t="n">
        <v>3</v>
      </c>
      <c r="Q526" s="11" t="n">
        <v>0.3155429509688237</v>
      </c>
      <c r="R526" s="11" t="n">
        <v>0.0263041548011233</v>
      </c>
      <c r="S526" s="11" t="n">
        <v>11.75043922014689</v>
      </c>
      <c r="T526" s="11" t="n">
        <v>7.517056876332409</v>
      </c>
      <c r="U526" s="11" t="n">
        <v>0.9</v>
      </c>
      <c r="V526" s="11" t="n">
        <v>4.093529891069034</v>
      </c>
      <c r="W526" s="12" t="n">
        <v>343.2663130760193</v>
      </c>
    </row>
  </sheetData>
  <autoFilter ref="A1:W5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0" customWidth="1" min="6" max="6"/>
    <col width="10" customWidth="1" min="7" max="7"/>
    <col width="13" customWidth="1" min="8" max="8"/>
    <col width="13" customWidth="1" min="9" max="9"/>
    <col width="13" customWidth="1" min="10" max="10"/>
    <col width="13" customWidth="1" min="11" max="11"/>
    <col width="16" customWidth="1" min="12" max="12"/>
    <col width="19" customWidth="1" min="13" max="13"/>
    <col width="20" customWidth="1" min="14" max="14"/>
    <col width="19" customWidth="1" min="15" max="15"/>
    <col width="12" customWidth="1" min="16" max="16"/>
    <col width="11" customWidth="1" min="17" max="17"/>
    <col width="10" customWidth="1" min="18" max="18"/>
    <col width="10" customWidth="1" min="19" max="19"/>
    <col width="11" customWidth="1" min="20" max="20"/>
    <col width="10" customWidth="1" min="21" max="21"/>
    <col width="20" customWidth="1" min="22" max="22"/>
    <col width="19" customWidth="1" min="23" max="23"/>
    <col width="12" customWidth="1" min="24" max="24"/>
    <col width="15" customWidth="1" min="25" max="25"/>
    <col width="19" customWidth="1" min="26" max="26"/>
    <col width="90" customWidth="1" min="27" max="27"/>
    <col width="25" customWidth="1" min="28" max="28"/>
  </cols>
  <sheetData>
    <row r="1" ht="30" customHeight="1">
      <c r="A1" s="6" t="inlineStr">
        <is>
          <t>target</t>
        </is>
      </c>
      <c r="B1" s="6" t="inlineStr">
        <is>
          <t>n_total</t>
        </is>
      </c>
      <c r="C1" s="6" t="inlineStr">
        <is>
          <t>n_dev</t>
        </is>
      </c>
      <c r="D1" s="6" t="inlineStr">
        <is>
          <t>n_test</t>
        </is>
      </c>
      <c r="E1" s="6" t="inlineStr">
        <is>
          <t>n_sources</t>
        </is>
      </c>
      <c r="F1" s="6" t="inlineStr">
        <is>
          <t>kernel</t>
        </is>
      </c>
      <c r="G1" s="6" t="inlineStr">
        <is>
          <t>ARD</t>
        </is>
      </c>
      <c r="H1" s="6" t="inlineStr">
        <is>
          <t>linear_term</t>
        </is>
      </c>
      <c r="I1" s="6" t="inlineStr">
        <is>
          <t>x_transform</t>
        </is>
      </c>
      <c r="J1" s="6" t="inlineStr">
        <is>
          <t>y_transform</t>
        </is>
      </c>
      <c r="K1" s="6" t="inlineStr">
        <is>
          <t>feature_set</t>
        </is>
      </c>
      <c r="L1" s="6" t="inlineStr">
        <is>
          <t>ls_init(log10)</t>
        </is>
      </c>
      <c r="M1" s="6" t="inlineStr">
        <is>
          <t>noise_init(log10)</t>
        </is>
      </c>
      <c r="N1" s="6" t="inlineStr">
        <is>
          <t>noise_floor(log10)</t>
        </is>
      </c>
      <c r="O1" s="6" t="inlineStr">
        <is>
          <t>n_restarts(final)</t>
        </is>
      </c>
      <c r="P1" s="6" t="inlineStr">
        <is>
          <t>CV_R2(5x5)</t>
        </is>
      </c>
      <c r="Q1" s="6" t="inlineStr">
        <is>
          <t>CV_R2_std</t>
        </is>
      </c>
      <c r="R1" s="6" t="inlineStr">
        <is>
          <t>CV_RMSE</t>
        </is>
      </c>
      <c r="S1" s="6" t="inlineStr">
        <is>
          <t>Test_R2</t>
        </is>
      </c>
      <c r="T1" s="6" t="inlineStr">
        <is>
          <t>Test_RMSE</t>
        </is>
      </c>
      <c r="U1" s="6" t="inlineStr">
        <is>
          <t>Test_MAE</t>
        </is>
      </c>
      <c r="V1" s="6" t="inlineStr">
        <is>
          <t>Test_95PI_coverage</t>
        </is>
      </c>
      <c r="W1" s="6" t="inlineStr">
        <is>
          <t>LeaveSourceOut_R2</t>
        </is>
      </c>
      <c r="X1" s="6" t="inlineStr">
        <is>
          <t>RF_Test_R2</t>
        </is>
      </c>
      <c r="Y1" s="6" t="inlineStr">
        <is>
          <t>Ridge_Test_R2</t>
        </is>
      </c>
      <c r="Z1" s="6" t="inlineStr">
        <is>
          <t>GPdefault_Test_R2</t>
        </is>
      </c>
      <c r="AA1" s="6" t="inlineStr">
        <is>
          <t>final_kernel (fitted on all data)</t>
        </is>
      </c>
      <c r="AB1" s="6" t="inlineStr">
        <is>
          <t>log_marginal_likelihood</t>
        </is>
      </c>
    </row>
    <row r="2">
      <c r="A2" s="4" t="inlineStr">
        <is>
          <t>hardness_shoreA</t>
        </is>
      </c>
      <c r="B2" s="4" t="n">
        <v>227</v>
      </c>
      <c r="C2" s="4" t="n">
        <v>181</v>
      </c>
      <c r="D2" s="4" t="n">
        <v>46</v>
      </c>
      <c r="E2" s="4" t="n">
        <v>21</v>
      </c>
      <c r="F2" s="4" t="inlineStr">
        <is>
          <t>matern32</t>
        </is>
      </c>
      <c r="G2" s="4" t="b">
        <v>1</v>
      </c>
      <c r="H2" s="4" t="b">
        <v>1</v>
      </c>
      <c r="I2" s="4" t="inlineStr">
        <is>
          <t>log1p</t>
        </is>
      </c>
      <c r="J2" s="4" t="inlineStr">
        <is>
          <t>log</t>
        </is>
      </c>
      <c r="K2" s="4" t="inlineStr">
        <is>
          <t>full_agg</t>
        </is>
      </c>
      <c r="L2" s="11" t="n">
        <v>-0.8753008417002488</v>
      </c>
      <c r="M2" s="11" t="n">
        <v>-1.076015492581875</v>
      </c>
      <c r="N2" s="11" t="n">
        <v>-2.589468646077373</v>
      </c>
      <c r="O2" s="4" t="n">
        <v>3</v>
      </c>
      <c r="P2" s="11" t="n">
        <v>0.7358239839450663</v>
      </c>
      <c r="Q2" s="11" t="n">
        <v>0.01768114795276515</v>
      </c>
      <c r="R2" s="11" t="n">
        <v>4.673180554805653</v>
      </c>
      <c r="S2" s="11" t="n">
        <v>0.9192872115097895</v>
      </c>
      <c r="T2" s="11" t="n">
        <v>2.365844093589536</v>
      </c>
      <c r="U2" s="11" t="n">
        <v>1.74515400898538</v>
      </c>
      <c r="V2" s="11" t="n">
        <v>0.9782608695652174</v>
      </c>
      <c r="W2" s="11" t="n">
        <v>0.3788250731400448</v>
      </c>
      <c r="X2" s="11" t="n">
        <v>0.8129429763422555</v>
      </c>
      <c r="Y2" s="11" t="n">
        <v>0.7746482092637588</v>
      </c>
      <c r="Z2" s="11" t="n">
        <v>-8.734311231212782</v>
      </c>
      <c r="AA2" s="4" t="inlineStr">
        <is>
          <t>0.776**2 * Matern(length_scale=[1e+03, 2.81, 0.0724, 1e+03, 1.93, 1e+03, 8.19, 1e+03, 0.107, 15.3, 2.65, 1e+03, 0.133, 710, 1.57, 318, 0.133, 0.133, 0.133], nu=1.5) + 0.157**2 * DotProduct(sigma_0=0.00366) + WhiteKernel(noise_level=0.117)</t>
        </is>
      </c>
      <c r="AB2" s="11" t="n">
        <v>-154.5752842805072</v>
      </c>
    </row>
    <row r="3">
      <c r="A3" s="4" t="inlineStr">
        <is>
          <t>tensile_MPa</t>
        </is>
      </c>
      <c r="B3" s="4" t="n">
        <v>263</v>
      </c>
      <c r="C3" s="4" t="n">
        <v>210</v>
      </c>
      <c r="D3" s="4" t="n">
        <v>53</v>
      </c>
      <c r="E3" s="4" t="n">
        <v>26</v>
      </c>
      <c r="F3" s="4" t="inlineStr">
        <is>
          <t>matern12</t>
        </is>
      </c>
      <c r="G3" s="4" t="b">
        <v>0</v>
      </c>
      <c r="H3" s="4" t="b">
        <v>0</v>
      </c>
      <c r="I3" s="4" t="inlineStr">
        <is>
          <t>log1p</t>
        </is>
      </c>
      <c r="J3" s="4" t="inlineStr">
        <is>
          <t>none</t>
        </is>
      </c>
      <c r="K3" s="4" t="inlineStr">
        <is>
          <t>full_cure6</t>
        </is>
      </c>
      <c r="L3" s="11" t="n">
        <v>0.9928482856289711</v>
      </c>
      <c r="M3" s="11" t="n">
        <v>-2.960172163483848</v>
      </c>
      <c r="N3" s="11" t="n">
        <v>-2.268721283378206</v>
      </c>
      <c r="O3" s="4" t="n">
        <v>3</v>
      </c>
      <c r="P3" s="11" t="n">
        <v>0.6911580806491857</v>
      </c>
      <c r="Q3" s="11" t="n">
        <v>0.009959065551003071</v>
      </c>
      <c r="R3" s="11" t="n">
        <v>2.818577458001201</v>
      </c>
      <c r="S3" s="11" t="n">
        <v>0.4834092692493802</v>
      </c>
      <c r="T3" s="11" t="n">
        <v>3.249445997931024</v>
      </c>
      <c r="U3" s="11" t="n">
        <v>2.341804779871744</v>
      </c>
      <c r="V3" s="11" t="n">
        <v>0.9245283018867925</v>
      </c>
      <c r="W3" s="11" t="n">
        <v>0.3030631661727776</v>
      </c>
      <c r="X3" s="11" t="n">
        <v>0.4049465682217446</v>
      </c>
      <c r="Y3" s="11" t="n">
        <v>0.1571012490578463</v>
      </c>
      <c r="Z3" s="11" t="n">
        <v>-3.725352655273703</v>
      </c>
      <c r="AA3" s="4" t="inlineStr">
        <is>
          <t>1.47**2 * Matern(length_scale=13.2, nu=0.5) + WhiteKernel(noise_level=0.22)</t>
        </is>
      </c>
      <c r="AB3" s="11" t="n">
        <v>-269.0072754614393</v>
      </c>
    </row>
    <row r="4">
      <c r="A4" s="4" t="inlineStr">
        <is>
          <t>elongation_pct</t>
        </is>
      </c>
      <c r="B4" s="4" t="n">
        <v>270</v>
      </c>
      <c r="C4" s="4" t="n">
        <v>216</v>
      </c>
      <c r="D4" s="4" t="n">
        <v>54</v>
      </c>
      <c r="E4" s="4" t="n">
        <v>28</v>
      </c>
      <c r="F4" s="4" t="inlineStr">
        <is>
          <t>matern12</t>
        </is>
      </c>
      <c r="G4" s="4" t="b">
        <v>1</v>
      </c>
      <c r="H4" s="4" t="b">
        <v>1</v>
      </c>
      <c r="I4" s="4" t="inlineStr">
        <is>
          <t>std</t>
        </is>
      </c>
      <c r="J4" s="4" t="inlineStr">
        <is>
          <t>log</t>
        </is>
      </c>
      <c r="K4" s="4" t="inlineStr">
        <is>
          <t>compact</t>
        </is>
      </c>
      <c r="L4" s="11" t="n">
        <v>-0.4866064781698363</v>
      </c>
      <c r="M4" s="11" t="n">
        <v>-0.006892936216326806</v>
      </c>
      <c r="N4" s="11" t="n">
        <v>-4.660602622246218</v>
      </c>
      <c r="O4" s="4" t="n">
        <v>3</v>
      </c>
      <c r="P4" s="11" t="n">
        <v>0.6301492788852464</v>
      </c>
      <c r="Q4" s="11" t="n">
        <v>0.01193266696307356</v>
      </c>
      <c r="R4" s="11" t="n">
        <v>34.39838890183997</v>
      </c>
      <c r="S4" s="11" t="n">
        <v>-0.1917989351709621</v>
      </c>
      <c r="T4" s="11" t="n">
        <v>70.25901342155818</v>
      </c>
      <c r="U4" s="11" t="n">
        <v>35.03043079087131</v>
      </c>
      <c r="V4" s="11" t="n">
        <v>0.9259259259259259</v>
      </c>
      <c r="W4" s="11" t="n">
        <v>-0.01605784067743032</v>
      </c>
      <c r="X4" s="11" t="n">
        <v>0.5974144453015642</v>
      </c>
      <c r="Y4" s="11" t="n">
        <v>0.4705762182243814</v>
      </c>
      <c r="Z4" s="11" t="n">
        <v>-1052.517362088942</v>
      </c>
      <c r="AA4" s="4" t="inlineStr">
        <is>
          <t>0.654**2 * Matern(length_scale=[0.0178, 1.05, 836, 3.34, 0.861, 18.5, 0.367, 23.3, 12.4, 854, 0.01, 0.0617, 0.01], nu=0.5) + 0.161**2 * DotProduct(sigma_0=0.00267) + WhiteKernel(noise_level=0.192)</t>
        </is>
      </c>
      <c r="AB4" s="11" t="n">
        <v>-253.1736666684212</v>
      </c>
    </row>
    <row r="5">
      <c r="A5" s="4" t="inlineStr">
        <is>
          <t>m100_MPa</t>
        </is>
      </c>
      <c r="B5" s="4" t="n">
        <v>264</v>
      </c>
      <c r="C5" s="4" t="n">
        <v>211</v>
      </c>
      <c r="D5" s="4" t="n">
        <v>53</v>
      </c>
      <c r="E5" s="4" t="n">
        <v>26</v>
      </c>
      <c r="F5" s="4" t="inlineStr">
        <is>
          <t>matern32</t>
        </is>
      </c>
      <c r="G5" s="4" t="b">
        <v>0</v>
      </c>
      <c r="H5" s="4" t="b">
        <v>1</v>
      </c>
      <c r="I5" s="4" t="inlineStr">
        <is>
          <t>std</t>
        </is>
      </c>
      <c r="J5" s="4" t="inlineStr">
        <is>
          <t>none</t>
        </is>
      </c>
      <c r="K5" s="4" t="inlineStr">
        <is>
          <t>full_cure6</t>
        </is>
      </c>
      <c r="L5" s="11" t="n">
        <v>0.9219744817257234</v>
      </c>
      <c r="M5" s="11" t="n">
        <v>-2.711809448103386</v>
      </c>
      <c r="N5" s="11" t="n">
        <v>-5.709593265912936</v>
      </c>
      <c r="O5" s="4" t="n">
        <v>3</v>
      </c>
      <c r="P5" s="11" t="n">
        <v>0.7208684614244767</v>
      </c>
      <c r="Q5" s="11" t="n">
        <v>0.01960297767085287</v>
      </c>
      <c r="R5" s="11" t="n">
        <v>1.990739283870717</v>
      </c>
      <c r="S5" s="11" t="n">
        <v>0.8142502853840807</v>
      </c>
      <c r="T5" s="11" t="n">
        <v>1.221202659236895</v>
      </c>
      <c r="U5" s="11" t="n">
        <v>0.95480702034793</v>
      </c>
      <c r="V5" s="11" t="n">
        <v>1</v>
      </c>
      <c r="W5" s="11" t="n">
        <v>0.2590895969589366</v>
      </c>
      <c r="X5" s="11" t="n">
        <v>0.6695255896064634</v>
      </c>
      <c r="Y5" s="11" t="n">
        <v>0.4355498891000562</v>
      </c>
      <c r="Z5" s="11" t="n">
        <v>-528.0704841429313</v>
      </c>
      <c r="AA5" s="4" t="inlineStr">
        <is>
          <t>0.646**2 * Matern(length_scale=2.14, nu=1.5) + 0.232**2 * DotProduct(sigma_0=0.00102) + WhiteKernel(noise_level=0.146)</t>
        </is>
      </c>
      <c r="AB5" s="11" t="n">
        <v>-224.6257738094766</v>
      </c>
    </row>
    <row r="6">
      <c r="A6" s="4" t="inlineStr">
        <is>
          <t>compression_set_pct</t>
        </is>
      </c>
      <c r="B6" s="4" t="n">
        <v>250</v>
      </c>
      <c r="C6" s="4" t="n">
        <v>200</v>
      </c>
      <c r="D6" s="4" t="n">
        <v>50</v>
      </c>
      <c r="E6" s="4" t="n">
        <v>24</v>
      </c>
      <c r="F6" s="4" t="inlineStr">
        <is>
          <t>matern52</t>
        </is>
      </c>
      <c r="G6" s="4" t="b">
        <v>1</v>
      </c>
      <c r="H6" s="4" t="b">
        <v>0</v>
      </c>
      <c r="I6" s="4" t="inlineStr">
        <is>
          <t>log1p</t>
        </is>
      </c>
      <c r="J6" s="4" t="inlineStr">
        <is>
          <t>log</t>
        </is>
      </c>
      <c r="K6" s="4" t="inlineStr">
        <is>
          <t>full</t>
        </is>
      </c>
      <c r="L6" s="11" t="n">
        <v>-0.6797680335622733</v>
      </c>
      <c r="M6" s="11" t="n">
        <v>-1.087849124020908</v>
      </c>
      <c r="N6" s="11" t="n">
        <v>-2.519028836219338</v>
      </c>
      <c r="O6" s="4" t="n">
        <v>3</v>
      </c>
      <c r="P6" s="11" t="n">
        <v>0.3274556615935176</v>
      </c>
      <c r="Q6" s="11" t="n">
        <v>0.04277019621140746</v>
      </c>
      <c r="R6" s="11" t="n">
        <v>11.64407135676102</v>
      </c>
      <c r="S6" s="11" t="n">
        <v>0.09747608741403979</v>
      </c>
      <c r="T6" s="11" t="n">
        <v>12.14439599827718</v>
      </c>
      <c r="U6" s="11" t="n">
        <v>7.729567900683487</v>
      </c>
      <c r="V6" s="11" t="n">
        <v>0.86</v>
      </c>
      <c r="W6" s="11" t="n">
        <v>-0.135944214634274</v>
      </c>
      <c r="X6" s="11" t="n">
        <v>0.1653200420581564</v>
      </c>
      <c r="Y6" s="11" t="n">
        <v>0.06542272027242702</v>
      </c>
      <c r="Z6" s="11" t="n">
        <v>-20.48468435668348</v>
      </c>
      <c r="AA6" s="4" t="inlineStr">
        <is>
          <t>0.983**2 * Matern(length_scale=[1.44, 2.22, 5.73, 2.35, 0.135, 2.11, 1.86, 3.74, 1e+03, 653, 0.342, 2.28, 0.209, 1e+03, 0.209, 0.209, 0.209, 0.0424], nu=2.5) + WhiteKernel(noise_level=0.269)</t>
        </is>
      </c>
      <c r="AB6" s="11" t="n">
        <v>-287.6171319231239</v>
      </c>
    </row>
  </sheetData>
  <autoFilter ref="A1:AB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7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5"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ht="30" customHeight="1">
      <c r="A1" s="6" t="inlineStr">
        <is>
          <t>target</t>
        </is>
      </c>
      <c r="B1" s="6" t="inlineStr">
        <is>
          <t>row_id</t>
        </is>
      </c>
      <c r="C1" s="6" t="inlineStr">
        <is>
          <t>source_id</t>
        </is>
      </c>
      <c r="D1" s="6" t="inlineStr">
        <is>
          <t>example_label</t>
        </is>
      </c>
      <c r="E1" s="6" t="inlineStr">
        <is>
          <t>set</t>
        </is>
      </c>
      <c r="F1" s="6" t="inlineStr">
        <is>
          <t>y_true</t>
        </is>
      </c>
      <c r="G1" s="6" t="inlineStr">
        <is>
          <t>y_pred</t>
        </is>
      </c>
      <c r="H1" s="6" t="inlineStr">
        <is>
          <t>y_std</t>
        </is>
      </c>
      <c r="I1" s="6" t="inlineStr">
        <is>
          <t>lower95</t>
        </is>
      </c>
      <c r="J1" s="6" t="inlineStr">
        <is>
          <t>upper95</t>
        </is>
      </c>
      <c r="K1" s="6" t="inlineStr">
        <is>
          <t>residual</t>
        </is>
      </c>
      <c r="L1" s="6" t="inlineStr">
        <is>
          <t>inside95</t>
        </is>
      </c>
    </row>
    <row r="2">
      <c r="A2" s="4" t="inlineStr">
        <is>
          <t>hardness_shoreA</t>
        </is>
      </c>
      <c r="B2" s="4" t="inlineStr">
        <is>
          <t>G016</t>
        </is>
      </c>
      <c r="C2" s="4" t="inlineStr">
        <is>
          <t>US7678858B2</t>
        </is>
      </c>
      <c r="D2" s="4" t="inlineStr">
        <is>
          <t>Example 15</t>
        </is>
      </c>
      <c r="E2" s="4" t="inlineStr">
        <is>
          <t>dev(OOF)</t>
        </is>
      </c>
      <c r="F2" s="10" t="n">
        <v>82</v>
      </c>
      <c r="G2" s="10" t="n">
        <v>78.6907581608038</v>
      </c>
      <c r="H2" s="10" t="n">
        <v>3.435778541413826</v>
      </c>
      <c r="I2" s="10">
        <f>G2-1.96*H2</f>
        <v/>
      </c>
      <c r="J2" s="10">
        <f>G2+1.96*H2</f>
        <v/>
      </c>
      <c r="K2" s="10">
        <f>G2-F2</f>
        <v/>
      </c>
      <c r="L2" s="4">
        <f>IF(AND(F2&gt;=I2,F2&lt;=J2),1,0)</f>
        <v/>
      </c>
    </row>
    <row r="3">
      <c r="A3" s="4" t="inlineStr">
        <is>
          <t>hardness_shoreA</t>
        </is>
      </c>
      <c r="B3" s="4" t="inlineStr">
        <is>
          <t>G026</t>
        </is>
      </c>
      <c r="C3" s="4" t="inlineStr">
        <is>
          <t>US6803402B2</t>
        </is>
      </c>
      <c r="D3" s="4" t="inlineStr">
        <is>
          <t>Comparative Example 1</t>
        </is>
      </c>
      <c r="E3" s="4" t="inlineStr">
        <is>
          <t>dev(OOF)</t>
        </is>
      </c>
      <c r="F3" s="10" t="n">
        <v>59</v>
      </c>
      <c r="G3" s="10" t="n">
        <v>63.5094677236394</v>
      </c>
      <c r="H3" s="10" t="n">
        <v>3.492760753103344</v>
      </c>
      <c r="I3" s="10">
        <f>G3-1.96*H3</f>
        <v/>
      </c>
      <c r="J3" s="10">
        <f>G3+1.96*H3</f>
        <v/>
      </c>
      <c r="K3" s="10">
        <f>G3-F3</f>
        <v/>
      </c>
      <c r="L3" s="4">
        <f>IF(AND(F3&gt;=I3,F3&lt;=J3),1,0)</f>
        <v/>
      </c>
    </row>
    <row r="4">
      <c r="A4" s="4" t="inlineStr">
        <is>
          <t>hardness_shoreA</t>
        </is>
      </c>
      <c r="B4" s="4" t="inlineStr">
        <is>
          <t>G325</t>
        </is>
      </c>
      <c r="C4" s="4" t="inlineStr">
        <is>
          <t>KR101467101B1</t>
        </is>
      </c>
      <c r="D4" s="4" t="inlineStr">
        <is>
          <t>Table 2 sample 3</t>
        </is>
      </c>
      <c r="E4" s="4" t="inlineStr">
        <is>
          <t>dev(OOF)</t>
        </is>
      </c>
      <c r="F4" s="10" t="n">
        <v>65</v>
      </c>
      <c r="G4" s="10" t="n">
        <v>69.64389002871818</v>
      </c>
      <c r="H4" s="10" t="n">
        <v>7.638176046536942</v>
      </c>
      <c r="I4" s="10">
        <f>G4-1.96*H4</f>
        <v/>
      </c>
      <c r="J4" s="10">
        <f>G4+1.96*H4</f>
        <v/>
      </c>
      <c r="K4" s="10">
        <f>G4-F4</f>
        <v/>
      </c>
      <c r="L4" s="4">
        <f>IF(AND(F4&gt;=I4,F4&lt;=J4),1,0)</f>
        <v/>
      </c>
    </row>
    <row r="5">
      <c r="A5" s="4" t="inlineStr">
        <is>
          <t>hardness_shoreA</t>
        </is>
      </c>
      <c r="B5" s="4" t="inlineStr">
        <is>
          <t>G077</t>
        </is>
      </c>
      <c r="C5" s="4" t="inlineStr">
        <is>
          <t>US12091537B2</t>
        </is>
      </c>
      <c r="D5" s="4" t="inlineStr">
        <is>
          <t>Example 4</t>
        </is>
      </c>
      <c r="E5" s="4" t="inlineStr">
        <is>
          <t>dev(OOF)</t>
        </is>
      </c>
      <c r="F5" s="10" t="n">
        <v>79</v>
      </c>
      <c r="G5" s="10" t="n">
        <v>78.18894105926083</v>
      </c>
      <c r="H5" s="10" t="n">
        <v>3.923613819954409</v>
      </c>
      <c r="I5" s="10">
        <f>G5-1.96*H5</f>
        <v/>
      </c>
      <c r="J5" s="10">
        <f>G5+1.96*H5</f>
        <v/>
      </c>
      <c r="K5" s="10">
        <f>G5-F5</f>
        <v/>
      </c>
      <c r="L5" s="4">
        <f>IF(AND(F5&gt;=I5,F5&lt;=J5),1,0)</f>
        <v/>
      </c>
    </row>
    <row r="6">
      <c r="A6" s="4" t="inlineStr">
        <is>
          <t>hardness_shoreA</t>
        </is>
      </c>
      <c r="B6" s="4" t="inlineStr">
        <is>
          <t>G272</t>
        </is>
      </c>
      <c r="C6" s="4" t="inlineStr">
        <is>
          <t>US20230174763A1</t>
        </is>
      </c>
      <c r="D6" s="4" t="inlineStr">
        <is>
          <t>Comparative Example 11</t>
        </is>
      </c>
      <c r="E6" s="4" t="inlineStr">
        <is>
          <t>dev(OOF)</t>
        </is>
      </c>
      <c r="F6" s="10" t="n">
        <v>70</v>
      </c>
      <c r="G6" s="10" t="n">
        <v>68.85034569849211</v>
      </c>
      <c r="H6" s="10" t="n">
        <v>3.913317932050614</v>
      </c>
      <c r="I6" s="10">
        <f>G6-1.96*H6</f>
        <v/>
      </c>
      <c r="J6" s="10">
        <f>G6+1.96*H6</f>
        <v/>
      </c>
      <c r="K6" s="10">
        <f>G6-F6</f>
        <v/>
      </c>
      <c r="L6" s="4">
        <f>IF(AND(F6&gt;=I6,F6&lt;=J6),1,0)</f>
        <v/>
      </c>
    </row>
    <row r="7">
      <c r="A7" s="4" t="inlineStr">
        <is>
          <t>hardness_shoreA</t>
        </is>
      </c>
      <c r="B7" s="4" t="inlineStr">
        <is>
          <t>G191</t>
        </is>
      </c>
      <c r="C7" s="4" t="inlineStr">
        <is>
          <t>US20160319102A1</t>
        </is>
      </c>
      <c r="D7" s="4" t="inlineStr">
        <is>
          <t>Example 2</t>
        </is>
      </c>
      <c r="E7" s="4" t="inlineStr">
        <is>
          <t>dev(OOF)</t>
        </is>
      </c>
      <c r="F7" s="10" t="n">
        <v>70</v>
      </c>
      <c r="G7" s="10" t="n">
        <v>64.4755689200761</v>
      </c>
      <c r="H7" s="10" t="n">
        <v>3.263819210634121</v>
      </c>
      <c r="I7" s="10">
        <f>G7-1.96*H7</f>
        <v/>
      </c>
      <c r="J7" s="10">
        <f>G7+1.96*H7</f>
        <v/>
      </c>
      <c r="K7" s="10">
        <f>G7-F7</f>
        <v/>
      </c>
      <c r="L7" s="4">
        <f>IF(AND(F7&gt;=I7,F7&lt;=J7),1,0)</f>
        <v/>
      </c>
    </row>
    <row r="8">
      <c r="A8" s="4" t="inlineStr">
        <is>
          <t>hardness_shoreA</t>
        </is>
      </c>
      <c r="B8" s="4" t="inlineStr">
        <is>
          <t>G292</t>
        </is>
      </c>
      <c r="C8" s="4" t="inlineStr">
        <is>
          <t>EP4249550A1</t>
        </is>
      </c>
      <c r="D8" s="4" t="inlineStr">
        <is>
          <t>Example 3</t>
        </is>
      </c>
      <c r="E8" s="4" t="inlineStr">
        <is>
          <t>dev(OOF)</t>
        </is>
      </c>
      <c r="F8" s="10" t="n">
        <v>72</v>
      </c>
      <c r="G8" s="10" t="n">
        <v>70.36569955212975</v>
      </c>
      <c r="H8" s="10" t="n">
        <v>3.20834272343987</v>
      </c>
      <c r="I8" s="10">
        <f>G8-1.96*H8</f>
        <v/>
      </c>
      <c r="J8" s="10">
        <f>G8+1.96*H8</f>
        <v/>
      </c>
      <c r="K8" s="10">
        <f>G8-F8</f>
        <v/>
      </c>
      <c r="L8" s="4">
        <f>IF(AND(F8&gt;=I8,F8&lt;=J8),1,0)</f>
        <v/>
      </c>
    </row>
    <row r="9">
      <c r="A9" s="4" t="inlineStr">
        <is>
          <t>hardness_shoreA</t>
        </is>
      </c>
      <c r="B9" s="4" t="inlineStr">
        <is>
          <t>G319</t>
        </is>
      </c>
      <c r="C9" s="4" t="inlineStr">
        <is>
          <t>KR102400335B1</t>
        </is>
      </c>
      <c r="D9" s="4" t="inlineStr">
        <is>
          <t>Example 5</t>
        </is>
      </c>
      <c r="E9" s="4" t="inlineStr">
        <is>
          <t>dev(OOF)</t>
        </is>
      </c>
      <c r="F9" s="10" t="n">
        <v>73</v>
      </c>
      <c r="G9" s="10" t="n">
        <v>76.25982118207041</v>
      </c>
      <c r="H9" s="10" t="n">
        <v>5.863810413511594</v>
      </c>
      <c r="I9" s="10">
        <f>G9-1.96*H9</f>
        <v/>
      </c>
      <c r="J9" s="10">
        <f>G9+1.96*H9</f>
        <v/>
      </c>
      <c r="K9" s="10">
        <f>G9-F9</f>
        <v/>
      </c>
      <c r="L9" s="4">
        <f>IF(AND(F9&gt;=I9,F9&lt;=J9),1,0)</f>
        <v/>
      </c>
    </row>
    <row r="10">
      <c r="A10" s="4" t="inlineStr">
        <is>
          <t>hardness_shoreA</t>
        </is>
      </c>
      <c r="B10" s="4" t="inlineStr">
        <is>
          <t>G118</t>
        </is>
      </c>
      <c r="C10" s="4" t="inlineStr">
        <is>
          <t>US5696189A</t>
        </is>
      </c>
      <c r="D10" s="4" t="inlineStr">
        <is>
          <t>Example 1</t>
        </is>
      </c>
      <c r="E10" s="4" t="inlineStr">
        <is>
          <t>dev(OOF)</t>
        </is>
      </c>
      <c r="F10" s="10" t="n">
        <v>76</v>
      </c>
      <c r="G10" s="10" t="n">
        <v>80.38776352348744</v>
      </c>
      <c r="H10" s="10" t="n">
        <v>8.352914174604079</v>
      </c>
      <c r="I10" s="10">
        <f>G10-1.96*H10</f>
        <v/>
      </c>
      <c r="J10" s="10">
        <f>G10+1.96*H10</f>
        <v/>
      </c>
      <c r="K10" s="10">
        <f>G10-F10</f>
        <v/>
      </c>
      <c r="L10" s="4">
        <f>IF(AND(F10&gt;=I10,F10&lt;=J10),1,0)</f>
        <v/>
      </c>
    </row>
    <row r="11">
      <c r="A11" s="4" t="inlineStr">
        <is>
          <t>hardness_shoreA</t>
        </is>
      </c>
      <c r="B11" s="4" t="inlineStr">
        <is>
          <t>G085</t>
        </is>
      </c>
      <c r="C11" s="4" t="inlineStr">
        <is>
          <t>US8367776B2</t>
        </is>
      </c>
      <c r="D11" s="4" t="inlineStr">
        <is>
          <t>Comparative Example 2</t>
        </is>
      </c>
      <c r="E11" s="4" t="inlineStr">
        <is>
          <t>dev(OOF)</t>
        </is>
      </c>
      <c r="F11" s="10" t="n">
        <v>78</v>
      </c>
      <c r="G11" s="10" t="n">
        <v>63.76050843437204</v>
      </c>
      <c r="H11" s="10" t="n">
        <v>2.349324440531196</v>
      </c>
      <c r="I11" s="10">
        <f>G11-1.96*H11</f>
        <v/>
      </c>
      <c r="J11" s="10">
        <f>G11+1.96*H11</f>
        <v/>
      </c>
      <c r="K11" s="10">
        <f>G11-F11</f>
        <v/>
      </c>
      <c r="L11" s="4">
        <f>IF(AND(F11&gt;=I11,F11&lt;=J11),1,0)</f>
        <v/>
      </c>
    </row>
    <row r="12">
      <c r="A12" s="4" t="inlineStr">
        <is>
          <t>hardness_shoreA</t>
        </is>
      </c>
      <c r="B12" s="4" t="inlineStr">
        <is>
          <t>G058</t>
        </is>
      </c>
      <c r="C12" s="4" t="inlineStr">
        <is>
          <t>US11753523B2</t>
        </is>
      </c>
      <c r="D12" s="4" t="inlineStr">
        <is>
          <t>Comparative Example 1</t>
        </is>
      </c>
      <c r="E12" s="4" t="inlineStr">
        <is>
          <t>dev(OOF)</t>
        </is>
      </c>
      <c r="F12" s="10" t="n">
        <v>72</v>
      </c>
      <c r="G12" s="10" t="n">
        <v>74.374789363402</v>
      </c>
      <c r="H12" s="10" t="n">
        <v>4.202069512314695</v>
      </c>
      <c r="I12" s="10">
        <f>G12-1.96*H12</f>
        <v/>
      </c>
      <c r="J12" s="10">
        <f>G12+1.96*H12</f>
        <v/>
      </c>
      <c r="K12" s="10">
        <f>G12-F12</f>
        <v/>
      </c>
      <c r="L12" s="4">
        <f>IF(AND(F12&gt;=I12,F12&lt;=J12),1,0)</f>
        <v/>
      </c>
    </row>
    <row r="13">
      <c r="A13" s="4" t="inlineStr">
        <is>
          <t>hardness_shoreA</t>
        </is>
      </c>
      <c r="B13" s="4" t="inlineStr">
        <is>
          <t>G297</t>
        </is>
      </c>
      <c r="C13" s="4" t="inlineStr">
        <is>
          <t>EP4249550A1</t>
        </is>
      </c>
      <c r="D13" s="4" t="inlineStr">
        <is>
          <t>Example 8</t>
        </is>
      </c>
      <c r="E13" s="4" t="inlineStr">
        <is>
          <t>dev(OOF)</t>
        </is>
      </c>
      <c r="F13" s="10" t="n">
        <v>68</v>
      </c>
      <c r="G13" s="10" t="n">
        <v>71.47991316463738</v>
      </c>
      <c r="H13" s="10" t="n">
        <v>4.133429331439438</v>
      </c>
      <c r="I13" s="10">
        <f>G13-1.96*H13</f>
        <v/>
      </c>
      <c r="J13" s="10">
        <f>G13+1.96*H13</f>
        <v/>
      </c>
      <c r="K13" s="10">
        <f>G13-F13</f>
        <v/>
      </c>
      <c r="L13" s="4">
        <f>IF(AND(F13&gt;=I13,F13&lt;=J13),1,0)</f>
        <v/>
      </c>
    </row>
    <row r="14">
      <c r="A14" s="4" t="inlineStr">
        <is>
          <t>hardness_shoreA</t>
        </is>
      </c>
      <c r="B14" s="4" t="inlineStr">
        <is>
          <t>G255</t>
        </is>
      </c>
      <c r="C14" s="4" t="inlineStr">
        <is>
          <t>US12584054B2</t>
        </is>
      </c>
      <c r="D14" s="4" t="inlineStr">
        <is>
          <t>Comparative Example 7</t>
        </is>
      </c>
      <c r="E14" s="4" t="inlineStr">
        <is>
          <t>dev(OOF)</t>
        </is>
      </c>
      <c r="F14" s="10" t="n">
        <v>55</v>
      </c>
      <c r="G14" s="10" t="n">
        <v>58.23659142856333</v>
      </c>
      <c r="H14" s="10" t="n">
        <v>2.776746257965418</v>
      </c>
      <c r="I14" s="10">
        <f>G14-1.96*H14</f>
        <v/>
      </c>
      <c r="J14" s="10">
        <f>G14+1.96*H14</f>
        <v/>
      </c>
      <c r="K14" s="10">
        <f>G14-F14</f>
        <v/>
      </c>
      <c r="L14" s="4">
        <f>IF(AND(F14&gt;=I14,F14&lt;=J14),1,0)</f>
        <v/>
      </c>
    </row>
    <row r="15">
      <c r="A15" s="4" t="inlineStr">
        <is>
          <t>hardness_shoreA</t>
        </is>
      </c>
      <c r="B15" s="4" t="inlineStr">
        <is>
          <t>G076</t>
        </is>
      </c>
      <c r="C15" s="4" t="inlineStr">
        <is>
          <t>US12091537B2</t>
        </is>
      </c>
      <c r="D15" s="4" t="inlineStr">
        <is>
          <t>Example 3</t>
        </is>
      </c>
      <c r="E15" s="4" t="inlineStr">
        <is>
          <t>dev(OOF)</t>
        </is>
      </c>
      <c r="F15" s="10" t="n">
        <v>79</v>
      </c>
      <c r="G15" s="10" t="n">
        <v>76.9989788214807</v>
      </c>
      <c r="H15" s="10" t="n">
        <v>2.778000260713461</v>
      </c>
      <c r="I15" s="10">
        <f>G15-1.96*H15</f>
        <v/>
      </c>
      <c r="J15" s="10">
        <f>G15+1.96*H15</f>
        <v/>
      </c>
      <c r="K15" s="10">
        <f>G15-F15</f>
        <v/>
      </c>
      <c r="L15" s="4">
        <f>IF(AND(F15&gt;=I15,F15&lt;=J15),1,0)</f>
        <v/>
      </c>
    </row>
    <row r="16">
      <c r="A16" s="4" t="inlineStr">
        <is>
          <t>hardness_shoreA</t>
        </is>
      </c>
      <c r="B16" s="4" t="inlineStr">
        <is>
          <t>G035</t>
        </is>
      </c>
      <c r="C16" s="4" t="inlineStr">
        <is>
          <t>US8173727B2</t>
        </is>
      </c>
      <c r="D16" s="4" t="inlineStr">
        <is>
          <t>Example 7</t>
        </is>
      </c>
      <c r="E16" s="4" t="inlineStr">
        <is>
          <t>dev(OOF)</t>
        </is>
      </c>
      <c r="F16" s="10" t="n">
        <v>80</v>
      </c>
      <c r="G16" s="10" t="n">
        <v>76.33817010959142</v>
      </c>
      <c r="H16" s="10" t="n">
        <v>4.047586580639263</v>
      </c>
      <c r="I16" s="10">
        <f>G16-1.96*H16</f>
        <v/>
      </c>
      <c r="J16" s="10">
        <f>G16+1.96*H16</f>
        <v/>
      </c>
      <c r="K16" s="10">
        <f>G16-F16</f>
        <v/>
      </c>
      <c r="L16" s="4">
        <f>IF(AND(F16&gt;=I16,F16&lt;=J16),1,0)</f>
        <v/>
      </c>
    </row>
    <row r="17">
      <c r="A17" s="4" t="inlineStr">
        <is>
          <t>hardness_shoreA</t>
        </is>
      </c>
      <c r="B17" s="4" t="inlineStr">
        <is>
          <t>G021</t>
        </is>
      </c>
      <c r="C17" s="4" t="inlineStr">
        <is>
          <t>US7678858B2</t>
        </is>
      </c>
      <c r="D17" s="4" t="inlineStr">
        <is>
          <t>Example 20</t>
        </is>
      </c>
      <c r="E17" s="4" t="inlineStr">
        <is>
          <t>dev(OOF)</t>
        </is>
      </c>
      <c r="F17" s="10" t="n">
        <v>82</v>
      </c>
      <c r="G17" s="10" t="n">
        <v>80.99709980139797</v>
      </c>
      <c r="H17" s="10" t="n">
        <v>4.554043284947607</v>
      </c>
      <c r="I17" s="10">
        <f>G17-1.96*H17</f>
        <v/>
      </c>
      <c r="J17" s="10">
        <f>G17+1.96*H17</f>
        <v/>
      </c>
      <c r="K17" s="10">
        <f>G17-F17</f>
        <v/>
      </c>
      <c r="L17" s="4">
        <f>IF(AND(F17&gt;=I17,F17&lt;=J17),1,0)</f>
        <v/>
      </c>
    </row>
    <row r="18">
      <c r="A18" s="4" t="inlineStr">
        <is>
          <t>hardness_shoreA</t>
        </is>
      </c>
      <c r="B18" s="4" t="inlineStr">
        <is>
          <t>G030</t>
        </is>
      </c>
      <c r="C18" s="4" t="inlineStr">
        <is>
          <t>US8173727B2</t>
        </is>
      </c>
      <c r="D18" s="4" t="inlineStr">
        <is>
          <t>Example 2</t>
        </is>
      </c>
      <c r="E18" s="4" t="inlineStr">
        <is>
          <t>dev(OOF)</t>
        </is>
      </c>
      <c r="F18" s="10" t="n">
        <v>80</v>
      </c>
      <c r="G18" s="10" t="n">
        <v>80.41444362571873</v>
      </c>
      <c r="H18" s="10" t="n">
        <v>4.358753676883071</v>
      </c>
      <c r="I18" s="10">
        <f>G18-1.96*H18</f>
        <v/>
      </c>
      <c r="J18" s="10">
        <f>G18+1.96*H18</f>
        <v/>
      </c>
      <c r="K18" s="10">
        <f>G18-F18</f>
        <v/>
      </c>
      <c r="L18" s="4">
        <f>IF(AND(F18&gt;=I18,F18&lt;=J18),1,0)</f>
        <v/>
      </c>
    </row>
    <row r="19">
      <c r="A19" s="4" t="inlineStr">
        <is>
          <t>hardness_shoreA</t>
        </is>
      </c>
      <c r="B19" s="4" t="inlineStr">
        <is>
          <t>G116</t>
        </is>
      </c>
      <c r="C19" s="4" t="inlineStr">
        <is>
          <t>US5696189A</t>
        </is>
      </c>
      <c r="D19" s="4" t="inlineStr">
        <is>
          <t>Comparative Example A</t>
        </is>
      </c>
      <c r="E19" s="4" t="inlineStr">
        <is>
          <t>dev(OOF)</t>
        </is>
      </c>
      <c r="F19" s="10" t="n">
        <v>77</v>
      </c>
      <c r="G19" s="10" t="n">
        <v>74.29241685904263</v>
      </c>
      <c r="H19" s="10" t="n">
        <v>5.940800947538166</v>
      </c>
      <c r="I19" s="10">
        <f>G19-1.96*H19</f>
        <v/>
      </c>
      <c r="J19" s="10">
        <f>G19+1.96*H19</f>
        <v/>
      </c>
      <c r="K19" s="10">
        <f>G19-F19</f>
        <v/>
      </c>
      <c r="L19" s="4">
        <f>IF(AND(F19&gt;=I19,F19&lt;=J19),1,0)</f>
        <v/>
      </c>
    </row>
    <row r="20">
      <c r="A20" s="4" t="inlineStr">
        <is>
          <t>hardness_shoreA</t>
        </is>
      </c>
      <c r="B20" s="4" t="inlineStr">
        <is>
          <t>G257</t>
        </is>
      </c>
      <c r="C20" s="4" t="inlineStr">
        <is>
          <t>US12584054B2</t>
        </is>
      </c>
      <c r="D20" s="4" t="inlineStr">
        <is>
          <t>Comparative Example 9</t>
        </is>
      </c>
      <c r="E20" s="4" t="inlineStr">
        <is>
          <t>dev(OOF)</t>
        </is>
      </c>
      <c r="F20" s="10" t="n">
        <v>55</v>
      </c>
      <c r="G20" s="10" t="n">
        <v>56.40583857477952</v>
      </c>
      <c r="H20" s="10" t="n">
        <v>2.133902999848867</v>
      </c>
      <c r="I20" s="10">
        <f>G20-1.96*H20</f>
        <v/>
      </c>
      <c r="J20" s="10">
        <f>G20+1.96*H20</f>
        <v/>
      </c>
      <c r="K20" s="10">
        <f>G20-F20</f>
        <v/>
      </c>
      <c r="L20" s="4">
        <f>IF(AND(F20&gt;=I20,F20&lt;=J20),1,0)</f>
        <v/>
      </c>
    </row>
    <row r="21">
      <c r="A21" s="4" t="inlineStr">
        <is>
          <t>hardness_shoreA</t>
        </is>
      </c>
      <c r="B21" s="4" t="inlineStr">
        <is>
          <t>G293</t>
        </is>
      </c>
      <c r="C21" s="4" t="inlineStr">
        <is>
          <t>EP4249550A1</t>
        </is>
      </c>
      <c r="D21" s="4" t="inlineStr">
        <is>
          <t>Example 4</t>
        </is>
      </c>
      <c r="E21" s="4" t="inlineStr">
        <is>
          <t>dev(OOF)</t>
        </is>
      </c>
      <c r="F21" s="10" t="n">
        <v>71</v>
      </c>
      <c r="G21" s="10" t="n">
        <v>71.44670202828789</v>
      </c>
      <c r="H21" s="10" t="n">
        <v>2.606017476601719</v>
      </c>
      <c r="I21" s="10">
        <f>G21-1.96*H21</f>
        <v/>
      </c>
      <c r="J21" s="10">
        <f>G21+1.96*H21</f>
        <v/>
      </c>
      <c r="K21" s="10">
        <f>G21-F21</f>
        <v/>
      </c>
      <c r="L21" s="4">
        <f>IF(AND(F21&gt;=I21,F21&lt;=J21),1,0)</f>
        <v/>
      </c>
    </row>
    <row r="22">
      <c r="A22" s="4" t="inlineStr">
        <is>
          <t>hardness_shoreA</t>
        </is>
      </c>
      <c r="B22" s="4" t="inlineStr">
        <is>
          <t>G079</t>
        </is>
      </c>
      <c r="C22" s="4" t="inlineStr">
        <is>
          <t>US12091537B2</t>
        </is>
      </c>
      <c r="D22" s="4" t="inlineStr">
        <is>
          <t>Comparative Example 1</t>
        </is>
      </c>
      <c r="E22" s="4" t="inlineStr">
        <is>
          <t>dev(OOF)</t>
        </is>
      </c>
      <c r="F22" s="10" t="n">
        <v>79</v>
      </c>
      <c r="G22" s="10" t="n">
        <v>78.26728141458942</v>
      </c>
      <c r="H22" s="10" t="n">
        <v>3.515981013320868</v>
      </c>
      <c r="I22" s="10">
        <f>G22-1.96*H22</f>
        <v/>
      </c>
      <c r="J22" s="10">
        <f>G22+1.96*H22</f>
        <v/>
      </c>
      <c r="K22" s="10">
        <f>G22-F22</f>
        <v/>
      </c>
      <c r="L22" s="4">
        <f>IF(AND(F22&gt;=I22,F22&lt;=J22),1,0)</f>
        <v/>
      </c>
    </row>
    <row r="23">
      <c r="A23" s="4" t="inlineStr">
        <is>
          <t>hardness_shoreA</t>
        </is>
      </c>
      <c r="B23" s="4" t="inlineStr">
        <is>
          <t>G117</t>
        </is>
      </c>
      <c r="C23" s="4" t="inlineStr">
        <is>
          <t>US5696189A</t>
        </is>
      </c>
      <c r="D23" s="4" t="inlineStr">
        <is>
          <t>Comparative Example B</t>
        </is>
      </c>
      <c r="E23" s="4" t="inlineStr">
        <is>
          <t>dev(OOF)</t>
        </is>
      </c>
      <c r="F23" s="10" t="n">
        <v>65</v>
      </c>
      <c r="G23" s="10" t="n">
        <v>70.66758714014469</v>
      </c>
      <c r="H23" s="10" t="n">
        <v>6.63836316049977</v>
      </c>
      <c r="I23" s="10">
        <f>G23-1.96*H23</f>
        <v/>
      </c>
      <c r="J23" s="10">
        <f>G23+1.96*H23</f>
        <v/>
      </c>
      <c r="K23" s="10">
        <f>G23-F23</f>
        <v/>
      </c>
      <c r="L23" s="4">
        <f>IF(AND(F23&gt;=I23,F23&lt;=J23),1,0)</f>
        <v/>
      </c>
    </row>
    <row r="24">
      <c r="A24" s="4" t="inlineStr">
        <is>
          <t>hardness_shoreA</t>
        </is>
      </c>
      <c r="B24" s="4" t="inlineStr">
        <is>
          <t>G190</t>
        </is>
      </c>
      <c r="C24" s="4" t="inlineStr">
        <is>
          <t>US20160319102A1</t>
        </is>
      </c>
      <c r="D24" s="4" t="inlineStr">
        <is>
          <t>Example 1</t>
        </is>
      </c>
      <c r="E24" s="4" t="inlineStr">
        <is>
          <t>dev(OOF)</t>
        </is>
      </c>
      <c r="F24" s="10" t="n">
        <v>68</v>
      </c>
      <c r="G24" s="10" t="n">
        <v>63.30543079962906</v>
      </c>
      <c r="H24" s="10" t="n">
        <v>3.628045008250778</v>
      </c>
      <c r="I24" s="10">
        <f>G24-1.96*H24</f>
        <v/>
      </c>
      <c r="J24" s="10">
        <f>G24+1.96*H24</f>
        <v/>
      </c>
      <c r="K24" s="10">
        <f>G24-F24</f>
        <v/>
      </c>
      <c r="L24" s="4">
        <f>IF(AND(F24&gt;=I24,F24&lt;=J24),1,0)</f>
        <v/>
      </c>
    </row>
    <row r="25">
      <c r="A25" s="4" t="inlineStr">
        <is>
          <t>hardness_shoreA</t>
        </is>
      </c>
      <c r="B25" s="4" t="inlineStr">
        <is>
          <t>G194</t>
        </is>
      </c>
      <c r="C25" s="4" t="inlineStr">
        <is>
          <t>US20160319102A1</t>
        </is>
      </c>
      <c r="D25" s="4" t="inlineStr">
        <is>
          <t>Example 5</t>
        </is>
      </c>
      <c r="E25" s="4" t="inlineStr">
        <is>
          <t>dev(OOF)</t>
        </is>
      </c>
      <c r="F25" s="10" t="n">
        <v>68</v>
      </c>
      <c r="G25" s="10" t="n">
        <v>63.11670441016459</v>
      </c>
      <c r="H25" s="10" t="n">
        <v>3.596803817409032</v>
      </c>
      <c r="I25" s="10">
        <f>G25-1.96*H25</f>
        <v/>
      </c>
      <c r="J25" s="10">
        <f>G25+1.96*H25</f>
        <v/>
      </c>
      <c r="K25" s="10">
        <f>G25-F25</f>
        <v/>
      </c>
      <c r="L25" s="4">
        <f>IF(AND(F25&gt;=I25,F25&lt;=J25),1,0)</f>
        <v/>
      </c>
    </row>
    <row r="26">
      <c r="A26" s="4" t="inlineStr">
        <is>
          <t>hardness_shoreA</t>
        </is>
      </c>
      <c r="B26" s="4" t="inlineStr">
        <is>
          <t>G290</t>
        </is>
      </c>
      <c r="C26" s="4" t="inlineStr">
        <is>
          <t>EP4249550A1</t>
        </is>
      </c>
      <c r="D26" s="4" t="inlineStr">
        <is>
          <t>Example 1</t>
        </is>
      </c>
      <c r="E26" s="4" t="inlineStr">
        <is>
          <t>dev(OOF)</t>
        </is>
      </c>
      <c r="F26" s="10" t="n">
        <v>73</v>
      </c>
      <c r="G26" s="10" t="n">
        <v>70.70224822770354</v>
      </c>
      <c r="H26" s="10" t="n">
        <v>3.977471219068387</v>
      </c>
      <c r="I26" s="10">
        <f>G26-1.96*H26</f>
        <v/>
      </c>
      <c r="J26" s="10">
        <f>G26+1.96*H26</f>
        <v/>
      </c>
      <c r="K26" s="10">
        <f>G26-F26</f>
        <v/>
      </c>
      <c r="L26" s="4">
        <f>IF(AND(F26&gt;=I26,F26&lt;=J26),1,0)</f>
        <v/>
      </c>
    </row>
    <row r="27">
      <c r="A27" s="4" t="inlineStr">
        <is>
          <t>hardness_shoreA</t>
        </is>
      </c>
      <c r="B27" s="4" t="inlineStr">
        <is>
          <t>G025</t>
        </is>
      </c>
      <c r="C27" s="4" t="inlineStr">
        <is>
          <t>US6803402B2</t>
        </is>
      </c>
      <c r="D27" s="4" t="inlineStr">
        <is>
          <t>Example 2</t>
        </is>
      </c>
      <c r="E27" s="4" t="inlineStr">
        <is>
          <t>dev(OOF)</t>
        </is>
      </c>
      <c r="F27" s="10" t="n">
        <v>62</v>
      </c>
      <c r="G27" s="10" t="n">
        <v>60.88797851357027</v>
      </c>
      <c r="H27" s="10" t="n">
        <v>2.956797714410953</v>
      </c>
      <c r="I27" s="10">
        <f>G27-1.96*H27</f>
        <v/>
      </c>
      <c r="J27" s="10">
        <f>G27+1.96*H27</f>
        <v/>
      </c>
      <c r="K27" s="10">
        <f>G27-F27</f>
        <v/>
      </c>
      <c r="L27" s="4">
        <f>IF(AND(F27&gt;=I27,F27&lt;=J27),1,0)</f>
        <v/>
      </c>
    </row>
    <row r="28">
      <c r="A28" s="4" t="inlineStr">
        <is>
          <t>hardness_shoreA</t>
        </is>
      </c>
      <c r="B28" s="4" t="inlineStr">
        <is>
          <t>G275</t>
        </is>
      </c>
      <c r="C28" s="4" t="inlineStr">
        <is>
          <t>US20230174763A1</t>
        </is>
      </c>
      <c r="D28" s="4" t="inlineStr">
        <is>
          <t>Comparative Example 13</t>
        </is>
      </c>
      <c r="E28" s="4" t="inlineStr">
        <is>
          <t>dev(OOF)</t>
        </is>
      </c>
      <c r="F28" s="10" t="n">
        <v>64</v>
      </c>
      <c r="G28" s="10" t="n">
        <v>70.60252883063598</v>
      </c>
      <c r="H28" s="10" t="n">
        <v>6.849649877395321</v>
      </c>
      <c r="I28" s="10">
        <f>G28-1.96*H28</f>
        <v/>
      </c>
      <c r="J28" s="10">
        <f>G28+1.96*H28</f>
        <v/>
      </c>
      <c r="K28" s="10">
        <f>G28-F28</f>
        <v/>
      </c>
      <c r="L28" s="4">
        <f>IF(AND(F28&gt;=I28,F28&lt;=J28),1,0)</f>
        <v/>
      </c>
    </row>
    <row r="29">
      <c r="A29" s="4" t="inlineStr">
        <is>
          <t>hardness_shoreA</t>
        </is>
      </c>
      <c r="B29" s="4" t="inlineStr">
        <is>
          <t>G283</t>
        </is>
      </c>
      <c r="C29" s="4" t="inlineStr">
        <is>
          <t>US20230365800A1</t>
        </is>
      </c>
      <c r="D29" s="4" t="inlineStr">
        <is>
          <t>Example 8</t>
        </is>
      </c>
      <c r="E29" s="4" t="inlineStr">
        <is>
          <t>dev(OOF)</t>
        </is>
      </c>
      <c r="F29" s="10" t="n">
        <v>66</v>
      </c>
      <c r="G29" s="10" t="n">
        <v>64.59626311368669</v>
      </c>
      <c r="H29" s="10" t="n">
        <v>2.240407565153518</v>
      </c>
      <c r="I29" s="10">
        <f>G29-1.96*H29</f>
        <v/>
      </c>
      <c r="J29" s="10">
        <f>G29+1.96*H29</f>
        <v/>
      </c>
      <c r="K29" s="10">
        <f>G29-F29</f>
        <v/>
      </c>
      <c r="L29" s="4">
        <f>IF(AND(F29&gt;=I29,F29&lt;=J29),1,0)</f>
        <v/>
      </c>
    </row>
    <row r="30">
      <c r="A30" s="4" t="inlineStr">
        <is>
          <t>hardness_shoreA</t>
        </is>
      </c>
      <c r="B30" s="4" t="inlineStr">
        <is>
          <t>G294</t>
        </is>
      </c>
      <c r="C30" s="4" t="inlineStr">
        <is>
          <t>EP4249550A1</t>
        </is>
      </c>
      <c r="D30" s="4" t="inlineStr">
        <is>
          <t>Example 5</t>
        </is>
      </c>
      <c r="E30" s="4" t="inlineStr">
        <is>
          <t>dev(OOF)</t>
        </is>
      </c>
      <c r="F30" s="10" t="n">
        <v>71</v>
      </c>
      <c r="G30" s="10" t="n">
        <v>70.22424254808573</v>
      </c>
      <c r="H30" s="10" t="n">
        <v>3.87295414573242</v>
      </c>
      <c r="I30" s="10">
        <f>G30-1.96*H30</f>
        <v/>
      </c>
      <c r="J30" s="10">
        <f>G30+1.96*H30</f>
        <v/>
      </c>
      <c r="K30" s="10">
        <f>G30-F30</f>
        <v/>
      </c>
      <c r="L30" s="4">
        <f>IF(AND(F30&gt;=I30,F30&lt;=J30),1,0)</f>
        <v/>
      </c>
    </row>
    <row r="31">
      <c r="A31" s="4" t="inlineStr">
        <is>
          <t>hardness_shoreA</t>
        </is>
      </c>
      <c r="B31" s="4" t="inlineStr">
        <is>
          <t>G286</t>
        </is>
      </c>
      <c r="C31" s="4" t="inlineStr">
        <is>
          <t>US20230365800A1</t>
        </is>
      </c>
      <c r="D31" s="4" t="inlineStr">
        <is>
          <t>Comparative Example 4</t>
        </is>
      </c>
      <c r="E31" s="4" t="inlineStr">
        <is>
          <t>dev(OOF)</t>
        </is>
      </c>
      <c r="F31" s="10" t="n">
        <v>61</v>
      </c>
      <c r="G31" s="10" t="n">
        <v>65.52559357014586</v>
      </c>
      <c r="H31" s="10" t="n">
        <v>2.935194624862714</v>
      </c>
      <c r="I31" s="10">
        <f>G31-1.96*H31</f>
        <v/>
      </c>
      <c r="J31" s="10">
        <f>G31+1.96*H31</f>
        <v/>
      </c>
      <c r="K31" s="10">
        <f>G31-F31</f>
        <v/>
      </c>
      <c r="L31" s="4">
        <f>IF(AND(F31&gt;=I31,F31&lt;=J31),1,0)</f>
        <v/>
      </c>
    </row>
    <row r="32">
      <c r="A32" s="4" t="inlineStr">
        <is>
          <t>hardness_shoreA</t>
        </is>
      </c>
      <c r="B32" s="4" t="inlineStr">
        <is>
          <t>G314</t>
        </is>
      </c>
      <c r="C32" s="4" t="inlineStr">
        <is>
          <t>KR102400335B1</t>
        </is>
      </c>
      <c r="D32" s="4" t="inlineStr">
        <is>
          <t>Comparative Example</t>
        </is>
      </c>
      <c r="E32" s="4" t="inlineStr">
        <is>
          <t>dev(OOF)</t>
        </is>
      </c>
      <c r="F32" s="10" t="n">
        <v>75</v>
      </c>
      <c r="G32" s="10" t="n">
        <v>74.33500239476226</v>
      </c>
      <c r="H32" s="10" t="n">
        <v>6.621832653141704</v>
      </c>
      <c r="I32" s="10">
        <f>G32-1.96*H32</f>
        <v/>
      </c>
      <c r="J32" s="10">
        <f>G32+1.96*H32</f>
        <v/>
      </c>
      <c r="K32" s="10">
        <f>G32-F32</f>
        <v/>
      </c>
      <c r="L32" s="4">
        <f>IF(AND(F32&gt;=I32,F32&lt;=J32),1,0)</f>
        <v/>
      </c>
    </row>
    <row r="33">
      <c r="A33" s="4" t="inlineStr">
        <is>
          <t>hardness_shoreA</t>
        </is>
      </c>
      <c r="B33" s="4" t="inlineStr">
        <is>
          <t>G276</t>
        </is>
      </c>
      <c r="C33" s="4" t="inlineStr">
        <is>
          <t>US20230174763A1</t>
        </is>
      </c>
      <c r="D33" s="4" t="inlineStr">
        <is>
          <t>Comparative Example 14</t>
        </is>
      </c>
      <c r="E33" s="4" t="inlineStr">
        <is>
          <t>dev(OOF)</t>
        </is>
      </c>
      <c r="F33" s="10" t="n">
        <v>73</v>
      </c>
      <c r="G33" s="10" t="n">
        <v>67.5329589742831</v>
      </c>
      <c r="H33" s="10" t="n">
        <v>4.876409518768566</v>
      </c>
      <c r="I33" s="10">
        <f>G33-1.96*H33</f>
        <v/>
      </c>
      <c r="J33" s="10">
        <f>G33+1.96*H33</f>
        <v/>
      </c>
      <c r="K33" s="10">
        <f>G33-F33</f>
        <v/>
      </c>
      <c r="L33" s="4">
        <f>IF(AND(F33&gt;=I33,F33&lt;=J33),1,0)</f>
        <v/>
      </c>
    </row>
    <row r="34">
      <c r="A34" s="4" t="inlineStr">
        <is>
          <t>hardness_shoreA</t>
        </is>
      </c>
      <c r="B34" s="4" t="inlineStr">
        <is>
          <t>G028</t>
        </is>
      </c>
      <c r="C34" s="4" t="inlineStr">
        <is>
          <t>US6803402B2</t>
        </is>
      </c>
      <c r="D34" s="4" t="inlineStr">
        <is>
          <t>Comparative Example 3</t>
        </is>
      </c>
      <c r="E34" s="4" t="inlineStr">
        <is>
          <t>dev(OOF)</t>
        </is>
      </c>
      <c r="F34" s="10" t="n">
        <v>59</v>
      </c>
      <c r="G34" s="10" t="n">
        <v>67.17181052697032</v>
      </c>
      <c r="H34" s="10" t="n">
        <v>7.325267184846372</v>
      </c>
      <c r="I34" s="10">
        <f>G34-1.96*H34</f>
        <v/>
      </c>
      <c r="J34" s="10">
        <f>G34+1.96*H34</f>
        <v/>
      </c>
      <c r="K34" s="10">
        <f>G34-F34</f>
        <v/>
      </c>
      <c r="L34" s="4">
        <f>IF(AND(F34&gt;=I34,F34&lt;=J34),1,0)</f>
        <v/>
      </c>
    </row>
    <row r="35">
      <c r="A35" s="4" t="inlineStr">
        <is>
          <t>hardness_shoreA</t>
        </is>
      </c>
      <c r="B35" s="4" t="inlineStr">
        <is>
          <t>G001</t>
        </is>
      </c>
      <c r="C35" s="4" t="inlineStr">
        <is>
          <t>US7678858B2</t>
        </is>
      </c>
      <c r="D35" s="4" t="inlineStr">
        <is>
          <t>Example 1</t>
        </is>
      </c>
      <c r="E35" s="4" t="inlineStr">
        <is>
          <t>dev(OOF)</t>
        </is>
      </c>
      <c r="F35" s="10" t="n">
        <v>78</v>
      </c>
      <c r="G35" s="10" t="n">
        <v>79.27967144332891</v>
      </c>
      <c r="H35" s="10" t="n">
        <v>4.24684281625535</v>
      </c>
      <c r="I35" s="10">
        <f>G35-1.96*H35</f>
        <v/>
      </c>
      <c r="J35" s="10">
        <f>G35+1.96*H35</f>
        <v/>
      </c>
      <c r="K35" s="10">
        <f>G35-F35</f>
        <v/>
      </c>
      <c r="L35" s="4">
        <f>IF(AND(F35&gt;=I35,F35&lt;=J35),1,0)</f>
        <v/>
      </c>
    </row>
    <row r="36">
      <c r="A36" s="4" t="inlineStr">
        <is>
          <t>hardness_shoreA</t>
        </is>
      </c>
      <c r="B36" s="4" t="inlineStr">
        <is>
          <t>G093</t>
        </is>
      </c>
      <c r="C36" s="4" t="inlineStr">
        <is>
          <t>US8367776B2</t>
        </is>
      </c>
      <c r="D36" s="4" t="inlineStr">
        <is>
          <t>Example 11</t>
        </is>
      </c>
      <c r="E36" s="4" t="inlineStr">
        <is>
          <t>dev(OOF)</t>
        </is>
      </c>
      <c r="F36" s="10" t="n">
        <v>62</v>
      </c>
      <c r="G36" s="10" t="n">
        <v>63.38129528262404</v>
      </c>
      <c r="H36" s="10" t="n">
        <v>3.137091878337062</v>
      </c>
      <c r="I36" s="10">
        <f>G36-1.96*H36</f>
        <v/>
      </c>
      <c r="J36" s="10">
        <f>G36+1.96*H36</f>
        <v/>
      </c>
      <c r="K36" s="10">
        <f>G36-F36</f>
        <v/>
      </c>
      <c r="L36" s="4">
        <f>IF(AND(F36&gt;=I36,F36&lt;=J36),1,0)</f>
        <v/>
      </c>
    </row>
    <row r="37">
      <c r="A37" s="4" t="inlineStr">
        <is>
          <t>hardness_shoreA</t>
        </is>
      </c>
      <c r="B37" s="4" t="inlineStr">
        <is>
          <t>G065</t>
        </is>
      </c>
      <c r="C37" s="4" t="inlineStr">
        <is>
          <t>US11753523B2</t>
        </is>
      </c>
      <c r="D37" s="4" t="inlineStr">
        <is>
          <t>Comparative Example 8</t>
        </is>
      </c>
      <c r="E37" s="4" t="inlineStr">
        <is>
          <t>dev(OOF)</t>
        </is>
      </c>
      <c r="F37" s="10" t="n">
        <v>75</v>
      </c>
      <c r="G37" s="10" t="n">
        <v>76.62833782008376</v>
      </c>
      <c r="H37" s="10" t="n">
        <v>4.554037777098848</v>
      </c>
      <c r="I37" s="10">
        <f>G37-1.96*H37</f>
        <v/>
      </c>
      <c r="J37" s="10">
        <f>G37+1.96*H37</f>
        <v/>
      </c>
      <c r="K37" s="10">
        <f>G37-F37</f>
        <v/>
      </c>
      <c r="L37" s="4">
        <f>IF(AND(F37&gt;=I37,F37&lt;=J37),1,0)</f>
        <v/>
      </c>
    </row>
    <row r="38">
      <c r="A38" s="4" t="inlineStr">
        <is>
          <t>hardness_shoreA</t>
        </is>
      </c>
      <c r="B38" s="4" t="inlineStr">
        <is>
          <t>G260</t>
        </is>
      </c>
      <c r="C38" s="4" t="inlineStr">
        <is>
          <t>US12584054B2</t>
        </is>
      </c>
      <c r="D38" s="4" t="inlineStr">
        <is>
          <t>Example 8</t>
        </is>
      </c>
      <c r="E38" s="4" t="inlineStr">
        <is>
          <t>dev(OOF)</t>
        </is>
      </c>
      <c r="F38" s="10" t="n">
        <v>58</v>
      </c>
      <c r="G38" s="10" t="n">
        <v>59.71258271195548</v>
      </c>
      <c r="H38" s="10" t="n">
        <v>3.003848311114083</v>
      </c>
      <c r="I38" s="10">
        <f>G38-1.96*H38</f>
        <v/>
      </c>
      <c r="J38" s="10">
        <f>G38+1.96*H38</f>
        <v/>
      </c>
      <c r="K38" s="10">
        <f>G38-F38</f>
        <v/>
      </c>
      <c r="L38" s="4">
        <f>IF(AND(F38&gt;=I38,F38&lt;=J38),1,0)</f>
        <v/>
      </c>
    </row>
    <row r="39">
      <c r="A39" s="4" t="inlineStr">
        <is>
          <t>hardness_shoreA</t>
        </is>
      </c>
      <c r="B39" s="4" t="inlineStr">
        <is>
          <t>G003</t>
        </is>
      </c>
      <c r="C39" s="4" t="inlineStr">
        <is>
          <t>US7678858B2</t>
        </is>
      </c>
      <c r="D39" s="4" t="inlineStr">
        <is>
          <t>Example 3</t>
        </is>
      </c>
      <c r="E39" s="4" t="inlineStr">
        <is>
          <t>dev(OOF)</t>
        </is>
      </c>
      <c r="F39" s="10" t="n">
        <v>78</v>
      </c>
      <c r="G39" s="10" t="n">
        <v>79.27967144332891</v>
      </c>
      <c r="H39" s="10" t="n">
        <v>4.24684281625535</v>
      </c>
      <c r="I39" s="10">
        <f>G39-1.96*H39</f>
        <v/>
      </c>
      <c r="J39" s="10">
        <f>G39+1.96*H39</f>
        <v/>
      </c>
      <c r="K39" s="10">
        <f>G39-F39</f>
        <v/>
      </c>
      <c r="L39" s="4">
        <f>IF(AND(F39&gt;=I39,F39&lt;=J39),1,0)</f>
        <v/>
      </c>
    </row>
    <row r="40">
      <c r="A40" s="4" t="inlineStr">
        <is>
          <t>hardness_shoreA</t>
        </is>
      </c>
      <c r="B40" s="4" t="inlineStr">
        <is>
          <t>G299</t>
        </is>
      </c>
      <c r="C40" s="4" t="inlineStr">
        <is>
          <t>EP4249550A1</t>
        </is>
      </c>
      <c r="D40" s="4" t="inlineStr">
        <is>
          <t>Example 11</t>
        </is>
      </c>
      <c r="E40" s="4" t="inlineStr">
        <is>
          <t>dev(OOF)</t>
        </is>
      </c>
      <c r="F40" s="10" t="n">
        <v>62</v>
      </c>
      <c r="G40" s="10" t="n">
        <v>64.89423159131871</v>
      </c>
      <c r="H40" s="10" t="n">
        <v>3.674828061762597</v>
      </c>
      <c r="I40" s="10">
        <f>G40-1.96*H40</f>
        <v/>
      </c>
      <c r="J40" s="10">
        <f>G40+1.96*H40</f>
        <v/>
      </c>
      <c r="K40" s="10">
        <f>G40-F40</f>
        <v/>
      </c>
      <c r="L40" s="4">
        <f>IF(AND(F40&gt;=I40,F40&lt;=J40),1,0)</f>
        <v/>
      </c>
    </row>
    <row r="41">
      <c r="A41" s="4" t="inlineStr">
        <is>
          <t>hardness_shoreA</t>
        </is>
      </c>
      <c r="B41" s="4" t="inlineStr">
        <is>
          <t>G045</t>
        </is>
      </c>
      <c r="C41" s="4" t="inlineStr">
        <is>
          <t>US8211964B2</t>
        </is>
      </c>
      <c r="D41" s="4" t="inlineStr">
        <is>
          <t>Example 4</t>
        </is>
      </c>
      <c r="E41" s="4" t="inlineStr">
        <is>
          <t>dev(OOF)</t>
        </is>
      </c>
      <c r="F41" s="10" t="n">
        <v>76</v>
      </c>
      <c r="G41" s="10" t="n">
        <v>77.78609591344107</v>
      </c>
      <c r="H41" s="10" t="n">
        <v>4.659972521023605</v>
      </c>
      <c r="I41" s="10">
        <f>G41-1.96*H41</f>
        <v/>
      </c>
      <c r="J41" s="10">
        <f>G41+1.96*H41</f>
        <v/>
      </c>
      <c r="K41" s="10">
        <f>G41-F41</f>
        <v/>
      </c>
      <c r="L41" s="4">
        <f>IF(AND(F41&gt;=I41,F41&lt;=J41),1,0)</f>
        <v/>
      </c>
    </row>
    <row r="42">
      <c r="A42" s="4" t="inlineStr">
        <is>
          <t>hardness_shoreA</t>
        </is>
      </c>
      <c r="B42" s="4" t="inlineStr">
        <is>
          <t>G067</t>
        </is>
      </c>
      <c r="C42" s="4" t="inlineStr">
        <is>
          <t>US11753523B2</t>
        </is>
      </c>
      <c r="D42" s="4" t="inlineStr">
        <is>
          <t>Comparative Example 10</t>
        </is>
      </c>
      <c r="E42" s="4" t="inlineStr">
        <is>
          <t>dev(OOF)</t>
        </is>
      </c>
      <c r="F42" s="10" t="n">
        <v>60</v>
      </c>
      <c r="G42" s="10" t="n">
        <v>60.54901520340302</v>
      </c>
      <c r="H42" s="10" t="n">
        <v>5.409175928097389</v>
      </c>
      <c r="I42" s="10">
        <f>G42-1.96*H42</f>
        <v/>
      </c>
      <c r="J42" s="10">
        <f>G42+1.96*H42</f>
        <v/>
      </c>
      <c r="K42" s="10">
        <f>G42-F42</f>
        <v/>
      </c>
      <c r="L42" s="4">
        <f>IF(AND(F42&gt;=I42,F42&lt;=J42),1,0)</f>
        <v/>
      </c>
    </row>
    <row r="43">
      <c r="A43" s="4" t="inlineStr">
        <is>
          <t>hardness_shoreA</t>
        </is>
      </c>
      <c r="B43" s="4" t="inlineStr">
        <is>
          <t>G204</t>
        </is>
      </c>
      <c r="C43" s="4" t="inlineStr">
        <is>
          <t>US20160319102A1</t>
        </is>
      </c>
      <c r="D43" s="4" t="inlineStr">
        <is>
          <t>Comparative Example 6</t>
        </is>
      </c>
      <c r="E43" s="4" t="inlineStr">
        <is>
          <t>dev(OOF)</t>
        </is>
      </c>
      <c r="F43" s="10" t="n">
        <v>64</v>
      </c>
      <c r="G43" s="10" t="n">
        <v>62.60931779710835</v>
      </c>
      <c r="H43" s="10" t="n">
        <v>3.285980775764231</v>
      </c>
      <c r="I43" s="10">
        <f>G43-1.96*H43</f>
        <v/>
      </c>
      <c r="J43" s="10">
        <f>G43+1.96*H43</f>
        <v/>
      </c>
      <c r="K43" s="10">
        <f>G43-F43</f>
        <v/>
      </c>
      <c r="L43" s="4">
        <f>IF(AND(F43&gt;=I43,F43&lt;=J43),1,0)</f>
        <v/>
      </c>
    </row>
    <row r="44">
      <c r="A44" s="4" t="inlineStr">
        <is>
          <t>hardness_shoreA</t>
        </is>
      </c>
      <c r="B44" s="4" t="inlineStr">
        <is>
          <t>G048</t>
        </is>
      </c>
      <c r="C44" s="4" t="inlineStr">
        <is>
          <t>US8211964B2</t>
        </is>
      </c>
      <c r="D44" s="4" t="inlineStr">
        <is>
          <t>Comparative Example 1</t>
        </is>
      </c>
      <c r="E44" s="4" t="inlineStr">
        <is>
          <t>dev(OOF)</t>
        </is>
      </c>
      <c r="F44" s="10" t="n">
        <v>73</v>
      </c>
      <c r="G44" s="10" t="n">
        <v>77.40445887584919</v>
      </c>
      <c r="H44" s="10" t="n">
        <v>7.104016715225852</v>
      </c>
      <c r="I44" s="10">
        <f>G44-1.96*H44</f>
        <v/>
      </c>
      <c r="J44" s="10">
        <f>G44+1.96*H44</f>
        <v/>
      </c>
      <c r="K44" s="10">
        <f>G44-F44</f>
        <v/>
      </c>
      <c r="L44" s="4">
        <f>IF(AND(F44&gt;=I44,F44&lt;=J44),1,0)</f>
        <v/>
      </c>
    </row>
    <row r="45">
      <c r="A45" s="4" t="inlineStr">
        <is>
          <t>hardness_shoreA</t>
        </is>
      </c>
      <c r="B45" s="4" t="inlineStr">
        <is>
          <t>G200</t>
        </is>
      </c>
      <c r="C45" s="4" t="inlineStr">
        <is>
          <t>US20160319102A1</t>
        </is>
      </c>
      <c r="D45" s="4" t="inlineStr">
        <is>
          <t>Comparative Example 5</t>
        </is>
      </c>
      <c r="E45" s="4" t="inlineStr">
        <is>
          <t>dev(OOF)</t>
        </is>
      </c>
      <c r="F45" s="10" t="n">
        <v>68</v>
      </c>
      <c r="G45" s="10" t="n">
        <v>78.77139867579723</v>
      </c>
      <c r="H45" s="10" t="n">
        <v>4.04728123362006</v>
      </c>
      <c r="I45" s="10">
        <f>G45-1.96*H45</f>
        <v/>
      </c>
      <c r="J45" s="10">
        <f>G45+1.96*H45</f>
        <v/>
      </c>
      <c r="K45" s="10">
        <f>G45-F45</f>
        <v/>
      </c>
      <c r="L45" s="4">
        <f>IF(AND(F45&gt;=I45,F45&lt;=J45),1,0)</f>
        <v/>
      </c>
    </row>
    <row r="46">
      <c r="A46" s="4" t="inlineStr">
        <is>
          <t>hardness_shoreA</t>
        </is>
      </c>
      <c r="B46" s="4" t="inlineStr">
        <is>
          <t>G169</t>
        </is>
      </c>
      <c r="C46" s="4" t="inlineStr">
        <is>
          <t>US20050107544A1</t>
        </is>
      </c>
      <c r="D46" s="4" t="inlineStr">
        <is>
          <t>Comparative Example A</t>
        </is>
      </c>
      <c r="E46" s="4" t="inlineStr">
        <is>
          <t>dev(OOF)</t>
        </is>
      </c>
      <c r="F46" s="10" t="n">
        <v>63</v>
      </c>
      <c r="G46" s="10" t="n">
        <v>65.64350226552988</v>
      </c>
      <c r="H46" s="10" t="n">
        <v>3.957815766381104</v>
      </c>
      <c r="I46" s="10">
        <f>G46-1.96*H46</f>
        <v/>
      </c>
      <c r="J46" s="10">
        <f>G46+1.96*H46</f>
        <v/>
      </c>
      <c r="K46" s="10">
        <f>G46-F46</f>
        <v/>
      </c>
      <c r="L46" s="4">
        <f>IF(AND(F46&gt;=I46,F46&lt;=J46),1,0)</f>
        <v/>
      </c>
    </row>
    <row r="47">
      <c r="A47" s="4" t="inlineStr">
        <is>
          <t>hardness_shoreA</t>
        </is>
      </c>
      <c r="B47" s="4" t="inlineStr">
        <is>
          <t>G269</t>
        </is>
      </c>
      <c r="C47" s="4" t="inlineStr">
        <is>
          <t>US20230174763A1</t>
        </is>
      </c>
      <c r="D47" s="4" t="inlineStr">
        <is>
          <t>Comparative Example 5</t>
        </is>
      </c>
      <c r="E47" s="4" t="inlineStr">
        <is>
          <t>dev(OOF)</t>
        </is>
      </c>
      <c r="F47" s="10" t="n">
        <v>67</v>
      </c>
      <c r="G47" s="10" t="n">
        <v>74.57995920697216</v>
      </c>
      <c r="H47" s="10" t="n">
        <v>4.117290788804314</v>
      </c>
      <c r="I47" s="10">
        <f>G47-1.96*H47</f>
        <v/>
      </c>
      <c r="J47" s="10">
        <f>G47+1.96*H47</f>
        <v/>
      </c>
      <c r="K47" s="10">
        <f>G47-F47</f>
        <v/>
      </c>
      <c r="L47" s="4">
        <f>IF(AND(F47&gt;=I47,F47&lt;=J47),1,0)</f>
        <v/>
      </c>
    </row>
    <row r="48">
      <c r="A48" s="4" t="inlineStr">
        <is>
          <t>hardness_shoreA</t>
        </is>
      </c>
      <c r="B48" s="4" t="inlineStr">
        <is>
          <t>G084</t>
        </is>
      </c>
      <c r="C48" s="4" t="inlineStr">
        <is>
          <t>US8367776B2</t>
        </is>
      </c>
      <c r="D48" s="4" t="inlineStr">
        <is>
          <t>Comparative Example 1</t>
        </is>
      </c>
      <c r="E48" s="4" t="inlineStr">
        <is>
          <t>dev(OOF)</t>
        </is>
      </c>
      <c r="F48" s="10" t="n">
        <v>59</v>
      </c>
      <c r="G48" s="10" t="n">
        <v>63.76050843437204</v>
      </c>
      <c r="H48" s="10" t="n">
        <v>2.349324440531196</v>
      </c>
      <c r="I48" s="10">
        <f>G48-1.96*H48</f>
        <v/>
      </c>
      <c r="J48" s="10">
        <f>G48+1.96*H48</f>
        <v/>
      </c>
      <c r="K48" s="10">
        <f>G48-F48</f>
        <v/>
      </c>
      <c r="L48" s="4">
        <f>IF(AND(F48&gt;=I48,F48&lt;=J48),1,0)</f>
        <v/>
      </c>
    </row>
    <row r="49">
      <c r="A49" s="4" t="inlineStr">
        <is>
          <t>hardness_shoreA</t>
        </is>
      </c>
      <c r="B49" s="4" t="inlineStr">
        <is>
          <t>G271</t>
        </is>
      </c>
      <c r="C49" s="4" t="inlineStr">
        <is>
          <t>US20230174763A1</t>
        </is>
      </c>
      <c r="D49" s="4" t="inlineStr">
        <is>
          <t>Comparative Example 7</t>
        </is>
      </c>
      <c r="E49" s="4" t="inlineStr">
        <is>
          <t>dev(OOF)</t>
        </is>
      </c>
      <c r="F49" s="10" t="n">
        <v>83</v>
      </c>
      <c r="G49" s="10" t="n">
        <v>75.03218358672768</v>
      </c>
      <c r="H49" s="10" t="n">
        <v>3.848931459209399</v>
      </c>
      <c r="I49" s="10">
        <f>G49-1.96*H49</f>
        <v/>
      </c>
      <c r="J49" s="10">
        <f>G49+1.96*H49</f>
        <v/>
      </c>
      <c r="K49" s="10">
        <f>G49-F49</f>
        <v/>
      </c>
      <c r="L49" s="4">
        <f>IF(AND(F49&gt;=I49,F49&lt;=J49),1,0)</f>
        <v/>
      </c>
    </row>
    <row r="50">
      <c r="A50" s="4" t="inlineStr">
        <is>
          <t>hardness_shoreA</t>
        </is>
      </c>
      <c r="B50" s="4" t="inlineStr">
        <is>
          <t>G195</t>
        </is>
      </c>
      <c r="C50" s="4" t="inlineStr">
        <is>
          <t>US20160319102A1</t>
        </is>
      </c>
      <c r="D50" s="4" t="inlineStr">
        <is>
          <t>Example 6</t>
        </is>
      </c>
      <c r="E50" s="4" t="inlineStr">
        <is>
          <t>dev(OOF)</t>
        </is>
      </c>
      <c r="F50" s="10" t="n">
        <v>81</v>
      </c>
      <c r="G50" s="10" t="n">
        <v>71.88107024520042</v>
      </c>
      <c r="H50" s="10" t="n">
        <v>2.739562364134082</v>
      </c>
      <c r="I50" s="10">
        <f>G50-1.96*H50</f>
        <v/>
      </c>
      <c r="J50" s="10">
        <f>G50+1.96*H50</f>
        <v/>
      </c>
      <c r="K50" s="10">
        <f>G50-F50</f>
        <v/>
      </c>
      <c r="L50" s="4">
        <f>IF(AND(F50&gt;=I50,F50&lt;=J50),1,0)</f>
        <v/>
      </c>
    </row>
    <row r="51">
      <c r="A51" s="4" t="inlineStr">
        <is>
          <t>hardness_shoreA</t>
        </is>
      </c>
      <c r="B51" s="4" t="inlineStr">
        <is>
          <t>G301</t>
        </is>
      </c>
      <c r="C51" s="4" t="inlineStr">
        <is>
          <t>EP4249550A1</t>
        </is>
      </c>
      <c r="D51" s="4" t="inlineStr">
        <is>
          <t>Example 13</t>
        </is>
      </c>
      <c r="E51" s="4" t="inlineStr">
        <is>
          <t>dev(OOF)</t>
        </is>
      </c>
      <c r="F51" s="10" t="n">
        <v>64</v>
      </c>
      <c r="G51" s="10" t="n">
        <v>64.89423159131871</v>
      </c>
      <c r="H51" s="10" t="n">
        <v>3.674828061762597</v>
      </c>
      <c r="I51" s="10">
        <f>G51-1.96*H51</f>
        <v/>
      </c>
      <c r="J51" s="10">
        <f>G51+1.96*H51</f>
        <v/>
      </c>
      <c r="K51" s="10">
        <f>G51-F51</f>
        <v/>
      </c>
      <c r="L51" s="4">
        <f>IF(AND(F51&gt;=I51,F51&lt;=J51),1,0)</f>
        <v/>
      </c>
    </row>
    <row r="52">
      <c r="A52" s="4" t="inlineStr">
        <is>
          <t>hardness_shoreA</t>
        </is>
      </c>
      <c r="B52" s="4" t="inlineStr">
        <is>
          <t>G023</t>
        </is>
      </c>
      <c r="C52" s="4" t="inlineStr">
        <is>
          <t>US7678858B2</t>
        </is>
      </c>
      <c r="D52" s="4" t="inlineStr">
        <is>
          <t>Comparative Example 3</t>
        </is>
      </c>
      <c r="E52" s="4" t="inlineStr">
        <is>
          <t>dev(OOF)</t>
        </is>
      </c>
      <c r="F52" s="10" t="n">
        <v>81</v>
      </c>
      <c r="G52" s="10" t="n">
        <v>76.33817010959142</v>
      </c>
      <c r="H52" s="10" t="n">
        <v>4.047586580639263</v>
      </c>
      <c r="I52" s="10">
        <f>G52-1.96*H52</f>
        <v/>
      </c>
      <c r="J52" s="10">
        <f>G52+1.96*H52</f>
        <v/>
      </c>
      <c r="K52" s="10">
        <f>G52-F52</f>
        <v/>
      </c>
      <c r="L52" s="4">
        <f>IF(AND(F52&gt;=I52,F52&lt;=J52),1,0)</f>
        <v/>
      </c>
    </row>
    <row r="53">
      <c r="A53" s="4" t="inlineStr">
        <is>
          <t>hardness_shoreA</t>
        </is>
      </c>
      <c r="B53" s="4" t="inlineStr">
        <is>
          <t>G282</t>
        </is>
      </c>
      <c r="C53" s="4" t="inlineStr">
        <is>
          <t>US20230365800A1</t>
        </is>
      </c>
      <c r="D53" s="4" t="inlineStr">
        <is>
          <t>Example 6</t>
        </is>
      </c>
      <c r="E53" s="4" t="inlineStr">
        <is>
          <t>dev(OOF)</t>
        </is>
      </c>
      <c r="F53" s="10" t="n">
        <v>66</v>
      </c>
      <c r="G53" s="10" t="n">
        <v>65.52559357014586</v>
      </c>
      <c r="H53" s="10" t="n">
        <v>2.935194624862714</v>
      </c>
      <c r="I53" s="10">
        <f>G53-1.96*H53</f>
        <v/>
      </c>
      <c r="J53" s="10">
        <f>G53+1.96*H53</f>
        <v/>
      </c>
      <c r="K53" s="10">
        <f>G53-F53</f>
        <v/>
      </c>
      <c r="L53" s="4">
        <f>IF(AND(F53&gt;=I53,F53&lt;=J53),1,0)</f>
        <v/>
      </c>
    </row>
    <row r="54">
      <c r="A54" s="4" t="inlineStr">
        <is>
          <t>hardness_shoreA</t>
        </is>
      </c>
      <c r="B54" s="4" t="inlineStr">
        <is>
          <t>G164</t>
        </is>
      </c>
      <c r="C54" s="4" t="inlineStr">
        <is>
          <t>US20050107544A1</t>
        </is>
      </c>
      <c r="D54" s="4" t="inlineStr">
        <is>
          <t>Sample 1</t>
        </is>
      </c>
      <c r="E54" s="4" t="inlineStr">
        <is>
          <t>dev(OOF)</t>
        </is>
      </c>
      <c r="F54" s="10" t="n">
        <v>66</v>
      </c>
      <c r="G54" s="10" t="n">
        <v>65.80264950007133</v>
      </c>
      <c r="H54" s="10" t="n">
        <v>3.847736342338382</v>
      </c>
      <c r="I54" s="10">
        <f>G54-1.96*H54</f>
        <v/>
      </c>
      <c r="J54" s="10">
        <f>G54+1.96*H54</f>
        <v/>
      </c>
      <c r="K54" s="10">
        <f>G54-F54</f>
        <v/>
      </c>
      <c r="L54" s="4">
        <f>IF(AND(F54&gt;=I54,F54&lt;=J54),1,0)</f>
        <v/>
      </c>
    </row>
    <row r="55">
      <c r="A55" s="4" t="inlineStr">
        <is>
          <t>hardness_shoreA</t>
        </is>
      </c>
      <c r="B55" s="4" t="inlineStr">
        <is>
          <t>G119</t>
        </is>
      </c>
      <c r="C55" s="4" t="inlineStr">
        <is>
          <t>US5696189A</t>
        </is>
      </c>
      <c r="D55" s="4" t="inlineStr">
        <is>
          <t>Example 2</t>
        </is>
      </c>
      <c r="E55" s="4" t="inlineStr">
        <is>
          <t>dev(OOF)</t>
        </is>
      </c>
      <c r="F55" s="10" t="n">
        <v>76</v>
      </c>
      <c r="G55" s="10" t="n">
        <v>68.96996089207438</v>
      </c>
      <c r="H55" s="10" t="n">
        <v>5.236723236950454</v>
      </c>
      <c r="I55" s="10">
        <f>G55-1.96*H55</f>
        <v/>
      </c>
      <c r="J55" s="10">
        <f>G55+1.96*H55</f>
        <v/>
      </c>
      <c r="K55" s="10">
        <f>G55-F55</f>
        <v/>
      </c>
      <c r="L55" s="4">
        <f>IF(AND(F55&gt;=I55,F55&lt;=J55),1,0)</f>
        <v/>
      </c>
    </row>
    <row r="56">
      <c r="A56" s="4" t="inlineStr">
        <is>
          <t>hardness_shoreA</t>
        </is>
      </c>
      <c r="B56" s="4" t="inlineStr">
        <is>
          <t>G274</t>
        </is>
      </c>
      <c r="C56" s="4" t="inlineStr">
        <is>
          <t>US20230174763A1</t>
        </is>
      </c>
      <c r="D56" s="4" t="inlineStr">
        <is>
          <t>Comparative Example 12</t>
        </is>
      </c>
      <c r="E56" s="4" t="inlineStr">
        <is>
          <t>dev(OOF)</t>
        </is>
      </c>
      <c r="F56" s="10" t="n">
        <v>56</v>
      </c>
      <c r="G56" s="10" t="n">
        <v>58.11100887174885</v>
      </c>
      <c r="H56" s="10" t="n">
        <v>7.251214540104435</v>
      </c>
      <c r="I56" s="10">
        <f>G56-1.96*H56</f>
        <v/>
      </c>
      <c r="J56" s="10">
        <f>G56+1.96*H56</f>
        <v/>
      </c>
      <c r="K56" s="10">
        <f>G56-F56</f>
        <v/>
      </c>
      <c r="L56" s="4">
        <f>IF(AND(F56&gt;=I56,F56&lt;=J56),1,0)</f>
        <v/>
      </c>
    </row>
    <row r="57">
      <c r="A57" s="4" t="inlineStr">
        <is>
          <t>hardness_shoreA</t>
        </is>
      </c>
      <c r="B57" s="4" t="inlineStr">
        <is>
          <t>G073</t>
        </is>
      </c>
      <c r="C57" s="4" t="inlineStr">
        <is>
          <t>US11072700B2</t>
        </is>
      </c>
      <c r="D57" s="4" t="inlineStr">
        <is>
          <t>Comparative Example 3</t>
        </is>
      </c>
      <c r="E57" s="4" t="inlineStr">
        <is>
          <t>dev(OOF)</t>
        </is>
      </c>
      <c r="F57" s="10" t="n">
        <v>74</v>
      </c>
      <c r="G57" s="10" t="n">
        <v>70.92312819917375</v>
      </c>
      <c r="H57" s="10" t="n">
        <v>3.019379815718497</v>
      </c>
      <c r="I57" s="10">
        <f>G57-1.96*H57</f>
        <v/>
      </c>
      <c r="J57" s="10">
        <f>G57+1.96*H57</f>
        <v/>
      </c>
      <c r="K57" s="10">
        <f>G57-F57</f>
        <v/>
      </c>
      <c r="L57" s="4">
        <f>IF(AND(F57&gt;=I57,F57&lt;=J57),1,0)</f>
        <v/>
      </c>
    </row>
    <row r="58">
      <c r="A58" s="4" t="inlineStr">
        <is>
          <t>hardness_shoreA</t>
        </is>
      </c>
      <c r="B58" s="4" t="inlineStr">
        <is>
          <t>G019</t>
        </is>
      </c>
      <c r="C58" s="4" t="inlineStr">
        <is>
          <t>US7678858B2</t>
        </is>
      </c>
      <c r="D58" s="4" t="inlineStr">
        <is>
          <t>Example 18</t>
        </is>
      </c>
      <c r="E58" s="4" t="inlineStr">
        <is>
          <t>dev(OOF)</t>
        </is>
      </c>
      <c r="F58" s="10" t="n">
        <v>82</v>
      </c>
      <c r="G58" s="10" t="n">
        <v>81.61612788695827</v>
      </c>
      <c r="H58" s="10" t="n">
        <v>3.669714342120324</v>
      </c>
      <c r="I58" s="10">
        <f>G58-1.96*H58</f>
        <v/>
      </c>
      <c r="J58" s="10">
        <f>G58+1.96*H58</f>
        <v/>
      </c>
      <c r="K58" s="10">
        <f>G58-F58</f>
        <v/>
      </c>
      <c r="L58" s="4">
        <f>IF(AND(F58&gt;=I58,F58&lt;=J58),1,0)</f>
        <v/>
      </c>
    </row>
    <row r="59">
      <c r="A59" s="4" t="inlineStr">
        <is>
          <t>hardness_shoreA</t>
        </is>
      </c>
      <c r="B59" s="4" t="inlineStr">
        <is>
          <t>G155</t>
        </is>
      </c>
      <c r="C59" s="4" t="inlineStr">
        <is>
          <t>US7402630B2</t>
        </is>
      </c>
      <c r="D59" s="4" t="inlineStr">
        <is>
          <t>Example 7</t>
        </is>
      </c>
      <c r="E59" s="4" t="inlineStr">
        <is>
          <t>dev(OOF)</t>
        </is>
      </c>
      <c r="F59" s="10" t="n">
        <v>81</v>
      </c>
      <c r="G59" s="10" t="n">
        <v>80.07539844738479</v>
      </c>
      <c r="H59" s="10" t="n">
        <v>5.019292009525704</v>
      </c>
      <c r="I59" s="10">
        <f>G59-1.96*H59</f>
        <v/>
      </c>
      <c r="J59" s="10">
        <f>G59+1.96*H59</f>
        <v/>
      </c>
      <c r="K59" s="10">
        <f>G59-F59</f>
        <v/>
      </c>
      <c r="L59" s="4">
        <f>IF(AND(F59&gt;=I59,F59&lt;=J59),1,0)</f>
        <v/>
      </c>
    </row>
    <row r="60">
      <c r="A60" s="4" t="inlineStr">
        <is>
          <t>hardness_shoreA</t>
        </is>
      </c>
      <c r="B60" s="4" t="inlineStr">
        <is>
          <t>G022</t>
        </is>
      </c>
      <c r="C60" s="4" t="inlineStr">
        <is>
          <t>US7678858B2</t>
        </is>
      </c>
      <c r="D60" s="4" t="inlineStr">
        <is>
          <t>Comparative Example 2</t>
        </is>
      </c>
      <c r="E60" s="4" t="inlineStr">
        <is>
          <t>dev(OOF)</t>
        </is>
      </c>
      <c r="F60" s="10" t="n">
        <v>80</v>
      </c>
      <c r="G60" s="10" t="n">
        <v>80.41247477999283</v>
      </c>
      <c r="H60" s="10" t="n">
        <v>3.952560492202673</v>
      </c>
      <c r="I60" s="10">
        <f>G60-1.96*H60</f>
        <v/>
      </c>
      <c r="J60" s="10">
        <f>G60+1.96*H60</f>
        <v/>
      </c>
      <c r="K60" s="10">
        <f>G60-F60</f>
        <v/>
      </c>
      <c r="L60" s="4">
        <f>IF(AND(F60&gt;=I60,F60&lt;=J60),1,0)</f>
        <v/>
      </c>
    </row>
    <row r="61">
      <c r="A61" s="4" t="inlineStr">
        <is>
          <t>hardness_shoreA</t>
        </is>
      </c>
      <c r="B61" s="4" t="inlineStr">
        <is>
          <t>G285</t>
        </is>
      </c>
      <c r="C61" s="4" t="inlineStr">
        <is>
          <t>US20230365800A1</t>
        </is>
      </c>
      <c r="D61" s="4" t="inlineStr">
        <is>
          <t>Comparative Example 3</t>
        </is>
      </c>
      <c r="E61" s="4" t="inlineStr">
        <is>
          <t>dev(OOF)</t>
        </is>
      </c>
      <c r="F61" s="10" t="n">
        <v>60</v>
      </c>
      <c r="G61" s="10" t="n">
        <v>65.52559357014586</v>
      </c>
      <c r="H61" s="10" t="n">
        <v>2.935194624862714</v>
      </c>
      <c r="I61" s="10">
        <f>G61-1.96*H61</f>
        <v/>
      </c>
      <c r="J61" s="10">
        <f>G61+1.96*H61</f>
        <v/>
      </c>
      <c r="K61" s="10">
        <f>G61-F61</f>
        <v/>
      </c>
      <c r="L61" s="4">
        <f>IF(AND(F61&gt;=I61,F61&lt;=J61),1,0)</f>
        <v/>
      </c>
    </row>
    <row r="62">
      <c r="A62" s="4" t="inlineStr">
        <is>
          <t>hardness_shoreA</t>
        </is>
      </c>
      <c r="B62" s="4" t="inlineStr">
        <is>
          <t>G304</t>
        </is>
      </c>
      <c r="C62" s="4" t="inlineStr">
        <is>
          <t>EP4249550A1</t>
        </is>
      </c>
      <c r="D62" s="4" t="inlineStr">
        <is>
          <t>Comparative Example 3</t>
        </is>
      </c>
      <c r="E62" s="4" t="inlineStr">
        <is>
          <t>dev(OOF)</t>
        </is>
      </c>
      <c r="F62" s="10" t="n">
        <v>71</v>
      </c>
      <c r="G62" s="10" t="n">
        <v>70.95473392644422</v>
      </c>
      <c r="H62" s="10" t="n">
        <v>3.653542819881286</v>
      </c>
      <c r="I62" s="10">
        <f>G62-1.96*H62</f>
        <v/>
      </c>
      <c r="J62" s="10">
        <f>G62+1.96*H62</f>
        <v/>
      </c>
      <c r="K62" s="10">
        <f>G62-F62</f>
        <v/>
      </c>
      <c r="L62" s="4">
        <f>IF(AND(F62&gt;=I62,F62&lt;=J62),1,0)</f>
        <v/>
      </c>
    </row>
    <row r="63">
      <c r="A63" s="4" t="inlineStr">
        <is>
          <t>hardness_shoreA</t>
        </is>
      </c>
      <c r="B63" s="4" t="inlineStr">
        <is>
          <t>G088</t>
        </is>
      </c>
      <c r="C63" s="4" t="inlineStr">
        <is>
          <t>US8367776B2</t>
        </is>
      </c>
      <c r="D63" s="4" t="inlineStr">
        <is>
          <t>Example 6</t>
        </is>
      </c>
      <c r="E63" s="4" t="inlineStr">
        <is>
          <t>dev(OOF)</t>
        </is>
      </c>
      <c r="F63" s="10" t="n">
        <v>64.5</v>
      </c>
      <c r="G63" s="10" t="n">
        <v>60.54901520340302</v>
      </c>
      <c r="H63" s="10" t="n">
        <v>5.409175928097389</v>
      </c>
      <c r="I63" s="10">
        <f>G63-1.96*H63</f>
        <v/>
      </c>
      <c r="J63" s="10">
        <f>G63+1.96*H63</f>
        <v/>
      </c>
      <c r="K63" s="10">
        <f>G63-F63</f>
        <v/>
      </c>
      <c r="L63" s="4">
        <f>IF(AND(F63&gt;=I63,F63&lt;=J63),1,0)</f>
        <v/>
      </c>
    </row>
    <row r="64">
      <c r="A64" s="4" t="inlineStr">
        <is>
          <t>hardness_shoreA</t>
        </is>
      </c>
      <c r="B64" s="4" t="inlineStr">
        <is>
          <t>G162</t>
        </is>
      </c>
      <c r="C64" s="4" t="inlineStr">
        <is>
          <t>US6956085B2</t>
        </is>
      </c>
      <c r="D64" s="4" t="inlineStr">
        <is>
          <t>Example 5</t>
        </is>
      </c>
      <c r="E64" s="4" t="inlineStr">
        <is>
          <t>dev(OOF)</t>
        </is>
      </c>
      <c r="F64" s="10" t="n">
        <v>69</v>
      </c>
      <c r="G64" s="10" t="n">
        <v>72.44543276699648</v>
      </c>
      <c r="H64" s="10" t="n">
        <v>4.418050341663943</v>
      </c>
      <c r="I64" s="10">
        <f>G64-1.96*H64</f>
        <v/>
      </c>
      <c r="J64" s="10">
        <f>G64+1.96*H64</f>
        <v/>
      </c>
      <c r="K64" s="10">
        <f>G64-F64</f>
        <v/>
      </c>
      <c r="L64" s="4">
        <f>IF(AND(F64&gt;=I64,F64&lt;=J64),1,0)</f>
        <v/>
      </c>
    </row>
    <row r="65">
      <c r="A65" s="4" t="inlineStr">
        <is>
          <t>hardness_shoreA</t>
        </is>
      </c>
      <c r="B65" s="4" t="inlineStr">
        <is>
          <t>G253</t>
        </is>
      </c>
      <c r="C65" s="4" t="inlineStr">
        <is>
          <t>US12584054B2</t>
        </is>
      </c>
      <c r="D65" s="4" t="inlineStr">
        <is>
          <t>Comparative Example 5</t>
        </is>
      </c>
      <c r="E65" s="4" t="inlineStr">
        <is>
          <t>dev(OOF)</t>
        </is>
      </c>
      <c r="F65" s="10" t="n">
        <v>65</v>
      </c>
      <c r="G65" s="10" t="n">
        <v>64.37777903785114</v>
      </c>
      <c r="H65" s="10" t="n">
        <v>3.985732761725288</v>
      </c>
      <c r="I65" s="10">
        <f>G65-1.96*H65</f>
        <v/>
      </c>
      <c r="J65" s="10">
        <f>G65+1.96*H65</f>
        <v/>
      </c>
      <c r="K65" s="10">
        <f>G65-F65</f>
        <v/>
      </c>
      <c r="L65" s="4">
        <f>IF(AND(F65&gt;=I65,F65&lt;=J65),1,0)</f>
        <v/>
      </c>
    </row>
    <row r="66">
      <c r="A66" s="4" t="inlineStr">
        <is>
          <t>hardness_shoreA</t>
        </is>
      </c>
      <c r="B66" s="4" t="inlineStr">
        <is>
          <t>G105</t>
        </is>
      </c>
      <c r="C66" s="4" t="inlineStr">
        <is>
          <t>US7354974B2</t>
        </is>
      </c>
      <c r="D66" s="4" t="inlineStr">
        <is>
          <t>Control B</t>
        </is>
      </c>
      <c r="E66" s="4" t="inlineStr">
        <is>
          <t>dev(OOF)</t>
        </is>
      </c>
      <c r="F66" s="10" t="n">
        <v>73</v>
      </c>
      <c r="G66" s="10" t="n">
        <v>75.35245402353954</v>
      </c>
      <c r="H66" s="10" t="n">
        <v>4.837681668466602</v>
      </c>
      <c r="I66" s="10">
        <f>G66-1.96*H66</f>
        <v/>
      </c>
      <c r="J66" s="10">
        <f>G66+1.96*H66</f>
        <v/>
      </c>
      <c r="K66" s="10">
        <f>G66-F66</f>
        <v/>
      </c>
      <c r="L66" s="4">
        <f>IF(AND(F66&gt;=I66,F66&lt;=J66),1,0)</f>
        <v/>
      </c>
    </row>
    <row r="67">
      <c r="A67" s="4" t="inlineStr">
        <is>
          <t>hardness_shoreA</t>
        </is>
      </c>
      <c r="B67" s="4" t="inlineStr">
        <is>
          <t>G246</t>
        </is>
      </c>
      <c r="C67" s="4" t="inlineStr">
        <is>
          <t>US12584054B2</t>
        </is>
      </c>
      <c r="D67" s="4" t="inlineStr">
        <is>
          <t>Example 3</t>
        </is>
      </c>
      <c r="E67" s="4" t="inlineStr">
        <is>
          <t>dev(OOF)</t>
        </is>
      </c>
      <c r="F67" s="10" t="n">
        <v>69</v>
      </c>
      <c r="G67" s="10" t="n">
        <v>68.67193435749228</v>
      </c>
      <c r="H67" s="10" t="n">
        <v>3.887501144960175</v>
      </c>
      <c r="I67" s="10">
        <f>G67-1.96*H67</f>
        <v/>
      </c>
      <c r="J67" s="10">
        <f>G67+1.96*H67</f>
        <v/>
      </c>
      <c r="K67" s="10">
        <f>G67-F67</f>
        <v/>
      </c>
      <c r="L67" s="4">
        <f>IF(AND(F67&gt;=I67,F67&lt;=J67),1,0)</f>
        <v/>
      </c>
    </row>
    <row r="68">
      <c r="A68" s="4" t="inlineStr">
        <is>
          <t>hardness_shoreA</t>
        </is>
      </c>
      <c r="B68" s="4" t="inlineStr">
        <is>
          <t>G288</t>
        </is>
      </c>
      <c r="C68" s="4" t="inlineStr">
        <is>
          <t>US20230365800A1</t>
        </is>
      </c>
      <c r="D68" s="4" t="inlineStr">
        <is>
          <t>Example 10</t>
        </is>
      </c>
      <c r="E68" s="4" t="inlineStr">
        <is>
          <t>dev(OOF)</t>
        </is>
      </c>
      <c r="F68" s="10" t="n">
        <v>67</v>
      </c>
      <c r="G68" s="10" t="n">
        <v>64.46037681043867</v>
      </c>
      <c r="H68" s="10" t="n">
        <v>3.460498891225821</v>
      </c>
      <c r="I68" s="10">
        <f>G68-1.96*H68</f>
        <v/>
      </c>
      <c r="J68" s="10">
        <f>G68+1.96*H68</f>
        <v/>
      </c>
      <c r="K68" s="10">
        <f>G68-F68</f>
        <v/>
      </c>
      <c r="L68" s="4">
        <f>IF(AND(F68&gt;=I68,F68&lt;=J68),1,0)</f>
        <v/>
      </c>
    </row>
    <row r="69">
      <c r="A69" s="4" t="inlineStr">
        <is>
          <t>hardness_shoreA</t>
        </is>
      </c>
      <c r="B69" s="4" t="inlineStr">
        <is>
          <t>G332</t>
        </is>
      </c>
      <c r="C69" s="4" t="inlineStr">
        <is>
          <t>KR101467101B1</t>
        </is>
      </c>
      <c r="D69" s="4" t="inlineStr">
        <is>
          <t>Comparative Example 2</t>
        </is>
      </c>
      <c r="E69" s="4" t="inlineStr">
        <is>
          <t>dev(OOF)</t>
        </is>
      </c>
      <c r="F69" s="10" t="n">
        <v>75</v>
      </c>
      <c r="G69" s="10" t="n">
        <v>74.43829734070958</v>
      </c>
      <c r="H69" s="10" t="n">
        <v>3.849127318217156</v>
      </c>
      <c r="I69" s="10">
        <f>G69-1.96*H69</f>
        <v/>
      </c>
      <c r="J69" s="10">
        <f>G69+1.96*H69</f>
        <v/>
      </c>
      <c r="K69" s="10">
        <f>G69-F69</f>
        <v/>
      </c>
      <c r="L69" s="4">
        <f>IF(AND(F69&gt;=I69,F69&lt;=J69),1,0)</f>
        <v/>
      </c>
    </row>
    <row r="70">
      <c r="A70" s="4" t="inlineStr">
        <is>
          <t>hardness_shoreA</t>
        </is>
      </c>
      <c r="B70" s="4" t="inlineStr">
        <is>
          <t>G024</t>
        </is>
      </c>
      <c r="C70" s="4" t="inlineStr">
        <is>
          <t>US6803402B2</t>
        </is>
      </c>
      <c r="D70" s="4" t="inlineStr">
        <is>
          <t>Example 1</t>
        </is>
      </c>
      <c r="E70" s="4" t="inlineStr">
        <is>
          <t>dev(OOF)</t>
        </is>
      </c>
      <c r="F70" s="10" t="n">
        <v>63</v>
      </c>
      <c r="G70" s="10" t="n">
        <v>61.3758401629492</v>
      </c>
      <c r="H70" s="10" t="n">
        <v>3.566260279699615</v>
      </c>
      <c r="I70" s="10">
        <f>G70-1.96*H70</f>
        <v/>
      </c>
      <c r="J70" s="10">
        <f>G70+1.96*H70</f>
        <v/>
      </c>
      <c r="K70" s="10">
        <f>G70-F70</f>
        <v/>
      </c>
      <c r="L70" s="4">
        <f>IF(AND(F70&gt;=I70,F70&lt;=J70),1,0)</f>
        <v/>
      </c>
    </row>
    <row r="71">
      <c r="A71" s="4" t="inlineStr">
        <is>
          <t>hardness_shoreA</t>
        </is>
      </c>
      <c r="B71" s="4" t="inlineStr">
        <is>
          <t>G324</t>
        </is>
      </c>
      <c r="C71" s="4" t="inlineStr">
        <is>
          <t>KR101467101B1</t>
        </is>
      </c>
      <c r="D71" s="4" t="inlineStr">
        <is>
          <t>Table 2 sample 2</t>
        </is>
      </c>
      <c r="E71" s="4" t="inlineStr">
        <is>
          <t>dev(OOF)</t>
        </is>
      </c>
      <c r="F71" s="10" t="n">
        <v>58</v>
      </c>
      <c r="G71" s="10" t="n">
        <v>66.5186092863958</v>
      </c>
      <c r="H71" s="10" t="n">
        <v>3.261565735732612</v>
      </c>
      <c r="I71" s="10">
        <f>G71-1.96*H71</f>
        <v/>
      </c>
      <c r="J71" s="10">
        <f>G71+1.96*H71</f>
        <v/>
      </c>
      <c r="K71" s="10">
        <f>G71-F71</f>
        <v/>
      </c>
      <c r="L71" s="4">
        <f>IF(AND(F71&gt;=I71,F71&lt;=J71),1,0)</f>
        <v/>
      </c>
    </row>
    <row r="72">
      <c r="A72" s="4" t="inlineStr">
        <is>
          <t>hardness_shoreA</t>
        </is>
      </c>
      <c r="B72" s="4" t="inlineStr">
        <is>
          <t>G160</t>
        </is>
      </c>
      <c r="C72" s="4" t="inlineStr">
        <is>
          <t>US6956085B2</t>
        </is>
      </c>
      <c r="D72" s="4" t="inlineStr">
        <is>
          <t>Example 3</t>
        </is>
      </c>
      <c r="E72" s="4" t="inlineStr">
        <is>
          <t>dev(OOF)</t>
        </is>
      </c>
      <c r="F72" s="10" t="n">
        <v>75</v>
      </c>
      <c r="G72" s="10" t="n">
        <v>75.64953396107653</v>
      </c>
      <c r="H72" s="10" t="n">
        <v>5.656129864237071</v>
      </c>
      <c r="I72" s="10">
        <f>G72-1.96*H72</f>
        <v/>
      </c>
      <c r="J72" s="10">
        <f>G72+1.96*H72</f>
        <v/>
      </c>
      <c r="K72" s="10">
        <f>G72-F72</f>
        <v/>
      </c>
      <c r="L72" s="4">
        <f>IF(AND(F72&gt;=I72,F72&lt;=J72),1,0)</f>
        <v/>
      </c>
    </row>
    <row r="73">
      <c r="A73" s="4" t="inlineStr">
        <is>
          <t>hardness_shoreA</t>
        </is>
      </c>
      <c r="B73" s="4" t="inlineStr">
        <is>
          <t>G034</t>
        </is>
      </c>
      <c r="C73" s="4" t="inlineStr">
        <is>
          <t>US8173727B2</t>
        </is>
      </c>
      <c r="D73" s="4" t="inlineStr">
        <is>
          <t>Example 6</t>
        </is>
      </c>
      <c r="E73" s="4" t="inlineStr">
        <is>
          <t>dev(OOF)</t>
        </is>
      </c>
      <c r="F73" s="10" t="n">
        <v>75</v>
      </c>
      <c r="G73" s="10" t="n">
        <v>75.47549050811699</v>
      </c>
      <c r="H73" s="10" t="n">
        <v>3.729361076167999</v>
      </c>
      <c r="I73" s="10">
        <f>G73-1.96*H73</f>
        <v/>
      </c>
      <c r="J73" s="10">
        <f>G73+1.96*H73</f>
        <v/>
      </c>
      <c r="K73" s="10">
        <f>G73-F73</f>
        <v/>
      </c>
      <c r="L73" s="4">
        <f>IF(AND(F73&gt;=I73,F73&lt;=J73),1,0)</f>
        <v/>
      </c>
    </row>
    <row r="74">
      <c r="A74" s="4" t="inlineStr">
        <is>
          <t>hardness_shoreA</t>
        </is>
      </c>
      <c r="B74" s="4" t="inlineStr">
        <is>
          <t>G323</t>
        </is>
      </c>
      <c r="C74" s="4" t="inlineStr">
        <is>
          <t>KR101467101B1</t>
        </is>
      </c>
      <c r="D74" s="4" t="inlineStr">
        <is>
          <t>Table 2 sample 1</t>
        </is>
      </c>
      <c r="E74" s="4" t="inlineStr">
        <is>
          <t>dev(OOF)</t>
        </is>
      </c>
      <c r="F74" s="10" t="n">
        <v>55</v>
      </c>
      <c r="G74" s="10" t="n">
        <v>75.36168844606399</v>
      </c>
      <c r="H74" s="10" t="n">
        <v>3.79137493100087</v>
      </c>
      <c r="I74" s="10">
        <f>G74-1.96*H74</f>
        <v/>
      </c>
      <c r="J74" s="10">
        <f>G74+1.96*H74</f>
        <v/>
      </c>
      <c r="K74" s="10">
        <f>G74-F74</f>
        <v/>
      </c>
      <c r="L74" s="4">
        <f>IF(AND(F74&gt;=I74,F74&lt;=J74),1,0)</f>
        <v/>
      </c>
    </row>
    <row r="75">
      <c r="A75" s="4" t="inlineStr">
        <is>
          <t>hardness_shoreA</t>
        </is>
      </c>
      <c r="B75" s="4" t="inlineStr">
        <is>
          <t>G280</t>
        </is>
      </c>
      <c r="C75" s="4" t="inlineStr">
        <is>
          <t>US20230365800A1</t>
        </is>
      </c>
      <c r="D75" s="4" t="inlineStr">
        <is>
          <t>Example 4</t>
        </is>
      </c>
      <c r="E75" s="4" t="inlineStr">
        <is>
          <t>dev(OOF)</t>
        </is>
      </c>
      <c r="F75" s="10" t="n">
        <v>67</v>
      </c>
      <c r="G75" s="10" t="n">
        <v>64.59626311368669</v>
      </c>
      <c r="H75" s="10" t="n">
        <v>2.240407565153518</v>
      </c>
      <c r="I75" s="10">
        <f>G75-1.96*H75</f>
        <v/>
      </c>
      <c r="J75" s="10">
        <f>G75+1.96*H75</f>
        <v/>
      </c>
      <c r="K75" s="10">
        <f>G75-F75</f>
        <v/>
      </c>
      <c r="L75" s="4">
        <f>IF(AND(F75&gt;=I75,F75&lt;=J75),1,0)</f>
        <v/>
      </c>
    </row>
    <row r="76">
      <c r="A76" s="4" t="inlineStr">
        <is>
          <t>hardness_shoreA</t>
        </is>
      </c>
      <c r="B76" s="4" t="inlineStr">
        <is>
          <t>G082</t>
        </is>
      </c>
      <c r="C76" s="4" t="inlineStr">
        <is>
          <t>US12304984B2</t>
        </is>
      </c>
      <c r="D76" s="4" t="inlineStr">
        <is>
          <t>Example 2</t>
        </is>
      </c>
      <c r="E76" s="4" t="inlineStr">
        <is>
          <t>dev(OOF)</t>
        </is>
      </c>
      <c r="F76" s="10" t="n">
        <v>88</v>
      </c>
      <c r="G76" s="10" t="n">
        <v>78.49136483018034</v>
      </c>
      <c r="H76" s="10" t="n">
        <v>5.53148349604687</v>
      </c>
      <c r="I76" s="10">
        <f>G76-1.96*H76</f>
        <v/>
      </c>
      <c r="J76" s="10">
        <f>G76+1.96*H76</f>
        <v/>
      </c>
      <c r="K76" s="10">
        <f>G76-F76</f>
        <v/>
      </c>
      <c r="L76" s="4">
        <f>IF(AND(F76&gt;=I76,F76&lt;=J76),1,0)</f>
        <v/>
      </c>
    </row>
    <row r="77">
      <c r="A77" s="4" t="inlineStr">
        <is>
          <t>hardness_shoreA</t>
        </is>
      </c>
      <c r="B77" s="4" t="inlineStr">
        <is>
          <t>G284</t>
        </is>
      </c>
      <c r="C77" s="4" t="inlineStr">
        <is>
          <t>US20230365800A1</t>
        </is>
      </c>
      <c r="D77" s="4" t="inlineStr">
        <is>
          <t>Example 9</t>
        </is>
      </c>
      <c r="E77" s="4" t="inlineStr">
        <is>
          <t>dev(OOF)</t>
        </is>
      </c>
      <c r="F77" s="10" t="n">
        <v>63</v>
      </c>
      <c r="G77" s="10" t="n">
        <v>64.8650040890679</v>
      </c>
      <c r="H77" s="10" t="n">
        <v>3.11220459732592</v>
      </c>
      <c r="I77" s="10">
        <f>G77-1.96*H77</f>
        <v/>
      </c>
      <c r="J77" s="10">
        <f>G77+1.96*H77</f>
        <v/>
      </c>
      <c r="K77" s="10">
        <f>G77-F77</f>
        <v/>
      </c>
      <c r="L77" s="4">
        <f>IF(AND(F77&gt;=I77,F77&lt;=J77),1,0)</f>
        <v/>
      </c>
    </row>
    <row r="78">
      <c r="A78" s="4" t="inlineStr">
        <is>
          <t>hardness_shoreA</t>
        </is>
      </c>
      <c r="B78" s="4" t="inlineStr">
        <is>
          <t>G330</t>
        </is>
      </c>
      <c r="C78" s="4" t="inlineStr">
        <is>
          <t>KR101467101B1</t>
        </is>
      </c>
      <c r="D78" s="4" t="inlineStr">
        <is>
          <t>Comparative Example 1 (Table 3 sample 4)</t>
        </is>
      </c>
      <c r="E78" s="4" t="inlineStr">
        <is>
          <t>dev(OOF)</t>
        </is>
      </c>
      <c r="F78" s="10" t="n">
        <v>67</v>
      </c>
      <c r="G78" s="10" t="n">
        <v>67.06073942437298</v>
      </c>
      <c r="H78" s="10" t="n">
        <v>3.998163779045132</v>
      </c>
      <c r="I78" s="10">
        <f>G78-1.96*H78</f>
        <v/>
      </c>
      <c r="J78" s="10">
        <f>G78+1.96*H78</f>
        <v/>
      </c>
      <c r="K78" s="10">
        <f>G78-F78</f>
        <v/>
      </c>
      <c r="L78" s="4">
        <f>IF(AND(F78&gt;=I78,F78&lt;=J78),1,0)</f>
        <v/>
      </c>
    </row>
    <row r="79">
      <c r="A79" s="4" t="inlineStr">
        <is>
          <t>hardness_shoreA</t>
        </is>
      </c>
      <c r="B79" s="4" t="inlineStr">
        <is>
          <t>G261</t>
        </is>
      </c>
      <c r="C79" s="4" t="inlineStr">
        <is>
          <t>US12584054B2</t>
        </is>
      </c>
      <c r="D79" s="4" t="inlineStr">
        <is>
          <t>Example 9</t>
        </is>
      </c>
      <c r="E79" s="4" t="inlineStr">
        <is>
          <t>dev(OOF)</t>
        </is>
      </c>
      <c r="F79" s="10" t="n">
        <v>57</v>
      </c>
      <c r="G79" s="10" t="n">
        <v>54.84066411610187</v>
      </c>
      <c r="H79" s="10" t="n">
        <v>3.24581189493596</v>
      </c>
      <c r="I79" s="10">
        <f>G79-1.96*H79</f>
        <v/>
      </c>
      <c r="J79" s="10">
        <f>G79+1.96*H79</f>
        <v/>
      </c>
      <c r="K79" s="10">
        <f>G79-F79</f>
        <v/>
      </c>
      <c r="L79" s="4">
        <f>IF(AND(F79&gt;=I79,F79&lt;=J79),1,0)</f>
        <v/>
      </c>
    </row>
    <row r="80">
      <c r="A80" s="4" t="inlineStr">
        <is>
          <t>hardness_shoreA</t>
        </is>
      </c>
      <c r="B80" s="4" t="inlineStr">
        <is>
          <t>G197</t>
        </is>
      </c>
      <c r="C80" s="4" t="inlineStr">
        <is>
          <t>US20160319102A1</t>
        </is>
      </c>
      <c r="D80" s="4" t="inlineStr">
        <is>
          <t>Comparative Example 2</t>
        </is>
      </c>
      <c r="E80" s="4" t="inlineStr">
        <is>
          <t>dev(OOF)</t>
        </is>
      </c>
      <c r="F80" s="10" t="n">
        <v>85</v>
      </c>
      <c r="G80" s="10" t="n">
        <v>72.25119295389807</v>
      </c>
      <c r="H80" s="10" t="n">
        <v>3.553989866382312</v>
      </c>
      <c r="I80" s="10">
        <f>G80-1.96*H80</f>
        <v/>
      </c>
      <c r="J80" s="10">
        <f>G80+1.96*H80</f>
        <v/>
      </c>
      <c r="K80" s="10">
        <f>G80-F80</f>
        <v/>
      </c>
      <c r="L80" s="4">
        <f>IF(AND(F80&gt;=I80,F80&lt;=J80),1,0)</f>
        <v/>
      </c>
    </row>
    <row r="81">
      <c r="A81" s="4" t="inlineStr">
        <is>
          <t>hardness_shoreA</t>
        </is>
      </c>
      <c r="B81" s="4" t="inlineStr">
        <is>
          <t>G303</t>
        </is>
      </c>
      <c r="C81" s="4" t="inlineStr">
        <is>
          <t>EP4249550A1</t>
        </is>
      </c>
      <c r="D81" s="4" t="inlineStr">
        <is>
          <t>Comparative Example 2</t>
        </is>
      </c>
      <c r="E81" s="4" t="inlineStr">
        <is>
          <t>dev(OOF)</t>
        </is>
      </c>
      <c r="F81" s="10" t="n">
        <v>57</v>
      </c>
      <c r="G81" s="10" t="n">
        <v>56.68518660748208</v>
      </c>
      <c r="H81" s="10" t="n">
        <v>2.846076169196363</v>
      </c>
      <c r="I81" s="10">
        <f>G81-1.96*H81</f>
        <v/>
      </c>
      <c r="J81" s="10">
        <f>G81+1.96*H81</f>
        <v/>
      </c>
      <c r="K81" s="10">
        <f>G81-F81</f>
        <v/>
      </c>
      <c r="L81" s="4">
        <f>IF(AND(F81&gt;=I81,F81&lt;=J81),1,0)</f>
        <v/>
      </c>
    </row>
    <row r="82">
      <c r="A82" s="4" t="inlineStr">
        <is>
          <t>hardness_shoreA</t>
        </is>
      </c>
      <c r="B82" s="4" t="inlineStr">
        <is>
          <t>G252</t>
        </is>
      </c>
      <c r="C82" s="4" t="inlineStr">
        <is>
          <t>US12584054B2</t>
        </is>
      </c>
      <c r="D82" s="4" t="inlineStr">
        <is>
          <t>Comparative Example 4</t>
        </is>
      </c>
      <c r="E82" s="4" t="inlineStr">
        <is>
          <t>dev(OOF)</t>
        </is>
      </c>
      <c r="F82" s="10" t="n">
        <v>63</v>
      </c>
      <c r="G82" s="10" t="n">
        <v>55.62287558089015</v>
      </c>
      <c r="H82" s="10" t="n">
        <v>2.838885492961282</v>
      </c>
      <c r="I82" s="10">
        <f>G82-1.96*H82</f>
        <v/>
      </c>
      <c r="J82" s="10">
        <f>G82+1.96*H82</f>
        <v/>
      </c>
      <c r="K82" s="10">
        <f>G82-F82</f>
        <v/>
      </c>
      <c r="L82" s="4">
        <f>IF(AND(F82&gt;=I82,F82&lt;=J82),1,0)</f>
        <v/>
      </c>
    </row>
    <row r="83">
      <c r="A83" s="4" t="inlineStr">
        <is>
          <t>hardness_shoreA</t>
        </is>
      </c>
      <c r="B83" s="4" t="inlineStr">
        <is>
          <t>G328</t>
        </is>
      </c>
      <c r="C83" s="4" t="inlineStr">
        <is>
          <t>KR101467101B1</t>
        </is>
      </c>
      <c r="D83" s="4" t="inlineStr">
        <is>
          <t>Comparative Example 1 (Table 3 sample 2)</t>
        </is>
      </c>
      <c r="E83" s="4" t="inlineStr">
        <is>
          <t>dev(OOF)</t>
        </is>
      </c>
      <c r="F83" s="10" t="n">
        <v>67</v>
      </c>
      <c r="G83" s="10" t="n">
        <v>74.45896447168494</v>
      </c>
      <c r="H83" s="10" t="n">
        <v>8.431820111155966</v>
      </c>
      <c r="I83" s="10">
        <f>G83-1.96*H83</f>
        <v/>
      </c>
      <c r="J83" s="10">
        <f>G83+1.96*H83</f>
        <v/>
      </c>
      <c r="K83" s="10">
        <f>G83-F83</f>
        <v/>
      </c>
      <c r="L83" s="4">
        <f>IF(AND(F83&gt;=I83,F83&lt;=J83),1,0)</f>
        <v/>
      </c>
    </row>
    <row r="84">
      <c r="A84" s="4" t="inlineStr">
        <is>
          <t>hardness_shoreA</t>
        </is>
      </c>
      <c r="B84" s="4" t="inlineStr">
        <is>
          <t>G172</t>
        </is>
      </c>
      <c r="C84" s="4" t="inlineStr">
        <is>
          <t>US20050107544A1</t>
        </is>
      </c>
      <c r="D84" s="4" t="inlineStr">
        <is>
          <t>Comparative Example C</t>
        </is>
      </c>
      <c r="E84" s="4" t="inlineStr">
        <is>
          <t>dev(OOF)</t>
        </is>
      </c>
      <c r="F84" s="10" t="n">
        <v>66</v>
      </c>
      <c r="G84" s="10" t="n">
        <v>66.20675241551798</v>
      </c>
      <c r="H84" s="10" t="n">
        <v>3.048419997379045</v>
      </c>
      <c r="I84" s="10">
        <f>G84-1.96*H84</f>
        <v/>
      </c>
      <c r="J84" s="10">
        <f>G84+1.96*H84</f>
        <v/>
      </c>
      <c r="K84" s="10">
        <f>G84-F84</f>
        <v/>
      </c>
      <c r="L84" s="4">
        <f>IF(AND(F84&gt;=I84,F84&lt;=J84),1,0)</f>
        <v/>
      </c>
    </row>
    <row r="85">
      <c r="A85" s="4" t="inlineStr">
        <is>
          <t>hardness_shoreA</t>
        </is>
      </c>
      <c r="B85" s="4" t="inlineStr">
        <is>
          <t>G005</t>
        </is>
      </c>
      <c r="C85" s="4" t="inlineStr">
        <is>
          <t>US7678858B2</t>
        </is>
      </c>
      <c r="D85" s="4" t="inlineStr">
        <is>
          <t>Example 5</t>
        </is>
      </c>
      <c r="E85" s="4" t="inlineStr">
        <is>
          <t>dev(OOF)</t>
        </is>
      </c>
      <c r="F85" s="10" t="n">
        <v>78</v>
      </c>
      <c r="G85" s="10" t="n">
        <v>78.95094364796491</v>
      </c>
      <c r="H85" s="10" t="n">
        <v>3.83604714644365</v>
      </c>
      <c r="I85" s="10">
        <f>G85-1.96*H85</f>
        <v/>
      </c>
      <c r="J85" s="10">
        <f>G85+1.96*H85</f>
        <v/>
      </c>
      <c r="K85" s="10">
        <f>G85-F85</f>
        <v/>
      </c>
      <c r="L85" s="4">
        <f>IF(AND(F85&gt;=I85,F85&lt;=J85),1,0)</f>
        <v/>
      </c>
    </row>
    <row r="86">
      <c r="A86" s="4" t="inlineStr">
        <is>
          <t>hardness_shoreA</t>
        </is>
      </c>
      <c r="B86" s="4" t="inlineStr">
        <is>
          <t>G307</t>
        </is>
      </c>
      <c r="C86" s="4" t="inlineStr">
        <is>
          <t>EP4249550A1</t>
        </is>
      </c>
      <c r="D86" s="4" t="inlineStr">
        <is>
          <t>Comparative Example 6</t>
        </is>
      </c>
      <c r="E86" s="4" t="inlineStr">
        <is>
          <t>dev(OOF)</t>
        </is>
      </c>
      <c r="F86" s="10" t="n">
        <v>63</v>
      </c>
      <c r="G86" s="10" t="n">
        <v>61.77473446289146</v>
      </c>
      <c r="H86" s="10" t="n">
        <v>3.572624436543569</v>
      </c>
      <c r="I86" s="10">
        <f>G86-1.96*H86</f>
        <v/>
      </c>
      <c r="J86" s="10">
        <f>G86+1.96*H86</f>
        <v/>
      </c>
      <c r="K86" s="10">
        <f>G86-F86</f>
        <v/>
      </c>
      <c r="L86" s="4">
        <f>IF(AND(F86&gt;=I86,F86&lt;=J86),1,0)</f>
        <v/>
      </c>
    </row>
    <row r="87">
      <c r="A87" s="4" t="inlineStr">
        <is>
          <t>hardness_shoreA</t>
        </is>
      </c>
      <c r="B87" s="4" t="inlineStr">
        <is>
          <t>G080</t>
        </is>
      </c>
      <c r="C87" s="4" t="inlineStr">
        <is>
          <t>US12091537B2</t>
        </is>
      </c>
      <c r="D87" s="4" t="inlineStr">
        <is>
          <t>Reference Example 1</t>
        </is>
      </c>
      <c r="E87" s="4" t="inlineStr">
        <is>
          <t>dev(OOF)</t>
        </is>
      </c>
      <c r="F87" s="10" t="n">
        <v>75</v>
      </c>
      <c r="G87" s="10" t="n">
        <v>76.98771333152239</v>
      </c>
      <c r="H87" s="10" t="n">
        <v>2.840489327531158</v>
      </c>
      <c r="I87" s="10">
        <f>G87-1.96*H87</f>
        <v/>
      </c>
      <c r="J87" s="10">
        <f>G87+1.96*H87</f>
        <v/>
      </c>
      <c r="K87" s="10">
        <f>G87-F87</f>
        <v/>
      </c>
      <c r="L87" s="4">
        <f>IF(AND(F87&gt;=I87,F87&lt;=J87),1,0)</f>
        <v/>
      </c>
    </row>
    <row r="88">
      <c r="A88" s="4" t="inlineStr">
        <is>
          <t>hardness_shoreA</t>
        </is>
      </c>
      <c r="B88" s="4" t="inlineStr">
        <is>
          <t>G097</t>
        </is>
      </c>
      <c r="C88" s="4" t="inlineStr">
        <is>
          <t>US7354974B2</t>
        </is>
      </c>
      <c r="D88" s="4" t="inlineStr">
        <is>
          <t>Example 1</t>
        </is>
      </c>
      <c r="E88" s="4" t="inlineStr">
        <is>
          <t>dev(OOF)</t>
        </is>
      </c>
      <c r="F88" s="10" t="n">
        <v>76</v>
      </c>
      <c r="G88" s="10" t="n">
        <v>78.972700426478</v>
      </c>
      <c r="H88" s="10" t="n">
        <v>3.886343374223361</v>
      </c>
      <c r="I88" s="10">
        <f>G88-1.96*H88</f>
        <v/>
      </c>
      <c r="J88" s="10">
        <f>G88+1.96*H88</f>
        <v/>
      </c>
      <c r="K88" s="10">
        <f>G88-F88</f>
        <v/>
      </c>
      <c r="L88" s="4">
        <f>IF(AND(F88&gt;=I88,F88&lt;=J88),1,0)</f>
        <v/>
      </c>
    </row>
    <row r="89">
      <c r="A89" s="4" t="inlineStr">
        <is>
          <t>hardness_shoreA</t>
        </is>
      </c>
      <c r="B89" s="4" t="inlineStr">
        <is>
          <t>G316</t>
        </is>
      </c>
      <c r="C89" s="4" t="inlineStr">
        <is>
          <t>KR102400335B1</t>
        </is>
      </c>
      <c r="D89" s="4" t="inlineStr">
        <is>
          <t>Example 2</t>
        </is>
      </c>
      <c r="E89" s="4" t="inlineStr">
        <is>
          <t>dev(OOF)</t>
        </is>
      </c>
      <c r="F89" s="10" t="n">
        <v>62</v>
      </c>
      <c r="G89" s="10" t="n">
        <v>66.63979939784232</v>
      </c>
      <c r="H89" s="10" t="n">
        <v>4.480325156891197</v>
      </c>
      <c r="I89" s="10">
        <f>G89-1.96*H89</f>
        <v/>
      </c>
      <c r="J89" s="10">
        <f>G89+1.96*H89</f>
        <v/>
      </c>
      <c r="K89" s="10">
        <f>G89-F89</f>
        <v/>
      </c>
      <c r="L89" s="4">
        <f>IF(AND(F89&gt;=I89,F89&lt;=J89),1,0)</f>
        <v/>
      </c>
    </row>
    <row r="90">
      <c r="A90" s="4" t="inlineStr">
        <is>
          <t>hardness_shoreA</t>
        </is>
      </c>
      <c r="B90" s="4" t="inlineStr">
        <is>
          <t>G104</t>
        </is>
      </c>
      <c r="C90" s="4" t="inlineStr">
        <is>
          <t>US7354974B2</t>
        </is>
      </c>
      <c r="D90" s="4" t="inlineStr">
        <is>
          <t>Control A</t>
        </is>
      </c>
      <c r="E90" s="4" t="inlineStr">
        <is>
          <t>dev(OOF)</t>
        </is>
      </c>
      <c r="F90" s="10" t="n">
        <v>54</v>
      </c>
      <c r="G90" s="10" t="n">
        <v>60.20259591215682</v>
      </c>
      <c r="H90" s="10" t="n">
        <v>5.589063850854413</v>
      </c>
      <c r="I90" s="10">
        <f>G90-1.96*H90</f>
        <v/>
      </c>
      <c r="J90" s="10">
        <f>G90+1.96*H90</f>
        <v/>
      </c>
      <c r="K90" s="10">
        <f>G90-F90</f>
        <v/>
      </c>
      <c r="L90" s="4">
        <f>IF(AND(F90&gt;=I90,F90&lt;=J90),1,0)</f>
        <v/>
      </c>
    </row>
    <row r="91">
      <c r="A91" s="4" t="inlineStr">
        <is>
          <t>hardness_shoreA</t>
        </is>
      </c>
      <c r="B91" s="4" t="inlineStr">
        <is>
          <t>G124</t>
        </is>
      </c>
      <c r="C91" s="4" t="inlineStr">
        <is>
          <t>US5696189A</t>
        </is>
      </c>
      <c r="D91" s="4" t="inlineStr">
        <is>
          <t>Example 7</t>
        </is>
      </c>
      <c r="E91" s="4" t="inlineStr">
        <is>
          <t>dev(OOF)</t>
        </is>
      </c>
      <c r="F91" s="10" t="n">
        <v>78</v>
      </c>
      <c r="G91" s="10" t="n">
        <v>82.3361920399505</v>
      </c>
      <c r="H91" s="10" t="n">
        <v>9.000513988889766</v>
      </c>
      <c r="I91" s="10">
        <f>G91-1.96*H91</f>
        <v/>
      </c>
      <c r="J91" s="10">
        <f>G91+1.96*H91</f>
        <v/>
      </c>
      <c r="K91" s="10">
        <f>G91-F91</f>
        <v/>
      </c>
      <c r="L91" s="4">
        <f>IF(AND(F91&gt;=I91,F91&lt;=J91),1,0)</f>
        <v/>
      </c>
    </row>
    <row r="92">
      <c r="A92" s="4" t="inlineStr">
        <is>
          <t>hardness_shoreA</t>
        </is>
      </c>
      <c r="B92" s="4" t="inlineStr">
        <is>
          <t>G157</t>
        </is>
      </c>
      <c r="C92" s="4" t="inlineStr">
        <is>
          <t>US7402630B2</t>
        </is>
      </c>
      <c r="D92" s="4" t="inlineStr">
        <is>
          <t>Comparative Example A</t>
        </is>
      </c>
      <c r="E92" s="4" t="inlineStr">
        <is>
          <t>dev(OOF)</t>
        </is>
      </c>
      <c r="F92" s="10" t="n">
        <v>79</v>
      </c>
      <c r="G92" s="10" t="n">
        <v>77.42127191600771</v>
      </c>
      <c r="H92" s="10" t="n">
        <v>7.512032778948079</v>
      </c>
      <c r="I92" s="10">
        <f>G92-1.96*H92</f>
        <v/>
      </c>
      <c r="J92" s="10">
        <f>G92+1.96*H92</f>
        <v/>
      </c>
      <c r="K92" s="10">
        <f>G92-F92</f>
        <v/>
      </c>
      <c r="L92" s="4">
        <f>IF(AND(F92&gt;=I92,F92&lt;=J92),1,0)</f>
        <v/>
      </c>
    </row>
    <row r="93">
      <c r="A93" s="4" t="inlineStr">
        <is>
          <t>hardness_shoreA</t>
        </is>
      </c>
      <c r="B93" s="4" t="inlineStr">
        <is>
          <t>G087</t>
        </is>
      </c>
      <c r="C93" s="4" t="inlineStr">
        <is>
          <t>US8367776B2</t>
        </is>
      </c>
      <c r="D93" s="4" t="inlineStr">
        <is>
          <t>Example 5</t>
        </is>
      </c>
      <c r="E93" s="4" t="inlineStr">
        <is>
          <t>dev(OOF)</t>
        </is>
      </c>
      <c r="F93" s="10" t="n">
        <v>64</v>
      </c>
      <c r="G93" s="10" t="n">
        <v>62.65203834239559</v>
      </c>
      <c r="H93" s="10" t="n">
        <v>2.253485194840345</v>
      </c>
      <c r="I93" s="10">
        <f>G93-1.96*H93</f>
        <v/>
      </c>
      <c r="J93" s="10">
        <f>G93+1.96*H93</f>
        <v/>
      </c>
      <c r="K93" s="10">
        <f>G93-F93</f>
        <v/>
      </c>
      <c r="L93" s="4">
        <f>IF(AND(F93&gt;=I93,F93&lt;=J93),1,0)</f>
        <v/>
      </c>
    </row>
    <row r="94">
      <c r="A94" s="4" t="inlineStr">
        <is>
          <t>hardness_shoreA</t>
        </is>
      </c>
      <c r="B94" s="4" t="inlineStr">
        <is>
          <t>G096</t>
        </is>
      </c>
      <c r="C94" s="4" t="inlineStr">
        <is>
          <t>US8367776B2</t>
        </is>
      </c>
      <c r="D94" s="4" t="inlineStr">
        <is>
          <t>Example 14</t>
        </is>
      </c>
      <c r="E94" s="4" t="inlineStr">
        <is>
          <t>dev(OOF)</t>
        </is>
      </c>
      <c r="F94" s="10" t="n">
        <v>63.5</v>
      </c>
      <c r="G94" s="10" t="n">
        <v>60.54901520340302</v>
      </c>
      <c r="H94" s="10" t="n">
        <v>5.409175928097389</v>
      </c>
      <c r="I94" s="10">
        <f>G94-1.96*H94</f>
        <v/>
      </c>
      <c r="J94" s="10">
        <f>G94+1.96*H94</f>
        <v/>
      </c>
      <c r="K94" s="10">
        <f>G94-F94</f>
        <v/>
      </c>
      <c r="L94" s="4">
        <f>IF(AND(F94&gt;=I94,F94&lt;=J94),1,0)</f>
        <v/>
      </c>
    </row>
    <row r="95">
      <c r="A95" s="4" t="inlineStr">
        <is>
          <t>hardness_shoreA</t>
        </is>
      </c>
      <c r="B95" s="4" t="inlineStr">
        <is>
          <t>G044</t>
        </is>
      </c>
      <c r="C95" s="4" t="inlineStr">
        <is>
          <t>US8211964B2</t>
        </is>
      </c>
      <c r="D95" s="4" t="inlineStr">
        <is>
          <t>Example 3</t>
        </is>
      </c>
      <c r="E95" s="4" t="inlineStr">
        <is>
          <t>dev(OOF)</t>
        </is>
      </c>
      <c r="F95" s="10" t="n">
        <v>58</v>
      </c>
      <c r="G95" s="10" t="n">
        <v>58.89949291060403</v>
      </c>
      <c r="H95" s="10" t="n">
        <v>3.308417189832781</v>
      </c>
      <c r="I95" s="10">
        <f>G95-1.96*H95</f>
        <v/>
      </c>
      <c r="J95" s="10">
        <f>G95+1.96*H95</f>
        <v/>
      </c>
      <c r="K95" s="10">
        <f>G95-F95</f>
        <v/>
      </c>
      <c r="L95" s="4">
        <f>IF(AND(F95&gt;=I95,F95&lt;=J95),1,0)</f>
        <v/>
      </c>
    </row>
    <row r="96">
      <c r="A96" s="4" t="inlineStr">
        <is>
          <t>hardness_shoreA</t>
        </is>
      </c>
      <c r="B96" s="4" t="inlineStr">
        <is>
          <t>G159</t>
        </is>
      </c>
      <c r="C96" s="4" t="inlineStr">
        <is>
          <t>US6956085B2</t>
        </is>
      </c>
      <c r="D96" s="4" t="inlineStr">
        <is>
          <t>Example 2</t>
        </is>
      </c>
      <c r="E96" s="4" t="inlineStr">
        <is>
          <t>dev(OOF)</t>
        </is>
      </c>
      <c r="F96" s="10" t="n">
        <v>75</v>
      </c>
      <c r="G96" s="10" t="n">
        <v>73.99619996914684</v>
      </c>
      <c r="H96" s="10" t="n">
        <v>7.321648135184882</v>
      </c>
      <c r="I96" s="10">
        <f>G96-1.96*H96</f>
        <v/>
      </c>
      <c r="J96" s="10">
        <f>G96+1.96*H96</f>
        <v/>
      </c>
      <c r="K96" s="10">
        <f>G96-F96</f>
        <v/>
      </c>
      <c r="L96" s="4">
        <f>IF(AND(F96&gt;=I96,F96&lt;=J96),1,0)</f>
        <v/>
      </c>
    </row>
    <row r="97">
      <c r="A97" s="4" t="inlineStr">
        <is>
          <t>hardness_shoreA</t>
        </is>
      </c>
      <c r="B97" s="4" t="inlineStr">
        <is>
          <t>G158</t>
        </is>
      </c>
      <c r="C97" s="4" t="inlineStr">
        <is>
          <t>US6956085B2</t>
        </is>
      </c>
      <c r="D97" s="4" t="inlineStr">
        <is>
          <t>Example 1</t>
        </is>
      </c>
      <c r="E97" s="4" t="inlineStr">
        <is>
          <t>dev(OOF)</t>
        </is>
      </c>
      <c r="F97" s="10" t="n">
        <v>75</v>
      </c>
      <c r="G97" s="10" t="n">
        <v>75.34698780666119</v>
      </c>
      <c r="H97" s="10" t="n">
        <v>5.139694528640855</v>
      </c>
      <c r="I97" s="10">
        <f>G97-1.96*H97</f>
        <v/>
      </c>
      <c r="J97" s="10">
        <f>G97+1.96*H97</f>
        <v/>
      </c>
      <c r="K97" s="10">
        <f>G97-F97</f>
        <v/>
      </c>
      <c r="L97" s="4">
        <f>IF(AND(F97&gt;=I97,F97&lt;=J97),1,0)</f>
        <v/>
      </c>
    </row>
    <row r="98">
      <c r="A98" s="4" t="inlineStr">
        <is>
          <t>hardness_shoreA</t>
        </is>
      </c>
      <c r="B98" s="4" t="inlineStr">
        <is>
          <t>G327</t>
        </is>
      </c>
      <c r="C98" s="4" t="inlineStr">
        <is>
          <t>KR101467101B1</t>
        </is>
      </c>
      <c r="D98" s="4" t="inlineStr">
        <is>
          <t>Table 2 sample 5</t>
        </is>
      </c>
      <c r="E98" s="4" t="inlineStr">
        <is>
          <t>dev(OOF)</t>
        </is>
      </c>
      <c r="F98" s="10" t="n">
        <v>67</v>
      </c>
      <c r="G98" s="10" t="n">
        <v>69.64389002871818</v>
      </c>
      <c r="H98" s="10" t="n">
        <v>7.638176046536942</v>
      </c>
      <c r="I98" s="10">
        <f>G98-1.96*H98</f>
        <v/>
      </c>
      <c r="J98" s="10">
        <f>G98+1.96*H98</f>
        <v/>
      </c>
      <c r="K98" s="10">
        <f>G98-F98</f>
        <v/>
      </c>
      <c r="L98" s="4">
        <f>IF(AND(F98&gt;=I98,F98&lt;=J98),1,0)</f>
        <v/>
      </c>
    </row>
    <row r="99">
      <c r="A99" s="4" t="inlineStr">
        <is>
          <t>hardness_shoreA</t>
        </is>
      </c>
      <c r="B99" s="4" t="inlineStr">
        <is>
          <t>G263</t>
        </is>
      </c>
      <c r="C99" s="4" t="inlineStr">
        <is>
          <t>US12584054B2</t>
        </is>
      </c>
      <c r="D99" s="4" t="inlineStr">
        <is>
          <t>Comparative Example 12</t>
        </is>
      </c>
      <c r="E99" s="4" t="inlineStr">
        <is>
          <t>dev(OOF)</t>
        </is>
      </c>
      <c r="F99" s="10" t="n">
        <v>52</v>
      </c>
      <c r="G99" s="10" t="n">
        <v>57.49929792356301</v>
      </c>
      <c r="H99" s="10" t="n">
        <v>3.363240632144973</v>
      </c>
      <c r="I99" s="10">
        <f>G99-1.96*H99</f>
        <v/>
      </c>
      <c r="J99" s="10">
        <f>G99+1.96*H99</f>
        <v/>
      </c>
      <c r="K99" s="10">
        <f>G99-F99</f>
        <v/>
      </c>
      <c r="L99" s="4">
        <f>IF(AND(F99&gt;=I99,F99&lt;=J99),1,0)</f>
        <v/>
      </c>
    </row>
    <row r="100">
      <c r="A100" s="4" t="inlineStr">
        <is>
          <t>hardness_shoreA</t>
        </is>
      </c>
      <c r="B100" s="4" t="inlineStr">
        <is>
          <t>G066</t>
        </is>
      </c>
      <c r="C100" s="4" t="inlineStr">
        <is>
          <t>US11753523B2</t>
        </is>
      </c>
      <c r="D100" s="4" t="inlineStr">
        <is>
          <t>Comparative Example 9</t>
        </is>
      </c>
      <c r="E100" s="4" t="inlineStr">
        <is>
          <t>dev(OOF)</t>
        </is>
      </c>
      <c r="F100" s="10" t="n">
        <v>75</v>
      </c>
      <c r="G100" s="10" t="n">
        <v>74.59428673633693</v>
      </c>
      <c r="H100" s="10" t="n">
        <v>5.943687595589275</v>
      </c>
      <c r="I100" s="10">
        <f>G100-1.96*H100</f>
        <v/>
      </c>
      <c r="J100" s="10">
        <f>G100+1.96*H100</f>
        <v/>
      </c>
      <c r="K100" s="10">
        <f>G100-F100</f>
        <v/>
      </c>
      <c r="L100" s="4">
        <f>IF(AND(F100&gt;=I100,F100&lt;=J100),1,0)</f>
        <v/>
      </c>
    </row>
    <row r="101">
      <c r="A101" s="4" t="inlineStr">
        <is>
          <t>hardness_shoreA</t>
        </is>
      </c>
      <c r="B101" s="4" t="inlineStr">
        <is>
          <t>G046</t>
        </is>
      </c>
      <c r="C101" s="4" t="inlineStr">
        <is>
          <t>US8211964B2</t>
        </is>
      </c>
      <c r="D101" s="4" t="inlineStr">
        <is>
          <t>Example 5</t>
        </is>
      </c>
      <c r="E101" s="4" t="inlineStr">
        <is>
          <t>dev(OOF)</t>
        </is>
      </c>
      <c r="F101" s="10" t="n">
        <v>78</v>
      </c>
      <c r="G101" s="10" t="n">
        <v>76.59343729916523</v>
      </c>
      <c r="H101" s="10" t="n">
        <v>5.11534608356292</v>
      </c>
      <c r="I101" s="10">
        <f>G101-1.96*H101</f>
        <v/>
      </c>
      <c r="J101" s="10">
        <f>G101+1.96*H101</f>
        <v/>
      </c>
      <c r="K101" s="10">
        <f>G101-F101</f>
        <v/>
      </c>
      <c r="L101" s="4">
        <f>IF(AND(F101&gt;=I101,F101&lt;=J101),1,0)</f>
        <v/>
      </c>
    </row>
    <row r="102">
      <c r="A102" s="4" t="inlineStr">
        <is>
          <t>hardness_shoreA</t>
        </is>
      </c>
      <c r="B102" s="4" t="inlineStr">
        <is>
          <t>G287</t>
        </is>
      </c>
      <c r="C102" s="4" t="inlineStr">
        <is>
          <t>US20230365800A1</t>
        </is>
      </c>
      <c r="D102" s="4" t="inlineStr">
        <is>
          <t>Comparative Example 5</t>
        </is>
      </c>
      <c r="E102" s="4" t="inlineStr">
        <is>
          <t>dev(OOF)</t>
        </is>
      </c>
      <c r="F102" s="10" t="n">
        <v>65</v>
      </c>
      <c r="G102" s="10" t="n">
        <v>64.8650040890679</v>
      </c>
      <c r="H102" s="10" t="n">
        <v>3.11220459732592</v>
      </c>
      <c r="I102" s="10">
        <f>G102-1.96*H102</f>
        <v/>
      </c>
      <c r="J102" s="10">
        <f>G102+1.96*H102</f>
        <v/>
      </c>
      <c r="K102" s="10">
        <f>G102-F102</f>
        <v/>
      </c>
      <c r="L102" s="4">
        <f>IF(AND(F102&gt;=I102,F102&lt;=J102),1,0)</f>
        <v/>
      </c>
    </row>
    <row r="103">
      <c r="A103" s="4" t="inlineStr">
        <is>
          <t>hardness_shoreA</t>
        </is>
      </c>
      <c r="B103" s="4" t="inlineStr">
        <is>
          <t>G317</t>
        </is>
      </c>
      <c r="C103" s="4" t="inlineStr">
        <is>
          <t>KR102400335B1</t>
        </is>
      </c>
      <c r="D103" s="4" t="inlineStr">
        <is>
          <t>Example 3</t>
        </is>
      </c>
      <c r="E103" s="4" t="inlineStr">
        <is>
          <t>dev(OOF)</t>
        </is>
      </c>
      <c r="F103" s="10" t="n">
        <v>68</v>
      </c>
      <c r="G103" s="10" t="n">
        <v>70.56528595069103</v>
      </c>
      <c r="H103" s="10" t="n">
        <v>7.532022391485459</v>
      </c>
      <c r="I103" s="10">
        <f>G103-1.96*H103</f>
        <v/>
      </c>
      <c r="J103" s="10">
        <f>G103+1.96*H103</f>
        <v/>
      </c>
      <c r="K103" s="10">
        <f>G103-F103</f>
        <v/>
      </c>
      <c r="L103" s="4">
        <f>IF(AND(F103&gt;=I103,F103&lt;=J103),1,0)</f>
        <v/>
      </c>
    </row>
    <row r="104">
      <c r="A104" s="4" t="inlineStr">
        <is>
          <t>hardness_shoreA</t>
        </is>
      </c>
      <c r="B104" s="4" t="inlineStr">
        <is>
          <t>G086</t>
        </is>
      </c>
      <c r="C104" s="4" t="inlineStr">
        <is>
          <t>US8367776B2</t>
        </is>
      </c>
      <c r="D104" s="4" t="inlineStr">
        <is>
          <t>Example 4</t>
        </is>
      </c>
      <c r="E104" s="4" t="inlineStr">
        <is>
          <t>dev(OOF)</t>
        </is>
      </c>
      <c r="F104" s="10" t="n">
        <v>63.5</v>
      </c>
      <c r="G104" s="10" t="n">
        <v>62.37318741733758</v>
      </c>
      <c r="H104" s="10" t="n">
        <v>3.123700825167706</v>
      </c>
      <c r="I104" s="10">
        <f>G104-1.96*H104</f>
        <v/>
      </c>
      <c r="J104" s="10">
        <f>G104+1.96*H104</f>
        <v/>
      </c>
      <c r="K104" s="10">
        <f>G104-F104</f>
        <v/>
      </c>
      <c r="L104" s="4">
        <f>IF(AND(F104&gt;=I104,F104&lt;=J104),1,0)</f>
        <v/>
      </c>
    </row>
    <row r="105">
      <c r="A105" s="4" t="inlineStr">
        <is>
          <t>hardness_shoreA</t>
        </is>
      </c>
      <c r="B105" s="4" t="inlineStr">
        <is>
          <t>G291</t>
        </is>
      </c>
      <c r="C105" s="4" t="inlineStr">
        <is>
          <t>EP4249550A1</t>
        </is>
      </c>
      <c r="D105" s="4" t="inlineStr">
        <is>
          <t>Example 2</t>
        </is>
      </c>
      <c r="E105" s="4" t="inlineStr">
        <is>
          <t>dev(OOF)</t>
        </is>
      </c>
      <c r="F105" s="10" t="n">
        <v>57</v>
      </c>
      <c r="G105" s="10" t="n">
        <v>57.54423666316623</v>
      </c>
      <c r="H105" s="10" t="n">
        <v>3.341814602075883</v>
      </c>
      <c r="I105" s="10">
        <f>G105-1.96*H105</f>
        <v/>
      </c>
      <c r="J105" s="10">
        <f>G105+1.96*H105</f>
        <v/>
      </c>
      <c r="K105" s="10">
        <f>G105-F105</f>
        <v/>
      </c>
      <c r="L105" s="4">
        <f>IF(AND(F105&gt;=I105,F105&lt;=J105),1,0)</f>
        <v/>
      </c>
    </row>
    <row r="106">
      <c r="A106" s="4" t="inlineStr">
        <is>
          <t>hardness_shoreA</t>
        </is>
      </c>
      <c r="B106" s="4" t="inlineStr">
        <is>
          <t>G262</t>
        </is>
      </c>
      <c r="C106" s="4" t="inlineStr">
        <is>
          <t>US12584054B2</t>
        </is>
      </c>
      <c r="D106" s="4" t="inlineStr">
        <is>
          <t>Comparative Example 11</t>
        </is>
      </c>
      <c r="E106" s="4" t="inlineStr">
        <is>
          <t>dev(OOF)</t>
        </is>
      </c>
      <c r="F106" s="10" t="n">
        <v>55</v>
      </c>
      <c r="G106" s="10" t="n">
        <v>58.59029828214652</v>
      </c>
      <c r="H106" s="10" t="n">
        <v>2.774806176796346</v>
      </c>
      <c r="I106" s="10">
        <f>G106-1.96*H106</f>
        <v/>
      </c>
      <c r="J106" s="10">
        <f>G106+1.96*H106</f>
        <v/>
      </c>
      <c r="K106" s="10">
        <f>G106-F106</f>
        <v/>
      </c>
      <c r="L106" s="4">
        <f>IF(AND(F106&gt;=I106,F106&lt;=J106),1,0)</f>
        <v/>
      </c>
    </row>
    <row r="107">
      <c r="A107" s="4" t="inlineStr">
        <is>
          <t>hardness_shoreA</t>
        </is>
      </c>
      <c r="B107" s="4" t="inlineStr">
        <is>
          <t>G202</t>
        </is>
      </c>
      <c r="C107" s="4" t="inlineStr">
        <is>
          <t>US20160319102A1</t>
        </is>
      </c>
      <c r="D107" s="4" t="inlineStr">
        <is>
          <t>Comparative Example 8</t>
        </is>
      </c>
      <c r="E107" s="4" t="inlineStr">
        <is>
          <t>dev(OOF)</t>
        </is>
      </c>
      <c r="F107" s="10" t="n">
        <v>74</v>
      </c>
      <c r="G107" s="10" t="n">
        <v>76.75593058599921</v>
      </c>
      <c r="H107" s="10" t="n">
        <v>4.379962630666281</v>
      </c>
      <c r="I107" s="10">
        <f>G107-1.96*H107</f>
        <v/>
      </c>
      <c r="J107" s="10">
        <f>G107+1.96*H107</f>
        <v/>
      </c>
      <c r="K107" s="10">
        <f>G107-F107</f>
        <v/>
      </c>
      <c r="L107" s="4">
        <f>IF(AND(F107&gt;=I107,F107&lt;=J107),1,0)</f>
        <v/>
      </c>
    </row>
    <row r="108">
      <c r="A108" s="4" t="inlineStr">
        <is>
          <t>hardness_shoreA</t>
        </is>
      </c>
      <c r="B108" s="4" t="inlineStr">
        <is>
          <t>G279</t>
        </is>
      </c>
      <c r="C108" s="4" t="inlineStr">
        <is>
          <t>US20230365800A1</t>
        </is>
      </c>
      <c r="D108" s="4" t="inlineStr">
        <is>
          <t>Example 3</t>
        </is>
      </c>
      <c r="E108" s="4" t="inlineStr">
        <is>
          <t>dev(OOF)</t>
        </is>
      </c>
      <c r="F108" s="10" t="n">
        <v>67</v>
      </c>
      <c r="G108" s="10" t="n">
        <v>65.52559357014586</v>
      </c>
      <c r="H108" s="10" t="n">
        <v>2.935194624862714</v>
      </c>
      <c r="I108" s="10">
        <f>G108-1.96*H108</f>
        <v/>
      </c>
      <c r="J108" s="10">
        <f>G108+1.96*H108</f>
        <v/>
      </c>
      <c r="K108" s="10">
        <f>G108-F108</f>
        <v/>
      </c>
      <c r="L108" s="4">
        <f>IF(AND(F108&gt;=I108,F108&lt;=J108),1,0)</f>
        <v/>
      </c>
    </row>
    <row r="109">
      <c r="A109" s="4" t="inlineStr">
        <is>
          <t>hardness_shoreA</t>
        </is>
      </c>
      <c r="B109" s="4" t="inlineStr">
        <is>
          <t>G331</t>
        </is>
      </c>
      <c r="C109" s="4" t="inlineStr">
        <is>
          <t>KR101467101B1</t>
        </is>
      </c>
      <c r="D109" s="4" t="inlineStr">
        <is>
          <t>Example 2</t>
        </is>
      </c>
      <c r="E109" s="4" t="inlineStr">
        <is>
          <t>dev(OOF)</t>
        </is>
      </c>
      <c r="F109" s="10" t="n">
        <v>71</v>
      </c>
      <c r="G109" s="10" t="n">
        <v>72.12137707999092</v>
      </c>
      <c r="H109" s="10" t="n">
        <v>4.454079803937305</v>
      </c>
      <c r="I109" s="10">
        <f>G109-1.96*H109</f>
        <v/>
      </c>
      <c r="J109" s="10">
        <f>G109+1.96*H109</f>
        <v/>
      </c>
      <c r="K109" s="10">
        <f>G109-F109</f>
        <v/>
      </c>
      <c r="L109" s="4">
        <f>IF(AND(F109&gt;=I109,F109&lt;=J109),1,0)</f>
        <v/>
      </c>
    </row>
    <row r="110">
      <c r="A110" s="4" t="inlineStr">
        <is>
          <t>hardness_shoreA</t>
        </is>
      </c>
      <c r="B110" s="4" t="inlineStr">
        <is>
          <t>G029</t>
        </is>
      </c>
      <c r="C110" s="4" t="inlineStr">
        <is>
          <t>US8173727B2</t>
        </is>
      </c>
      <c r="D110" s="4" t="inlineStr">
        <is>
          <t>Example 1</t>
        </is>
      </c>
      <c r="E110" s="4" t="inlineStr">
        <is>
          <t>dev(OOF)</t>
        </is>
      </c>
      <c r="F110" s="10" t="n">
        <v>80</v>
      </c>
      <c r="G110" s="10" t="n">
        <v>81.23343425853061</v>
      </c>
      <c r="H110" s="10" t="n">
        <v>4.052724043860453</v>
      </c>
      <c r="I110" s="10">
        <f>G110-1.96*H110</f>
        <v/>
      </c>
      <c r="J110" s="10">
        <f>G110+1.96*H110</f>
        <v/>
      </c>
      <c r="K110" s="10">
        <f>G110-F110</f>
        <v/>
      </c>
      <c r="L110" s="4">
        <f>IF(AND(F110&gt;=I110,F110&lt;=J110),1,0)</f>
        <v/>
      </c>
    </row>
    <row r="111">
      <c r="A111" s="4" t="inlineStr">
        <is>
          <t>hardness_shoreA</t>
        </is>
      </c>
      <c r="B111" s="4" t="inlineStr">
        <is>
          <t>G333</t>
        </is>
      </c>
      <c r="C111" s="4" t="inlineStr">
        <is>
          <t>KR101467101B1</t>
        </is>
      </c>
      <c r="D111" s="4" t="inlineStr">
        <is>
          <t>Example 3</t>
        </is>
      </c>
      <c r="E111" s="4" t="inlineStr">
        <is>
          <t>dev(OOF)</t>
        </is>
      </c>
      <c r="F111" s="10" t="n">
        <v>74</v>
      </c>
      <c r="G111" s="10" t="n">
        <v>70.73519590922557</v>
      </c>
      <c r="H111" s="10" t="n">
        <v>8.049297274884896</v>
      </c>
      <c r="I111" s="10">
        <f>G111-1.96*H111</f>
        <v/>
      </c>
      <c r="J111" s="10">
        <f>G111+1.96*H111</f>
        <v/>
      </c>
      <c r="K111" s="10">
        <f>G111-F111</f>
        <v/>
      </c>
      <c r="L111" s="4">
        <f>IF(AND(F111&gt;=I111,F111&lt;=J111),1,0)</f>
        <v/>
      </c>
    </row>
    <row r="112">
      <c r="A112" s="4" t="inlineStr">
        <is>
          <t>hardness_shoreA</t>
        </is>
      </c>
      <c r="B112" s="4" t="inlineStr">
        <is>
          <t>G201</t>
        </is>
      </c>
      <c r="C112" s="4" t="inlineStr">
        <is>
          <t>US20160319102A1</t>
        </is>
      </c>
      <c r="D112" s="4" t="inlineStr">
        <is>
          <t>Comparative Example 7</t>
        </is>
      </c>
      <c r="E112" s="4" t="inlineStr">
        <is>
          <t>dev(OOF)</t>
        </is>
      </c>
      <c r="F112" s="10" t="n">
        <v>61</v>
      </c>
      <c r="G112" s="10" t="n">
        <v>67.11385729369738</v>
      </c>
      <c r="H112" s="10" t="n">
        <v>4.168512634528074</v>
      </c>
      <c r="I112" s="10">
        <f>G112-1.96*H112</f>
        <v/>
      </c>
      <c r="J112" s="10">
        <f>G112+1.96*H112</f>
        <v/>
      </c>
      <c r="K112" s="10">
        <f>G112-F112</f>
        <v/>
      </c>
      <c r="L112" s="4">
        <f>IF(AND(F112&gt;=I112,F112&lt;=J112),1,0)</f>
        <v/>
      </c>
    </row>
    <row r="113">
      <c r="A113" s="4" t="inlineStr">
        <is>
          <t>hardness_shoreA</t>
        </is>
      </c>
      <c r="B113" s="4" t="inlineStr">
        <is>
          <t>G277</t>
        </is>
      </c>
      <c r="C113" s="4" t="inlineStr">
        <is>
          <t>US20230365800A1</t>
        </is>
      </c>
      <c r="D113" s="4" t="inlineStr">
        <is>
          <t>Example 1</t>
        </is>
      </c>
      <c r="E113" s="4" t="inlineStr">
        <is>
          <t>dev(OOF)</t>
        </is>
      </c>
      <c r="F113" s="10" t="n">
        <v>66</v>
      </c>
      <c r="G113" s="10" t="n">
        <v>64.69585764816628</v>
      </c>
      <c r="H113" s="10" t="n">
        <v>3.160166481684335</v>
      </c>
      <c r="I113" s="10">
        <f>G113-1.96*H113</f>
        <v/>
      </c>
      <c r="J113" s="10">
        <f>G113+1.96*H113</f>
        <v/>
      </c>
      <c r="K113" s="10">
        <f>G113-F113</f>
        <v/>
      </c>
      <c r="L113" s="4">
        <f>IF(AND(F113&gt;=I113,F113&lt;=J113),1,0)</f>
        <v/>
      </c>
    </row>
    <row r="114">
      <c r="A114" s="4" t="inlineStr">
        <is>
          <t>hardness_shoreA</t>
        </is>
      </c>
      <c r="B114" s="4" t="inlineStr">
        <is>
          <t>G101</t>
        </is>
      </c>
      <c r="C114" s="4" t="inlineStr">
        <is>
          <t>US7354974B2</t>
        </is>
      </c>
      <c r="D114" s="4" t="inlineStr">
        <is>
          <t>Example 5</t>
        </is>
      </c>
      <c r="E114" s="4" t="inlineStr">
        <is>
          <t>dev(OOF)</t>
        </is>
      </c>
      <c r="F114" s="10" t="n">
        <v>95</v>
      </c>
      <c r="G114" s="10" t="n">
        <v>92.32617669241394</v>
      </c>
      <c r="H114" s="10" t="n">
        <v>5.523471404570752</v>
      </c>
      <c r="I114" s="10">
        <f>G114-1.96*H114</f>
        <v/>
      </c>
      <c r="J114" s="10">
        <f>G114+1.96*H114</f>
        <v/>
      </c>
      <c r="K114" s="10">
        <f>G114-F114</f>
        <v/>
      </c>
      <c r="L114" s="4">
        <f>IF(AND(F114&gt;=I114,F114&lt;=J114),1,0)</f>
        <v/>
      </c>
    </row>
    <row r="115">
      <c r="A115" s="4" t="inlineStr">
        <is>
          <t>hardness_shoreA</t>
        </is>
      </c>
      <c r="B115" s="4" t="inlineStr">
        <is>
          <t>G245</t>
        </is>
      </c>
      <c r="C115" s="4" t="inlineStr">
        <is>
          <t>US12584054B2</t>
        </is>
      </c>
      <c r="D115" s="4" t="inlineStr">
        <is>
          <t>Example 2</t>
        </is>
      </c>
      <c r="E115" s="4" t="inlineStr">
        <is>
          <t>dev(OOF)</t>
        </is>
      </c>
      <c r="F115" s="10" t="n">
        <v>58</v>
      </c>
      <c r="G115" s="10" t="n">
        <v>59.37329177386467</v>
      </c>
      <c r="H115" s="10" t="n">
        <v>2.783283101988568</v>
      </c>
      <c r="I115" s="10">
        <f>G115-1.96*H115</f>
        <v/>
      </c>
      <c r="J115" s="10">
        <f>G115+1.96*H115</f>
        <v/>
      </c>
      <c r="K115" s="10">
        <f>G115-F115</f>
        <v/>
      </c>
      <c r="L115" s="4">
        <f>IF(AND(F115&gt;=I115,F115&lt;=J115),1,0)</f>
        <v/>
      </c>
    </row>
    <row r="116">
      <c r="A116" s="4" t="inlineStr">
        <is>
          <t>hardness_shoreA</t>
        </is>
      </c>
      <c r="B116" s="4" t="inlineStr">
        <is>
          <t>G070</t>
        </is>
      </c>
      <c r="C116" s="4" t="inlineStr">
        <is>
          <t>US11072700B2</t>
        </is>
      </c>
      <c r="D116" s="4" t="inlineStr">
        <is>
          <t>Comparative Example 1</t>
        </is>
      </c>
      <c r="E116" s="4" t="inlineStr">
        <is>
          <t>dev(OOF)</t>
        </is>
      </c>
      <c r="F116" s="10" t="n">
        <v>58</v>
      </c>
      <c r="G116" s="10" t="n">
        <v>60.45721689809659</v>
      </c>
      <c r="H116" s="10" t="n">
        <v>5.611463213485116</v>
      </c>
      <c r="I116" s="10">
        <f>G116-1.96*H116</f>
        <v/>
      </c>
      <c r="J116" s="10">
        <f>G116+1.96*H116</f>
        <v/>
      </c>
      <c r="K116" s="10">
        <f>G116-F116</f>
        <v/>
      </c>
      <c r="L116" s="4">
        <f>IF(AND(F116&gt;=I116,F116&lt;=J116),1,0)</f>
        <v/>
      </c>
    </row>
    <row r="117">
      <c r="A117" s="4" t="inlineStr">
        <is>
          <t>hardness_shoreA</t>
        </is>
      </c>
      <c r="B117" s="4" t="inlineStr">
        <is>
          <t>G004</t>
        </is>
      </c>
      <c r="C117" s="4" t="inlineStr">
        <is>
          <t>US7678858B2</t>
        </is>
      </c>
      <c r="D117" s="4" t="inlineStr">
        <is>
          <t>Example 4</t>
        </is>
      </c>
      <c r="E117" s="4" t="inlineStr">
        <is>
          <t>dev(OOF)</t>
        </is>
      </c>
      <c r="F117" s="10" t="n">
        <v>79</v>
      </c>
      <c r="G117" s="10" t="n">
        <v>79.01957347218374</v>
      </c>
      <c r="H117" s="10" t="n">
        <v>2.773397887154647</v>
      </c>
      <c r="I117" s="10">
        <f>G117-1.96*H117</f>
        <v/>
      </c>
      <c r="J117" s="10">
        <f>G117+1.96*H117</f>
        <v/>
      </c>
      <c r="K117" s="10">
        <f>G117-F117</f>
        <v/>
      </c>
      <c r="L117" s="4">
        <f>IF(AND(F117&gt;=I117,F117&lt;=J117),1,0)</f>
        <v/>
      </c>
    </row>
    <row r="118">
      <c r="A118" s="4" t="inlineStr">
        <is>
          <t>hardness_shoreA</t>
        </is>
      </c>
      <c r="B118" s="4" t="inlineStr">
        <is>
          <t>G198</t>
        </is>
      </c>
      <c r="C118" s="4" t="inlineStr">
        <is>
          <t>US20160319102A1</t>
        </is>
      </c>
      <c r="D118" s="4" t="inlineStr">
        <is>
          <t>Comparative Example 3</t>
        </is>
      </c>
      <c r="E118" s="4" t="inlineStr">
        <is>
          <t>dev(OOF)</t>
        </is>
      </c>
      <c r="F118" s="10" t="n">
        <v>61</v>
      </c>
      <c r="G118" s="10" t="n">
        <v>67.0022330485681</v>
      </c>
      <c r="H118" s="10" t="n">
        <v>2.720827593989233</v>
      </c>
      <c r="I118" s="10">
        <f>G118-1.96*H118</f>
        <v/>
      </c>
      <c r="J118" s="10">
        <f>G118+1.96*H118</f>
        <v/>
      </c>
      <c r="K118" s="10">
        <f>G118-F118</f>
        <v/>
      </c>
      <c r="L118" s="4">
        <f>IF(AND(F118&gt;=I118,F118&lt;=J118),1,0)</f>
        <v/>
      </c>
    </row>
    <row r="119">
      <c r="A119" s="4" t="inlineStr">
        <is>
          <t>hardness_shoreA</t>
        </is>
      </c>
      <c r="B119" s="4" t="inlineStr">
        <is>
          <t>G306</t>
        </is>
      </c>
      <c r="C119" s="4" t="inlineStr">
        <is>
          <t>EP4249550A1</t>
        </is>
      </c>
      <c r="D119" s="4" t="inlineStr">
        <is>
          <t>Comparative Example 5</t>
        </is>
      </c>
      <c r="E119" s="4" t="inlineStr">
        <is>
          <t>dev(OOF)</t>
        </is>
      </c>
      <c r="F119" s="10" t="n">
        <v>59</v>
      </c>
      <c r="G119" s="10" t="n">
        <v>63.46538068636988</v>
      </c>
      <c r="H119" s="10" t="n">
        <v>3.688668026395679</v>
      </c>
      <c r="I119" s="10">
        <f>G119-1.96*H119</f>
        <v/>
      </c>
      <c r="J119" s="10">
        <f>G119+1.96*H119</f>
        <v/>
      </c>
      <c r="K119" s="10">
        <f>G119-F119</f>
        <v/>
      </c>
      <c r="L119" s="4">
        <f>IF(AND(F119&gt;=I119,F119&lt;=J119),1,0)</f>
        <v/>
      </c>
    </row>
    <row r="120">
      <c r="A120" s="4" t="inlineStr">
        <is>
          <t>hardness_shoreA</t>
        </is>
      </c>
      <c r="B120" s="4" t="inlineStr">
        <is>
          <t>G061</t>
        </is>
      </c>
      <c r="C120" s="4" t="inlineStr">
        <is>
          <t>US11753523B2</t>
        </is>
      </c>
      <c r="D120" s="4" t="inlineStr">
        <is>
          <t>Comparative Example 4</t>
        </is>
      </c>
      <c r="E120" s="4" t="inlineStr">
        <is>
          <t>dev(OOF)</t>
        </is>
      </c>
      <c r="F120" s="10" t="n">
        <v>75</v>
      </c>
      <c r="G120" s="10" t="n">
        <v>74.77382737202498</v>
      </c>
      <c r="H120" s="10" t="n">
        <v>4.082614354515924</v>
      </c>
      <c r="I120" s="10">
        <f>G120-1.96*H120</f>
        <v/>
      </c>
      <c r="J120" s="10">
        <f>G120+1.96*H120</f>
        <v/>
      </c>
      <c r="K120" s="10">
        <f>G120-F120</f>
        <v/>
      </c>
      <c r="L120" s="4">
        <f>IF(AND(F120&gt;=I120,F120&lt;=J120),1,0)</f>
        <v/>
      </c>
    </row>
    <row r="121">
      <c r="A121" s="4" t="inlineStr">
        <is>
          <t>hardness_shoreA</t>
        </is>
      </c>
      <c r="B121" s="4" t="inlineStr">
        <is>
          <t>G300</t>
        </is>
      </c>
      <c r="C121" s="4" t="inlineStr">
        <is>
          <t>EP4249550A1</t>
        </is>
      </c>
      <c r="D121" s="4" t="inlineStr">
        <is>
          <t>Example 12</t>
        </is>
      </c>
      <c r="E121" s="4" t="inlineStr">
        <is>
          <t>dev(OOF)</t>
        </is>
      </c>
      <c r="F121" s="10" t="n">
        <v>63</v>
      </c>
      <c r="G121" s="10" t="n">
        <v>63.46538068636988</v>
      </c>
      <c r="H121" s="10" t="n">
        <v>3.688668026395679</v>
      </c>
      <c r="I121" s="10">
        <f>G121-1.96*H121</f>
        <v/>
      </c>
      <c r="J121" s="10">
        <f>G121+1.96*H121</f>
        <v/>
      </c>
      <c r="K121" s="10">
        <f>G121-F121</f>
        <v/>
      </c>
      <c r="L121" s="4">
        <f>IF(AND(F121&gt;=I121,F121&lt;=J121),1,0)</f>
        <v/>
      </c>
    </row>
    <row r="122">
      <c r="A122" s="4" t="inlineStr">
        <is>
          <t>hardness_shoreA</t>
        </is>
      </c>
      <c r="B122" s="4" t="inlineStr">
        <is>
          <t>G249</t>
        </is>
      </c>
      <c r="C122" s="4" t="inlineStr">
        <is>
          <t>US12584054B2</t>
        </is>
      </c>
      <c r="D122" s="4" t="inlineStr">
        <is>
          <t>Comparative Example 1</t>
        </is>
      </c>
      <c r="E122" s="4" t="inlineStr">
        <is>
          <t>dev(OOF)</t>
        </is>
      </c>
      <c r="F122" s="10" t="n">
        <v>51</v>
      </c>
      <c r="G122" s="10" t="n">
        <v>60.1831558106168</v>
      </c>
      <c r="H122" s="10" t="n">
        <v>6.097269503462806</v>
      </c>
      <c r="I122" s="10">
        <f>G122-1.96*H122</f>
        <v/>
      </c>
      <c r="J122" s="10">
        <f>G122+1.96*H122</f>
        <v/>
      </c>
      <c r="K122" s="10">
        <f>G122-F122</f>
        <v/>
      </c>
      <c r="L122" s="4">
        <f>IF(AND(F122&gt;=I122,F122&lt;=J122),1,0)</f>
        <v/>
      </c>
    </row>
    <row r="123">
      <c r="A123" s="4" t="inlineStr">
        <is>
          <t>hardness_shoreA</t>
        </is>
      </c>
      <c r="B123" s="4" t="inlineStr">
        <is>
          <t>G054</t>
        </is>
      </c>
      <c r="C123" s="4" t="inlineStr">
        <is>
          <t>US11753523B2</t>
        </is>
      </c>
      <c r="D123" s="4" t="inlineStr">
        <is>
          <t>Example 2</t>
        </is>
      </c>
      <c r="E123" s="4" t="inlineStr">
        <is>
          <t>dev(OOF)</t>
        </is>
      </c>
      <c r="F123" s="10" t="n">
        <v>71</v>
      </c>
      <c r="G123" s="10" t="n">
        <v>71.7236157445564</v>
      </c>
      <c r="H123" s="10" t="n">
        <v>5.337891979212468</v>
      </c>
      <c r="I123" s="10">
        <f>G123-1.96*H123</f>
        <v/>
      </c>
      <c r="J123" s="10">
        <f>G123+1.96*H123</f>
        <v/>
      </c>
      <c r="K123" s="10">
        <f>G123-F123</f>
        <v/>
      </c>
      <c r="L123" s="4">
        <f>IF(AND(F123&gt;=I123,F123&lt;=J123),1,0)</f>
        <v/>
      </c>
    </row>
    <row r="124">
      <c r="A124" s="4" t="inlineStr">
        <is>
          <t>hardness_shoreA</t>
        </is>
      </c>
      <c r="B124" s="4" t="inlineStr">
        <is>
          <t>G199</t>
        </is>
      </c>
      <c r="C124" s="4" t="inlineStr">
        <is>
          <t>US20160319102A1</t>
        </is>
      </c>
      <c r="D124" s="4" t="inlineStr">
        <is>
          <t>Comparative Example 4</t>
        </is>
      </c>
      <c r="E124" s="4" t="inlineStr">
        <is>
          <t>dev(OOF)</t>
        </is>
      </c>
      <c r="F124" s="10" t="n">
        <v>64</v>
      </c>
      <c r="G124" s="10" t="n">
        <v>70.24742206159306</v>
      </c>
      <c r="H124" s="10" t="n">
        <v>3.763160458076196</v>
      </c>
      <c r="I124" s="10">
        <f>G124-1.96*H124</f>
        <v/>
      </c>
      <c r="J124" s="10">
        <f>G124+1.96*H124</f>
        <v/>
      </c>
      <c r="K124" s="10">
        <f>G124-F124</f>
        <v/>
      </c>
      <c r="L124" s="4">
        <f>IF(AND(F124&gt;=I124,F124&lt;=J124),1,0)</f>
        <v/>
      </c>
    </row>
    <row r="125">
      <c r="A125" s="4" t="inlineStr">
        <is>
          <t>hardness_shoreA</t>
        </is>
      </c>
      <c r="B125" s="4" t="inlineStr">
        <is>
          <t>G171</t>
        </is>
      </c>
      <c r="C125" s="4" t="inlineStr">
        <is>
          <t>US20050107544A1</t>
        </is>
      </c>
      <c r="D125" s="4" t="inlineStr">
        <is>
          <t>Sample 6</t>
        </is>
      </c>
      <c r="E125" s="4" t="inlineStr">
        <is>
          <t>dev(OOF)</t>
        </is>
      </c>
      <c r="F125" s="10" t="n">
        <v>66</v>
      </c>
      <c r="G125" s="10" t="n">
        <v>65.94139078104234</v>
      </c>
      <c r="H125" s="10" t="n">
        <v>3.78070866285164</v>
      </c>
      <c r="I125" s="10">
        <f>G125-1.96*H125</f>
        <v/>
      </c>
      <c r="J125" s="10">
        <f>G125+1.96*H125</f>
        <v/>
      </c>
      <c r="K125" s="10">
        <f>G125-F125</f>
        <v/>
      </c>
      <c r="L125" s="4">
        <f>IF(AND(F125&gt;=I125,F125&lt;=J125),1,0)</f>
        <v/>
      </c>
    </row>
    <row r="126">
      <c r="A126" s="4" t="inlineStr">
        <is>
          <t>hardness_shoreA</t>
        </is>
      </c>
      <c r="B126" s="4" t="inlineStr">
        <is>
          <t>G295</t>
        </is>
      </c>
      <c r="C126" s="4" t="inlineStr">
        <is>
          <t>EP4249550A1</t>
        </is>
      </c>
      <c r="D126" s="4" t="inlineStr">
        <is>
          <t>Example 6</t>
        </is>
      </c>
      <c r="E126" s="4" t="inlineStr">
        <is>
          <t>dev(OOF)</t>
        </is>
      </c>
      <c r="F126" s="10" t="n">
        <v>69</v>
      </c>
      <c r="G126" s="10" t="n">
        <v>69.7971789753953</v>
      </c>
      <c r="H126" s="10" t="n">
        <v>2.761911393115941</v>
      </c>
      <c r="I126" s="10">
        <f>G126-1.96*H126</f>
        <v/>
      </c>
      <c r="J126" s="10">
        <f>G126+1.96*H126</f>
        <v/>
      </c>
      <c r="K126" s="10">
        <f>G126-F126</f>
        <v/>
      </c>
      <c r="L126" s="4">
        <f>IF(AND(F126&gt;=I126,F126&lt;=J126),1,0)</f>
        <v/>
      </c>
    </row>
    <row r="127">
      <c r="A127" s="4" t="inlineStr">
        <is>
          <t>hardness_shoreA</t>
        </is>
      </c>
      <c r="B127" s="4" t="inlineStr">
        <is>
          <t>G302</t>
        </is>
      </c>
      <c r="C127" s="4" t="inlineStr">
        <is>
          <t>EP4249550A1</t>
        </is>
      </c>
      <c r="D127" s="4" t="inlineStr">
        <is>
          <t>Comparative Example 1</t>
        </is>
      </c>
      <c r="E127" s="4" t="inlineStr">
        <is>
          <t>dev(OOF)</t>
        </is>
      </c>
      <c r="F127" s="10" t="n">
        <v>57</v>
      </c>
      <c r="G127" s="10" t="n">
        <v>58.02390862651667</v>
      </c>
      <c r="H127" s="10" t="n">
        <v>3.911398650138666</v>
      </c>
      <c r="I127" s="10">
        <f>G127-1.96*H127</f>
        <v/>
      </c>
      <c r="J127" s="10">
        <f>G127+1.96*H127</f>
        <v/>
      </c>
      <c r="K127" s="10">
        <f>G127-F127</f>
        <v/>
      </c>
      <c r="L127" s="4">
        <f>IF(AND(F127&gt;=I127,F127&lt;=J127),1,0)</f>
        <v/>
      </c>
    </row>
    <row r="128">
      <c r="A128" s="4" t="inlineStr">
        <is>
          <t>hardness_shoreA</t>
        </is>
      </c>
      <c r="B128" s="4" t="inlineStr">
        <is>
          <t>G081</t>
        </is>
      </c>
      <c r="C128" s="4" t="inlineStr">
        <is>
          <t>US12304984B2</t>
        </is>
      </c>
      <c r="D128" s="4" t="inlineStr">
        <is>
          <t>Example 1</t>
        </is>
      </c>
      <c r="E128" s="4" t="inlineStr">
        <is>
          <t>dev(OOF)</t>
        </is>
      </c>
      <c r="F128" s="10" t="n">
        <v>75</v>
      </c>
      <c r="G128" s="10" t="n">
        <v>71.95447488428231</v>
      </c>
      <c r="H128" s="10" t="n">
        <v>4.118032502075817</v>
      </c>
      <c r="I128" s="10">
        <f>G128-1.96*H128</f>
        <v/>
      </c>
      <c r="J128" s="10">
        <f>G128+1.96*H128</f>
        <v/>
      </c>
      <c r="K128" s="10">
        <f>G128-F128</f>
        <v/>
      </c>
      <c r="L128" s="4">
        <f>IF(AND(F128&gt;=I128,F128&lt;=J128),1,0)</f>
        <v/>
      </c>
    </row>
    <row r="129">
      <c r="A129" s="4" t="inlineStr">
        <is>
          <t>hardness_shoreA</t>
        </is>
      </c>
      <c r="B129" s="4" t="inlineStr">
        <is>
          <t>G089</t>
        </is>
      </c>
      <c r="C129" s="4" t="inlineStr">
        <is>
          <t>US8367776B2</t>
        </is>
      </c>
      <c r="D129" s="4" t="inlineStr">
        <is>
          <t>Example 7</t>
        </is>
      </c>
      <c r="E129" s="4" t="inlineStr">
        <is>
          <t>dev(OOF)</t>
        </is>
      </c>
      <c r="F129" s="10" t="n">
        <v>65</v>
      </c>
      <c r="G129" s="10" t="n">
        <v>61.74817823058854</v>
      </c>
      <c r="H129" s="10" t="n">
        <v>2.277521254485087</v>
      </c>
      <c r="I129" s="10">
        <f>G129-1.96*H129</f>
        <v/>
      </c>
      <c r="J129" s="10">
        <f>G129+1.96*H129</f>
        <v/>
      </c>
      <c r="K129" s="10">
        <f>G129-F129</f>
        <v/>
      </c>
      <c r="L129" s="4">
        <f>IF(AND(F129&gt;=I129,F129&lt;=J129),1,0)</f>
        <v/>
      </c>
    </row>
    <row r="130">
      <c r="A130" s="4" t="inlineStr">
        <is>
          <t>hardness_shoreA</t>
        </is>
      </c>
      <c r="B130" s="4" t="inlineStr">
        <is>
          <t>G007</t>
        </is>
      </c>
      <c r="C130" s="4" t="inlineStr">
        <is>
          <t>US7678858B2</t>
        </is>
      </c>
      <c r="D130" s="4" t="inlineStr">
        <is>
          <t>Example 7</t>
        </is>
      </c>
      <c r="E130" s="4" t="inlineStr">
        <is>
          <t>dev(OOF)</t>
        </is>
      </c>
      <c r="F130" s="10" t="n">
        <v>79</v>
      </c>
      <c r="G130" s="10" t="n">
        <v>79.02632446752568</v>
      </c>
      <c r="H130" s="10" t="n">
        <v>3.773537165713186</v>
      </c>
      <c r="I130" s="10">
        <f>G130-1.96*H130</f>
        <v/>
      </c>
      <c r="J130" s="10">
        <f>G130+1.96*H130</f>
        <v/>
      </c>
      <c r="K130" s="10">
        <f>G130-F130</f>
        <v/>
      </c>
      <c r="L130" s="4">
        <f>IF(AND(F130&gt;=I130,F130&lt;=J130),1,0)</f>
        <v/>
      </c>
    </row>
    <row r="131">
      <c r="A131" s="4" t="inlineStr">
        <is>
          <t>hardness_shoreA</t>
        </is>
      </c>
      <c r="B131" s="4" t="inlineStr">
        <is>
          <t>G060</t>
        </is>
      </c>
      <c r="C131" s="4" t="inlineStr">
        <is>
          <t>US11753523B2</t>
        </is>
      </c>
      <c r="D131" s="4" t="inlineStr">
        <is>
          <t>Comparative Example 3</t>
        </is>
      </c>
      <c r="E131" s="4" t="inlineStr">
        <is>
          <t>dev(OOF)</t>
        </is>
      </c>
      <c r="F131" s="10" t="n">
        <v>75</v>
      </c>
      <c r="G131" s="10" t="n">
        <v>75.60176658956428</v>
      </c>
      <c r="H131" s="10" t="n">
        <v>5.708798644475838</v>
      </c>
      <c r="I131" s="10">
        <f>G131-1.96*H131</f>
        <v/>
      </c>
      <c r="J131" s="10">
        <f>G131+1.96*H131</f>
        <v/>
      </c>
      <c r="K131" s="10">
        <f>G131-F131</f>
        <v/>
      </c>
      <c r="L131" s="4">
        <f>IF(AND(F131&gt;=I131,F131&lt;=J131),1,0)</f>
        <v/>
      </c>
    </row>
    <row r="132">
      <c r="A132" s="4" t="inlineStr">
        <is>
          <t>hardness_shoreA</t>
        </is>
      </c>
      <c r="B132" s="4" t="inlineStr">
        <is>
          <t>G057</t>
        </is>
      </c>
      <c r="C132" s="4" t="inlineStr">
        <is>
          <t>US11753523B2</t>
        </is>
      </c>
      <c r="D132" s="4" t="inlineStr">
        <is>
          <t>Example 5</t>
        </is>
      </c>
      <c r="E132" s="4" t="inlineStr">
        <is>
          <t>dev(OOF)</t>
        </is>
      </c>
      <c r="F132" s="10" t="n">
        <v>80</v>
      </c>
      <c r="G132" s="10" t="n">
        <v>81.13083820844712</v>
      </c>
      <c r="H132" s="10" t="n">
        <v>5.495188291524393</v>
      </c>
      <c r="I132" s="10">
        <f>G132-1.96*H132</f>
        <v/>
      </c>
      <c r="J132" s="10">
        <f>G132+1.96*H132</f>
        <v/>
      </c>
      <c r="K132" s="10">
        <f>G132-F132</f>
        <v/>
      </c>
      <c r="L132" s="4">
        <f>IF(AND(F132&gt;=I132,F132&lt;=J132),1,0)</f>
        <v/>
      </c>
    </row>
    <row r="133">
      <c r="A133" s="4" t="inlineStr">
        <is>
          <t>hardness_shoreA</t>
        </is>
      </c>
      <c r="B133" s="4" t="inlineStr">
        <is>
          <t>G100</t>
        </is>
      </c>
      <c r="C133" s="4" t="inlineStr">
        <is>
          <t>US7354974B2</t>
        </is>
      </c>
      <c r="D133" s="4" t="inlineStr">
        <is>
          <t>Example 4</t>
        </is>
      </c>
      <c r="E133" s="4" t="inlineStr">
        <is>
          <t>dev(OOF)</t>
        </is>
      </c>
      <c r="F133" s="10" t="n">
        <v>89</v>
      </c>
      <c r="G133" s="10" t="n">
        <v>83.63720015890152</v>
      </c>
      <c r="H133" s="10" t="n">
        <v>6.564210519273317</v>
      </c>
      <c r="I133" s="10">
        <f>G133-1.96*H133</f>
        <v/>
      </c>
      <c r="J133" s="10">
        <f>G133+1.96*H133</f>
        <v/>
      </c>
      <c r="K133" s="10">
        <f>G133-F133</f>
        <v/>
      </c>
      <c r="L133" s="4">
        <f>IF(AND(F133&gt;=I133,F133&lt;=J133),1,0)</f>
        <v/>
      </c>
    </row>
    <row r="134">
      <c r="A134" s="4" t="inlineStr">
        <is>
          <t>hardness_shoreA</t>
        </is>
      </c>
      <c r="B134" s="4" t="inlineStr">
        <is>
          <t>G012</t>
        </is>
      </c>
      <c r="C134" s="4" t="inlineStr">
        <is>
          <t>US7678858B2</t>
        </is>
      </c>
      <c r="D134" s="4" t="inlineStr">
        <is>
          <t>Example 11</t>
        </is>
      </c>
      <c r="E134" s="4" t="inlineStr">
        <is>
          <t>dev(OOF)</t>
        </is>
      </c>
      <c r="F134" s="10" t="n">
        <v>89</v>
      </c>
      <c r="G134" s="10" t="n">
        <v>83.98634140786459</v>
      </c>
      <c r="H134" s="10" t="n">
        <v>5.008207881723113</v>
      </c>
      <c r="I134" s="10">
        <f>G134-1.96*H134</f>
        <v/>
      </c>
      <c r="J134" s="10">
        <f>G134+1.96*H134</f>
        <v/>
      </c>
      <c r="K134" s="10">
        <f>G134-F134</f>
        <v/>
      </c>
      <c r="L134" s="4">
        <f>IF(AND(F134&gt;=I134,F134&lt;=J134),1,0)</f>
        <v/>
      </c>
    </row>
    <row r="135">
      <c r="A135" s="4" t="inlineStr">
        <is>
          <t>hardness_shoreA</t>
        </is>
      </c>
      <c r="B135" s="4" t="inlineStr">
        <is>
          <t>G247</t>
        </is>
      </c>
      <c r="C135" s="4" t="inlineStr">
        <is>
          <t>US12584054B2</t>
        </is>
      </c>
      <c r="D135" s="4" t="inlineStr">
        <is>
          <t>Example 4</t>
        </is>
      </c>
      <c r="E135" s="4" t="inlineStr">
        <is>
          <t>dev(OOF)</t>
        </is>
      </c>
      <c r="F135" s="10" t="n">
        <v>85</v>
      </c>
      <c r="G135" s="10" t="n">
        <v>72.39158006701102</v>
      </c>
      <c r="H135" s="10" t="n">
        <v>5.363716140157836</v>
      </c>
      <c r="I135" s="10">
        <f>G135-1.96*H135</f>
        <v/>
      </c>
      <c r="J135" s="10">
        <f>G135+1.96*H135</f>
        <v/>
      </c>
      <c r="K135" s="10">
        <f>G135-F135</f>
        <v/>
      </c>
      <c r="L135" s="4">
        <f>IF(AND(F135&gt;=I135,F135&lt;=J135),1,0)</f>
        <v/>
      </c>
    </row>
    <row r="136">
      <c r="A136" s="4" t="inlineStr">
        <is>
          <t>hardness_shoreA</t>
        </is>
      </c>
      <c r="B136" s="4" t="inlineStr">
        <is>
          <t>G296</t>
        </is>
      </c>
      <c r="C136" s="4" t="inlineStr">
        <is>
          <t>EP4249550A1</t>
        </is>
      </c>
      <c r="D136" s="4" t="inlineStr">
        <is>
          <t>Example 7</t>
        </is>
      </c>
      <c r="E136" s="4" t="inlineStr">
        <is>
          <t>dev(OOF)</t>
        </is>
      </c>
      <c r="F136" s="10" t="n">
        <v>71</v>
      </c>
      <c r="G136" s="10" t="n">
        <v>70.57045295514683</v>
      </c>
      <c r="H136" s="10" t="n">
        <v>3.558513041414919</v>
      </c>
      <c r="I136" s="10">
        <f>G136-1.96*H136</f>
        <v/>
      </c>
      <c r="J136" s="10">
        <f>G136+1.96*H136</f>
        <v/>
      </c>
      <c r="K136" s="10">
        <f>G136-F136</f>
        <v/>
      </c>
      <c r="L136" s="4">
        <f>IF(AND(F136&gt;=I136,F136&lt;=J136),1,0)</f>
        <v/>
      </c>
    </row>
    <row r="137">
      <c r="A137" s="4" t="inlineStr">
        <is>
          <t>hardness_shoreA</t>
        </is>
      </c>
      <c r="B137" s="4" t="inlineStr">
        <is>
          <t>G033</t>
        </is>
      </c>
      <c r="C137" s="4" t="inlineStr">
        <is>
          <t>US8173727B2</t>
        </is>
      </c>
      <c r="D137" s="4" t="inlineStr">
        <is>
          <t>Example 5</t>
        </is>
      </c>
      <c r="E137" s="4" t="inlineStr">
        <is>
          <t>dev(OOF)</t>
        </is>
      </c>
      <c r="F137" s="10" t="n">
        <v>79</v>
      </c>
      <c r="G137" s="10" t="n">
        <v>81.23343425853061</v>
      </c>
      <c r="H137" s="10" t="n">
        <v>4.052724043860453</v>
      </c>
      <c r="I137" s="10">
        <f>G137-1.96*H137</f>
        <v/>
      </c>
      <c r="J137" s="10">
        <f>G137+1.96*H137</f>
        <v/>
      </c>
      <c r="K137" s="10">
        <f>G137-F137</f>
        <v/>
      </c>
      <c r="L137" s="4">
        <f>IF(AND(F137&gt;=I137,F137&lt;=J137),1,0)</f>
        <v/>
      </c>
    </row>
    <row r="138">
      <c r="A138" s="4" t="inlineStr">
        <is>
          <t>hardness_shoreA</t>
        </is>
      </c>
      <c r="B138" s="4" t="inlineStr">
        <is>
          <t>G268</t>
        </is>
      </c>
      <c r="C138" s="4" t="inlineStr">
        <is>
          <t>US20230174763A1</t>
        </is>
      </c>
      <c r="D138" s="4" t="inlineStr">
        <is>
          <t>Example 5</t>
        </is>
      </c>
      <c r="E138" s="4" t="inlineStr">
        <is>
          <t>dev(OOF)</t>
        </is>
      </c>
      <c r="F138" s="10" t="n">
        <v>92</v>
      </c>
      <c r="G138" s="10" t="n">
        <v>89.46751173540012</v>
      </c>
      <c r="H138" s="10" t="n">
        <v>5.843818565305464</v>
      </c>
      <c r="I138" s="10">
        <f>G138-1.96*H138</f>
        <v/>
      </c>
      <c r="J138" s="10">
        <f>G138+1.96*H138</f>
        <v/>
      </c>
      <c r="K138" s="10">
        <f>G138-F138</f>
        <v/>
      </c>
      <c r="L138" s="4">
        <f>IF(AND(F138&gt;=I138,F138&lt;=J138),1,0)</f>
        <v/>
      </c>
    </row>
    <row r="139">
      <c r="A139" s="4" t="inlineStr">
        <is>
          <t>hardness_shoreA</t>
        </is>
      </c>
      <c r="B139" s="4" t="inlineStr">
        <is>
          <t>G053</t>
        </is>
      </c>
      <c r="C139" s="4" t="inlineStr">
        <is>
          <t>US11753523B2</t>
        </is>
      </c>
      <c r="D139" s="4" t="inlineStr">
        <is>
          <t>Example 1</t>
        </is>
      </c>
      <c r="E139" s="4" t="inlineStr">
        <is>
          <t>dev(OOF)</t>
        </is>
      </c>
      <c r="F139" s="10" t="n">
        <v>72</v>
      </c>
      <c r="G139" s="10" t="n">
        <v>74.374789363402</v>
      </c>
      <c r="H139" s="10" t="n">
        <v>4.202069512314695</v>
      </c>
      <c r="I139" s="10">
        <f>G139-1.96*H139</f>
        <v/>
      </c>
      <c r="J139" s="10">
        <f>G139+1.96*H139</f>
        <v/>
      </c>
      <c r="K139" s="10">
        <f>G139-F139</f>
        <v/>
      </c>
      <c r="L139" s="4">
        <f>IF(AND(F139&gt;=I139,F139&lt;=J139),1,0)</f>
        <v/>
      </c>
    </row>
    <row r="140">
      <c r="A140" s="4" t="inlineStr">
        <is>
          <t>hardness_shoreA</t>
        </is>
      </c>
      <c r="B140" s="4" t="inlineStr">
        <is>
          <t>G075</t>
        </is>
      </c>
      <c r="C140" s="4" t="inlineStr">
        <is>
          <t>US12091537B2</t>
        </is>
      </c>
      <c r="D140" s="4" t="inlineStr">
        <is>
          <t>Example 2</t>
        </is>
      </c>
      <c r="E140" s="4" t="inlineStr">
        <is>
          <t>dev(OOF)</t>
        </is>
      </c>
      <c r="F140" s="10" t="n">
        <v>78</v>
      </c>
      <c r="G140" s="10" t="n">
        <v>78.24474260816814</v>
      </c>
      <c r="H140" s="10" t="n">
        <v>4.077870797024049</v>
      </c>
      <c r="I140" s="10">
        <f>G140-1.96*H140</f>
        <v/>
      </c>
      <c r="J140" s="10">
        <f>G140+1.96*H140</f>
        <v/>
      </c>
      <c r="K140" s="10">
        <f>G140-F140</f>
        <v/>
      </c>
      <c r="L140" s="4">
        <f>IF(AND(F140&gt;=I140,F140&lt;=J140),1,0)</f>
        <v/>
      </c>
    </row>
    <row r="141">
      <c r="A141" s="4" t="inlineStr">
        <is>
          <t>hardness_shoreA</t>
        </is>
      </c>
      <c r="B141" s="4" t="inlineStr">
        <is>
          <t>G321</t>
        </is>
      </c>
      <c r="C141" s="4" t="inlineStr">
        <is>
          <t>KR101467101B1</t>
        </is>
      </c>
      <c r="D141" s="4" t="inlineStr">
        <is>
          <t>Table 1 compound FFKM B</t>
        </is>
      </c>
      <c r="E141" s="4" t="inlineStr">
        <is>
          <t>dev(OOF)</t>
        </is>
      </c>
      <c r="F141" s="10" t="n">
        <v>77</v>
      </c>
      <c r="G141" s="10" t="n">
        <v>56.76596831178934</v>
      </c>
      <c r="H141" s="10" t="n">
        <v>2.347406072894307</v>
      </c>
      <c r="I141" s="10">
        <f>G141-1.96*H141</f>
        <v/>
      </c>
      <c r="J141" s="10">
        <f>G141+1.96*H141</f>
        <v/>
      </c>
      <c r="K141" s="10">
        <f>G141-F141</f>
        <v/>
      </c>
      <c r="L141" s="4">
        <f>IF(AND(F141&gt;=I141,F141&lt;=J141),1,0)</f>
        <v/>
      </c>
    </row>
    <row r="142">
      <c r="A142" s="4" t="inlineStr">
        <is>
          <t>hardness_shoreA</t>
        </is>
      </c>
      <c r="B142" s="4" t="inlineStr">
        <is>
          <t>G166</t>
        </is>
      </c>
      <c r="C142" s="4" t="inlineStr">
        <is>
          <t>US20050107544A1</t>
        </is>
      </c>
      <c r="D142" s="4" t="inlineStr">
        <is>
          <t>Sample 3</t>
        </is>
      </c>
      <c r="E142" s="4" t="inlineStr">
        <is>
          <t>dev(OOF)</t>
        </is>
      </c>
      <c r="F142" s="10" t="n">
        <v>65</v>
      </c>
      <c r="G142" s="10" t="n">
        <v>64.26505004479368</v>
      </c>
      <c r="H142" s="10" t="n">
        <v>4.221719350154233</v>
      </c>
      <c r="I142" s="10">
        <f>G142-1.96*H142</f>
        <v/>
      </c>
      <c r="J142" s="10">
        <f>G142+1.96*H142</f>
        <v/>
      </c>
      <c r="K142" s="10">
        <f>G142-F142</f>
        <v/>
      </c>
      <c r="L142" s="4">
        <f>IF(AND(F142&gt;=I142,F142&lt;=J142),1,0)</f>
        <v/>
      </c>
    </row>
    <row r="143">
      <c r="A143" s="4" t="inlineStr">
        <is>
          <t>hardness_shoreA</t>
        </is>
      </c>
      <c r="B143" s="4" t="inlineStr">
        <is>
          <t>G002</t>
        </is>
      </c>
      <c r="C143" s="4" t="inlineStr">
        <is>
          <t>US7678858B2</t>
        </is>
      </c>
      <c r="D143" s="4" t="inlineStr">
        <is>
          <t>Example 2</t>
        </is>
      </c>
      <c r="E143" s="4" t="inlineStr">
        <is>
          <t>dev(OOF)</t>
        </is>
      </c>
      <c r="F143" s="10" t="n">
        <v>79</v>
      </c>
      <c r="G143" s="10" t="n">
        <v>79.01957347218374</v>
      </c>
      <c r="H143" s="10" t="n">
        <v>2.773397887154647</v>
      </c>
      <c r="I143" s="10">
        <f>G143-1.96*H143</f>
        <v/>
      </c>
      <c r="J143" s="10">
        <f>G143+1.96*H143</f>
        <v/>
      </c>
      <c r="K143" s="10">
        <f>G143-F143</f>
        <v/>
      </c>
      <c r="L143" s="4">
        <f>IF(AND(F143&gt;=I143,F143&lt;=J143),1,0)</f>
        <v/>
      </c>
    </row>
    <row r="144">
      <c r="A144" s="4" t="inlineStr">
        <is>
          <t>hardness_shoreA</t>
        </is>
      </c>
      <c r="B144" s="4" t="inlineStr">
        <is>
          <t>G122</t>
        </is>
      </c>
      <c r="C144" s="4" t="inlineStr">
        <is>
          <t>US5696189A</t>
        </is>
      </c>
      <c r="D144" s="4" t="inlineStr">
        <is>
          <t>Example 5</t>
        </is>
      </c>
      <c r="E144" s="4" t="inlineStr">
        <is>
          <t>dev(OOF)</t>
        </is>
      </c>
      <c r="F144" s="10" t="n">
        <v>82</v>
      </c>
      <c r="G144" s="10" t="n">
        <v>82.49305685355803</v>
      </c>
      <c r="H144" s="10" t="n">
        <v>9.830758696093673</v>
      </c>
      <c r="I144" s="10">
        <f>G144-1.96*H144</f>
        <v/>
      </c>
      <c r="J144" s="10">
        <f>G144+1.96*H144</f>
        <v/>
      </c>
      <c r="K144" s="10">
        <f>G144-F144</f>
        <v/>
      </c>
      <c r="L144" s="4">
        <f>IF(AND(F144&gt;=I144,F144&lt;=J144),1,0)</f>
        <v/>
      </c>
    </row>
    <row r="145">
      <c r="A145" s="4" t="inlineStr">
        <is>
          <t>hardness_shoreA</t>
        </is>
      </c>
      <c r="B145" s="4" t="inlineStr">
        <is>
          <t>G267</t>
        </is>
      </c>
      <c r="C145" s="4" t="inlineStr">
        <is>
          <t>US20230174763A1</t>
        </is>
      </c>
      <c r="D145" s="4" t="inlineStr">
        <is>
          <t>Example 4</t>
        </is>
      </c>
      <c r="E145" s="4" t="inlineStr">
        <is>
          <t>dev(OOF)</t>
        </is>
      </c>
      <c r="F145" s="10" t="n">
        <v>84</v>
      </c>
      <c r="G145" s="10" t="n">
        <v>85.11341063795044</v>
      </c>
      <c r="H145" s="10" t="n">
        <v>5.664265978325105</v>
      </c>
      <c r="I145" s="10">
        <f>G145-1.96*H145</f>
        <v/>
      </c>
      <c r="J145" s="10">
        <f>G145+1.96*H145</f>
        <v/>
      </c>
      <c r="K145" s="10">
        <f>G145-F145</f>
        <v/>
      </c>
      <c r="L145" s="4">
        <f>IF(AND(F145&gt;=I145,F145&lt;=J145),1,0)</f>
        <v/>
      </c>
    </row>
    <row r="146">
      <c r="A146" s="4" t="inlineStr">
        <is>
          <t>hardness_shoreA</t>
        </is>
      </c>
      <c r="B146" s="4" t="inlineStr">
        <is>
          <t>G043</t>
        </is>
      </c>
      <c r="C146" s="4" t="inlineStr">
        <is>
          <t>US8211964B2</t>
        </is>
      </c>
      <c r="D146" s="4" t="inlineStr">
        <is>
          <t>Example 2</t>
        </is>
      </c>
      <c r="E146" s="4" t="inlineStr">
        <is>
          <t>dev(OOF)</t>
        </is>
      </c>
      <c r="F146" s="10" t="n">
        <v>57.2</v>
      </c>
      <c r="G146" s="10" t="n">
        <v>60.61057573584027</v>
      </c>
      <c r="H146" s="10" t="n">
        <v>5.650180339152977</v>
      </c>
      <c r="I146" s="10">
        <f>G146-1.96*H146</f>
        <v/>
      </c>
      <c r="J146" s="10">
        <f>G146+1.96*H146</f>
        <v/>
      </c>
      <c r="K146" s="10">
        <f>G146-F146</f>
        <v/>
      </c>
      <c r="L146" s="4">
        <f>IF(AND(F146&gt;=I146,F146&lt;=J146),1,0)</f>
        <v/>
      </c>
    </row>
    <row r="147">
      <c r="A147" s="4" t="inlineStr">
        <is>
          <t>hardness_shoreA</t>
        </is>
      </c>
      <c r="B147" s="4" t="inlineStr">
        <is>
          <t>G326</t>
        </is>
      </c>
      <c r="C147" s="4" t="inlineStr">
        <is>
          <t>KR101467101B1</t>
        </is>
      </c>
      <c r="D147" s="4" t="inlineStr">
        <is>
          <t>Example 1 (Table 2 sample 4)</t>
        </is>
      </c>
      <c r="E147" s="4" t="inlineStr">
        <is>
          <t>dev(OOF)</t>
        </is>
      </c>
      <c r="F147" s="10" t="n">
        <v>64</v>
      </c>
      <c r="G147" s="10" t="n">
        <v>67.18509441466993</v>
      </c>
      <c r="H147" s="10" t="n">
        <v>4.324362415536571</v>
      </c>
      <c r="I147" s="10">
        <f>G147-1.96*H147</f>
        <v/>
      </c>
      <c r="J147" s="10">
        <f>G147+1.96*H147</f>
        <v/>
      </c>
      <c r="K147" s="10">
        <f>G147-F147</f>
        <v/>
      </c>
      <c r="L147" s="4">
        <f>IF(AND(F147&gt;=I147,F147&lt;=J147),1,0)</f>
        <v/>
      </c>
    </row>
    <row r="148">
      <c r="A148" s="4" t="inlineStr">
        <is>
          <t>hardness_shoreA</t>
        </is>
      </c>
      <c r="B148" s="4" t="inlineStr">
        <is>
          <t>G008</t>
        </is>
      </c>
      <c r="C148" s="4" t="inlineStr">
        <is>
          <t>US7678858B2</t>
        </is>
      </c>
      <c r="D148" s="4" t="inlineStr">
        <is>
          <t>Example 8</t>
        </is>
      </c>
      <c r="E148" s="4" t="inlineStr">
        <is>
          <t>dev(OOF)</t>
        </is>
      </c>
      <c r="F148" s="10" t="n">
        <v>78</v>
      </c>
      <c r="G148" s="10" t="n">
        <v>79.27967144332891</v>
      </c>
      <c r="H148" s="10" t="n">
        <v>4.24684281625535</v>
      </c>
      <c r="I148" s="10">
        <f>G148-1.96*H148</f>
        <v/>
      </c>
      <c r="J148" s="10">
        <f>G148+1.96*H148</f>
        <v/>
      </c>
      <c r="K148" s="10">
        <f>G148-F148</f>
        <v/>
      </c>
      <c r="L148" s="4">
        <f>IF(AND(F148&gt;=I148,F148&lt;=J148),1,0)</f>
        <v/>
      </c>
    </row>
    <row r="149">
      <c r="A149" s="4" t="inlineStr">
        <is>
          <t>hardness_shoreA</t>
        </is>
      </c>
      <c r="B149" s="4" t="inlineStr">
        <is>
          <t>G281</t>
        </is>
      </c>
      <c r="C149" s="4" t="inlineStr">
        <is>
          <t>US20230365800A1</t>
        </is>
      </c>
      <c r="D149" s="4" t="inlineStr">
        <is>
          <t>Example 5</t>
        </is>
      </c>
      <c r="E149" s="4" t="inlineStr">
        <is>
          <t>dev(OOF)</t>
        </is>
      </c>
      <c r="F149" s="10" t="n">
        <v>66</v>
      </c>
      <c r="G149" s="10" t="n">
        <v>64.46037681043867</v>
      </c>
      <c r="H149" s="10" t="n">
        <v>3.460498891225821</v>
      </c>
      <c r="I149" s="10">
        <f>G149-1.96*H149</f>
        <v/>
      </c>
      <c r="J149" s="10">
        <f>G149+1.96*H149</f>
        <v/>
      </c>
      <c r="K149" s="10">
        <f>G149-F149</f>
        <v/>
      </c>
      <c r="L149" s="4">
        <f>IF(AND(F149&gt;=I149,F149&lt;=J149),1,0)</f>
        <v/>
      </c>
    </row>
    <row r="150">
      <c r="A150" s="4" t="inlineStr">
        <is>
          <t>hardness_shoreA</t>
        </is>
      </c>
      <c r="B150" s="4" t="inlineStr">
        <is>
          <t>G123</t>
        </is>
      </c>
      <c r="C150" s="4" t="inlineStr">
        <is>
          <t>US5696189A</t>
        </is>
      </c>
      <c r="D150" s="4" t="inlineStr">
        <is>
          <t>Example 6</t>
        </is>
      </c>
      <c r="E150" s="4" t="inlineStr">
        <is>
          <t>dev(OOF)</t>
        </is>
      </c>
      <c r="F150" s="10" t="n">
        <v>80</v>
      </c>
      <c r="G150" s="10" t="n">
        <v>80.62250374797235</v>
      </c>
      <c r="H150" s="10" t="n">
        <v>8.540361449045546</v>
      </c>
      <c r="I150" s="10">
        <f>G150-1.96*H150</f>
        <v/>
      </c>
      <c r="J150" s="10">
        <f>G150+1.96*H150</f>
        <v/>
      </c>
      <c r="K150" s="10">
        <f>G150-F150</f>
        <v/>
      </c>
      <c r="L150" s="4">
        <f>IF(AND(F150&gt;=I150,F150&lt;=J150),1,0)</f>
        <v/>
      </c>
    </row>
    <row r="151">
      <c r="A151" s="4" t="inlineStr">
        <is>
          <t>hardness_shoreA</t>
        </is>
      </c>
      <c r="B151" s="4" t="inlineStr">
        <is>
          <t>G308</t>
        </is>
      </c>
      <c r="C151" s="4" t="inlineStr">
        <is>
          <t>EP4249550A1</t>
        </is>
      </c>
      <c r="D151" s="4" t="inlineStr">
        <is>
          <t>Comparative Example 7</t>
        </is>
      </c>
      <c r="E151" s="4" t="inlineStr">
        <is>
          <t>dev(OOF)</t>
        </is>
      </c>
      <c r="F151" s="10" t="n">
        <v>57</v>
      </c>
      <c r="G151" s="10" t="n">
        <v>57.29647785026109</v>
      </c>
      <c r="H151" s="10" t="n">
        <v>3.783199317190137</v>
      </c>
      <c r="I151" s="10">
        <f>G151-1.96*H151</f>
        <v/>
      </c>
      <c r="J151" s="10">
        <f>G151+1.96*H151</f>
        <v/>
      </c>
      <c r="K151" s="10">
        <f>G151-F151</f>
        <v/>
      </c>
      <c r="L151" s="4">
        <f>IF(AND(F151&gt;=I151,F151&lt;=J151),1,0)</f>
        <v/>
      </c>
    </row>
    <row r="152">
      <c r="A152" s="4" t="inlineStr">
        <is>
          <t>hardness_shoreA</t>
        </is>
      </c>
      <c r="B152" s="4" t="inlineStr">
        <is>
          <t>G010</t>
        </is>
      </c>
      <c r="C152" s="4" t="inlineStr">
        <is>
          <t>US7678858B2</t>
        </is>
      </c>
      <c r="D152" s="4" t="inlineStr">
        <is>
          <t>Comparative Example 1</t>
        </is>
      </c>
      <c r="E152" s="4" t="inlineStr">
        <is>
          <t>dev(OOF)</t>
        </is>
      </c>
      <c r="F152" s="10" t="n">
        <v>75</v>
      </c>
      <c r="G152" s="10" t="n">
        <v>76.2347460856801</v>
      </c>
      <c r="H152" s="10" t="n">
        <v>2.820553592354903</v>
      </c>
      <c r="I152" s="10">
        <f>G152-1.96*H152</f>
        <v/>
      </c>
      <c r="J152" s="10">
        <f>G152+1.96*H152</f>
        <v/>
      </c>
      <c r="K152" s="10">
        <f>G152-F152</f>
        <v/>
      </c>
      <c r="L152" s="4">
        <f>IF(AND(F152&gt;=I152,F152&lt;=J152),1,0)</f>
        <v/>
      </c>
    </row>
    <row r="153">
      <c r="A153" s="4" t="inlineStr">
        <is>
          <t>hardness_shoreA</t>
        </is>
      </c>
      <c r="B153" s="4" t="inlineStr">
        <is>
          <t>G163</t>
        </is>
      </c>
      <c r="C153" s="4" t="inlineStr">
        <is>
          <t>US6956085B2</t>
        </is>
      </c>
      <c r="D153" s="4" t="inlineStr">
        <is>
          <t>Example 6</t>
        </is>
      </c>
      <c r="E153" s="4" t="inlineStr">
        <is>
          <t>dev(OOF)</t>
        </is>
      </c>
      <c r="F153" s="10" t="n">
        <v>67</v>
      </c>
      <c r="G153" s="10" t="n">
        <v>75.67264605862073</v>
      </c>
      <c r="H153" s="10" t="n">
        <v>4.59335799094567</v>
      </c>
      <c r="I153" s="10">
        <f>G153-1.96*H153</f>
        <v/>
      </c>
      <c r="J153" s="10">
        <f>G153+1.96*H153</f>
        <v/>
      </c>
      <c r="K153" s="10">
        <f>G153-F153</f>
        <v/>
      </c>
      <c r="L153" s="4">
        <f>IF(AND(F153&gt;=I153,F153&lt;=J153),1,0)</f>
        <v/>
      </c>
    </row>
    <row r="154">
      <c r="A154" s="4" t="inlineStr">
        <is>
          <t>hardness_shoreA</t>
        </is>
      </c>
      <c r="B154" s="4" t="inlineStr">
        <is>
          <t>G103</t>
        </is>
      </c>
      <c r="C154" s="4" t="inlineStr">
        <is>
          <t>US7354974B2</t>
        </is>
      </c>
      <c r="D154" s="4" t="inlineStr">
        <is>
          <t>Example 7</t>
        </is>
      </c>
      <c r="E154" s="4" t="inlineStr">
        <is>
          <t>dev(OOF)</t>
        </is>
      </c>
      <c r="F154" s="10" t="n">
        <v>78</v>
      </c>
      <c r="G154" s="10" t="n">
        <v>78.972700426478</v>
      </c>
      <c r="H154" s="10" t="n">
        <v>3.886343374223361</v>
      </c>
      <c r="I154" s="10">
        <f>G154-1.96*H154</f>
        <v/>
      </c>
      <c r="J154" s="10">
        <f>G154+1.96*H154</f>
        <v/>
      </c>
      <c r="K154" s="10">
        <f>G154-F154</f>
        <v/>
      </c>
      <c r="L154" s="4">
        <f>IF(AND(F154&gt;=I154,F154&lt;=J154),1,0)</f>
        <v/>
      </c>
    </row>
    <row r="155">
      <c r="A155" s="4" t="inlineStr">
        <is>
          <t>hardness_shoreA</t>
        </is>
      </c>
      <c r="B155" s="4" t="inlineStr">
        <is>
          <t>G013</t>
        </is>
      </c>
      <c r="C155" s="4" t="inlineStr">
        <is>
          <t>US7678858B2</t>
        </is>
      </c>
      <c r="D155" s="4" t="inlineStr">
        <is>
          <t>Example 12</t>
        </is>
      </c>
      <c r="E155" s="4" t="inlineStr">
        <is>
          <t>dev(OOF)</t>
        </is>
      </c>
      <c r="F155" s="10" t="n">
        <v>86</v>
      </c>
      <c r="G155" s="10" t="n">
        <v>82.77865805871812</v>
      </c>
      <c r="H155" s="10" t="n">
        <v>3.929646739686602</v>
      </c>
      <c r="I155" s="10">
        <f>G155-1.96*H155</f>
        <v/>
      </c>
      <c r="J155" s="10">
        <f>G155+1.96*H155</f>
        <v/>
      </c>
      <c r="K155" s="10">
        <f>G155-F155</f>
        <v/>
      </c>
      <c r="L155" s="4">
        <f>IF(AND(F155&gt;=I155,F155&lt;=J155),1,0)</f>
        <v/>
      </c>
    </row>
    <row r="156">
      <c r="A156" s="4" t="inlineStr">
        <is>
          <t>hardness_shoreA</t>
        </is>
      </c>
      <c r="B156" s="4" t="inlineStr">
        <is>
          <t>G102</t>
        </is>
      </c>
      <c r="C156" s="4" t="inlineStr">
        <is>
          <t>US7354974B2</t>
        </is>
      </c>
      <c r="D156" s="4" t="inlineStr">
        <is>
          <t>Example 6</t>
        </is>
      </c>
      <c r="E156" s="4" t="inlineStr">
        <is>
          <t>dev(OOF)</t>
        </is>
      </c>
      <c r="F156" s="10" t="n">
        <v>97</v>
      </c>
      <c r="G156" s="10" t="n">
        <v>90.2815778881772</v>
      </c>
      <c r="H156" s="10" t="n">
        <v>7.399686361392649</v>
      </c>
      <c r="I156" s="10">
        <f>G156-1.96*H156</f>
        <v/>
      </c>
      <c r="J156" s="10">
        <f>G156+1.96*H156</f>
        <v/>
      </c>
      <c r="K156" s="10">
        <f>G156-F156</f>
        <v/>
      </c>
      <c r="L156" s="4">
        <f>IF(AND(F156&gt;=I156,F156&lt;=J156),1,0)</f>
        <v/>
      </c>
    </row>
    <row r="157">
      <c r="A157" s="4" t="inlineStr">
        <is>
          <t>hardness_shoreA</t>
        </is>
      </c>
      <c r="B157" s="4" t="inlineStr">
        <is>
          <t>G092</t>
        </is>
      </c>
      <c r="C157" s="4" t="inlineStr">
        <is>
          <t>US8367776B2</t>
        </is>
      </c>
      <c r="D157" s="4" t="inlineStr">
        <is>
          <t>Example 10</t>
        </is>
      </c>
      <c r="E157" s="4" t="inlineStr">
        <is>
          <t>dev(OOF)</t>
        </is>
      </c>
      <c r="F157" s="10" t="n">
        <v>61.5</v>
      </c>
      <c r="G157" s="10" t="n">
        <v>61.74817823058854</v>
      </c>
      <c r="H157" s="10" t="n">
        <v>2.277521254485087</v>
      </c>
      <c r="I157" s="10">
        <f>G157-1.96*H157</f>
        <v/>
      </c>
      <c r="J157" s="10">
        <f>G157+1.96*H157</f>
        <v/>
      </c>
      <c r="K157" s="10">
        <f>G157-F157</f>
        <v/>
      </c>
      <c r="L157" s="4">
        <f>IF(AND(F157&gt;=I157,F157&lt;=J157),1,0)</f>
        <v/>
      </c>
    </row>
    <row r="158">
      <c r="A158" s="4" t="inlineStr">
        <is>
          <t>hardness_shoreA</t>
        </is>
      </c>
      <c r="B158" s="4" t="inlineStr">
        <is>
          <t>G072</t>
        </is>
      </c>
      <c r="C158" s="4" t="inlineStr">
        <is>
          <t>US11072700B2</t>
        </is>
      </c>
      <c r="D158" s="4" t="inlineStr">
        <is>
          <t>Example 3</t>
        </is>
      </c>
      <c r="E158" s="4" t="inlineStr">
        <is>
          <t>dev(OOF)</t>
        </is>
      </c>
      <c r="F158" s="10" t="n">
        <v>74</v>
      </c>
      <c r="G158" s="10" t="n">
        <v>74.60537965422202</v>
      </c>
      <c r="H158" s="10" t="n">
        <v>6.808756509516364</v>
      </c>
      <c r="I158" s="10">
        <f>G158-1.96*H158</f>
        <v/>
      </c>
      <c r="J158" s="10">
        <f>G158+1.96*H158</f>
        <v/>
      </c>
      <c r="K158" s="10">
        <f>G158-F158</f>
        <v/>
      </c>
      <c r="L158" s="4">
        <f>IF(AND(F158&gt;=I158,F158&lt;=J158),1,0)</f>
        <v/>
      </c>
    </row>
    <row r="159">
      <c r="A159" s="4" t="inlineStr">
        <is>
          <t>hardness_shoreA</t>
        </is>
      </c>
      <c r="B159" s="4" t="inlineStr">
        <is>
          <t>G027</t>
        </is>
      </c>
      <c r="C159" s="4" t="inlineStr">
        <is>
          <t>US6803402B2</t>
        </is>
      </c>
      <c r="D159" s="4" t="inlineStr">
        <is>
          <t>Comparative Example 2</t>
        </is>
      </c>
      <c r="E159" s="4" t="inlineStr">
        <is>
          <t>dev(OOF)</t>
        </is>
      </c>
      <c r="F159" s="10" t="n">
        <v>65</v>
      </c>
      <c r="G159" s="10" t="n">
        <v>71.53473791595444</v>
      </c>
      <c r="H159" s="10" t="n">
        <v>7.792514427041951</v>
      </c>
      <c r="I159" s="10">
        <f>G159-1.96*H159</f>
        <v/>
      </c>
      <c r="J159" s="10">
        <f>G159+1.96*H159</f>
        <v/>
      </c>
      <c r="K159" s="10">
        <f>G159-F159</f>
        <v/>
      </c>
      <c r="L159" s="4">
        <f>IF(AND(F159&gt;=I159,F159&lt;=J159),1,0)</f>
        <v/>
      </c>
    </row>
    <row r="160">
      <c r="A160" s="4" t="inlineStr">
        <is>
          <t>hardness_shoreA</t>
        </is>
      </c>
      <c r="B160" s="4" t="inlineStr">
        <is>
          <t>G032</t>
        </is>
      </c>
      <c r="C160" s="4" t="inlineStr">
        <is>
          <t>US8173727B2</t>
        </is>
      </c>
      <c r="D160" s="4" t="inlineStr">
        <is>
          <t>Example 4</t>
        </is>
      </c>
      <c r="E160" s="4" t="inlineStr">
        <is>
          <t>dev(OOF)</t>
        </is>
      </c>
      <c r="F160" s="10" t="n">
        <v>81</v>
      </c>
      <c r="G160" s="10" t="n">
        <v>80.41247477999283</v>
      </c>
      <c r="H160" s="10" t="n">
        <v>3.952560492202673</v>
      </c>
      <c r="I160" s="10">
        <f>G160-1.96*H160</f>
        <v/>
      </c>
      <c r="J160" s="10">
        <f>G160+1.96*H160</f>
        <v/>
      </c>
      <c r="K160" s="10">
        <f>G160-F160</f>
        <v/>
      </c>
      <c r="L160" s="4">
        <f>IF(AND(F160&gt;=I160,F160&lt;=J160),1,0)</f>
        <v/>
      </c>
    </row>
    <row r="161">
      <c r="A161" s="4" t="inlineStr">
        <is>
          <t>hardness_shoreA</t>
        </is>
      </c>
      <c r="B161" s="4" t="inlineStr">
        <is>
          <t>G069</t>
        </is>
      </c>
      <c r="C161" s="4" t="inlineStr">
        <is>
          <t>US11072700B2</t>
        </is>
      </c>
      <c r="D161" s="4" t="inlineStr">
        <is>
          <t>Example 2</t>
        </is>
      </c>
      <c r="E161" s="4" t="inlineStr">
        <is>
          <t>dev(OOF)</t>
        </is>
      </c>
      <c r="F161" s="10" t="n">
        <v>60</v>
      </c>
      <c r="G161" s="10" t="n">
        <v>68.59029707914721</v>
      </c>
      <c r="H161" s="10" t="n">
        <v>5.120621409614698</v>
      </c>
      <c r="I161" s="10">
        <f>G161-1.96*H161</f>
        <v/>
      </c>
      <c r="J161" s="10">
        <f>G161+1.96*H161</f>
        <v/>
      </c>
      <c r="K161" s="10">
        <f>G161-F161</f>
        <v/>
      </c>
      <c r="L161" s="4">
        <f>IF(AND(F161&gt;=I161,F161&lt;=J161),1,0)</f>
        <v/>
      </c>
    </row>
    <row r="162">
      <c r="A162" s="4" t="inlineStr">
        <is>
          <t>hardness_shoreA</t>
        </is>
      </c>
      <c r="B162" s="4" t="inlineStr">
        <is>
          <t>G322</t>
        </is>
      </c>
      <c r="C162" s="4" t="inlineStr">
        <is>
          <t>KR101467101B1</t>
        </is>
      </c>
      <c r="D162" s="4" t="inlineStr">
        <is>
          <t>Table 1 compound FFKM C</t>
        </is>
      </c>
      <c r="E162" s="4" t="inlineStr">
        <is>
          <t>dev(OOF)</t>
        </is>
      </c>
      <c r="F162" s="10" t="n">
        <v>77</v>
      </c>
      <c r="G162" s="10" t="n">
        <v>63.23282681789311</v>
      </c>
      <c r="H162" s="10" t="n">
        <v>6.617921897729048</v>
      </c>
      <c r="I162" s="10">
        <f>G162-1.96*H162</f>
        <v/>
      </c>
      <c r="J162" s="10">
        <f>G162+1.96*H162</f>
        <v/>
      </c>
      <c r="K162" s="10">
        <f>G162-F162</f>
        <v/>
      </c>
      <c r="L162" s="4">
        <f>IF(AND(F162&gt;=I162,F162&lt;=J162),1,0)</f>
        <v/>
      </c>
    </row>
    <row r="163">
      <c r="A163" s="4" t="inlineStr">
        <is>
          <t>hardness_shoreA</t>
        </is>
      </c>
      <c r="B163" s="4" t="inlineStr">
        <is>
          <t>G052</t>
        </is>
      </c>
      <c r="C163" s="4" t="inlineStr">
        <is>
          <t>US8211964B2</t>
        </is>
      </c>
      <c r="D163" s="4" t="inlineStr">
        <is>
          <t>Comparative Example 3</t>
        </is>
      </c>
      <c r="E163" s="4" t="inlineStr">
        <is>
          <t>dev(OOF)</t>
        </is>
      </c>
      <c r="F163" s="10" t="n">
        <v>73</v>
      </c>
      <c r="G163" s="10" t="n">
        <v>77.85754978005737</v>
      </c>
      <c r="H163" s="10" t="n">
        <v>4.616670868297145</v>
      </c>
      <c r="I163" s="10">
        <f>G163-1.96*H163</f>
        <v/>
      </c>
      <c r="J163" s="10">
        <f>G163+1.96*H163</f>
        <v/>
      </c>
      <c r="K163" s="10">
        <f>G163-F163</f>
        <v/>
      </c>
      <c r="L163" s="4">
        <f>IF(AND(F163&gt;=I163,F163&lt;=J163),1,0)</f>
        <v/>
      </c>
    </row>
    <row r="164">
      <c r="A164" s="4" t="inlineStr">
        <is>
          <t>hardness_shoreA</t>
        </is>
      </c>
      <c r="B164" s="4" t="inlineStr">
        <is>
          <t>G192</t>
        </is>
      </c>
      <c r="C164" s="4" t="inlineStr">
        <is>
          <t>US20160319102A1</t>
        </is>
      </c>
      <c r="D164" s="4" t="inlineStr">
        <is>
          <t>Example 3</t>
        </is>
      </c>
      <c r="E164" s="4" t="inlineStr">
        <is>
          <t>dev(OOF)</t>
        </is>
      </c>
      <c r="F164" s="10" t="n">
        <v>74</v>
      </c>
      <c r="G164" s="10" t="n">
        <v>71.42025604983802</v>
      </c>
      <c r="H164" s="10" t="n">
        <v>3.901169751103294</v>
      </c>
      <c r="I164" s="10">
        <f>G164-1.96*H164</f>
        <v/>
      </c>
      <c r="J164" s="10">
        <f>G164+1.96*H164</f>
        <v/>
      </c>
      <c r="K164" s="10">
        <f>G164-F164</f>
        <v/>
      </c>
      <c r="L164" s="4">
        <f>IF(AND(F164&gt;=I164,F164&lt;=J164),1,0)</f>
        <v/>
      </c>
    </row>
    <row r="165">
      <c r="A165" s="4" t="inlineStr">
        <is>
          <t>hardness_shoreA</t>
        </is>
      </c>
      <c r="B165" s="4" t="inlineStr">
        <is>
          <t>G278</t>
        </is>
      </c>
      <c r="C165" s="4" t="inlineStr">
        <is>
          <t>US20230365800A1</t>
        </is>
      </c>
      <c r="D165" s="4" t="inlineStr">
        <is>
          <t>Example 2</t>
        </is>
      </c>
      <c r="E165" s="4" t="inlineStr">
        <is>
          <t>dev(OOF)</t>
        </is>
      </c>
      <c r="F165" s="10" t="n">
        <v>66</v>
      </c>
      <c r="G165" s="10" t="n">
        <v>65.52559357014586</v>
      </c>
      <c r="H165" s="10" t="n">
        <v>2.935194624862714</v>
      </c>
      <c r="I165" s="10">
        <f>G165-1.96*H165</f>
        <v/>
      </c>
      <c r="J165" s="10">
        <f>G165+1.96*H165</f>
        <v/>
      </c>
      <c r="K165" s="10">
        <f>G165-F165</f>
        <v/>
      </c>
      <c r="L165" s="4">
        <f>IF(AND(F165&gt;=I165,F165&lt;=J165),1,0)</f>
        <v/>
      </c>
    </row>
    <row r="166">
      <c r="A166" s="4" t="inlineStr">
        <is>
          <t>hardness_shoreA</t>
        </is>
      </c>
      <c r="B166" s="4" t="inlineStr">
        <is>
          <t>G006</t>
        </is>
      </c>
      <c r="C166" s="4" t="inlineStr">
        <is>
          <t>US7678858B2</t>
        </is>
      </c>
      <c r="D166" s="4" t="inlineStr">
        <is>
          <t>Example 6</t>
        </is>
      </c>
      <c r="E166" s="4" t="inlineStr">
        <is>
          <t>dev(OOF)</t>
        </is>
      </c>
      <c r="F166" s="10" t="n">
        <v>78</v>
      </c>
      <c r="G166" s="10" t="n">
        <v>79.01957347218374</v>
      </c>
      <c r="H166" s="10" t="n">
        <v>2.773397887154647</v>
      </c>
      <c r="I166" s="10">
        <f>G166-1.96*H166</f>
        <v/>
      </c>
      <c r="J166" s="10">
        <f>G166+1.96*H166</f>
        <v/>
      </c>
      <c r="K166" s="10">
        <f>G166-F166</f>
        <v/>
      </c>
      <c r="L166" s="4">
        <f>IF(AND(F166&gt;=I166,F166&lt;=J166),1,0)</f>
        <v/>
      </c>
    </row>
    <row r="167">
      <c r="A167" s="4" t="inlineStr">
        <is>
          <t>hardness_shoreA</t>
        </is>
      </c>
      <c r="B167" s="4" t="inlineStr">
        <is>
          <t>G051</t>
        </is>
      </c>
      <c r="C167" s="4" t="inlineStr">
        <is>
          <t>US8211964B2</t>
        </is>
      </c>
      <c r="D167" s="4" t="inlineStr">
        <is>
          <t>Example 8</t>
        </is>
      </c>
      <c r="E167" s="4" t="inlineStr">
        <is>
          <t>dev(OOF)</t>
        </is>
      </c>
      <c r="F167" s="10" t="n">
        <v>83</v>
      </c>
      <c r="G167" s="10" t="n">
        <v>77.33285739295677</v>
      </c>
      <c r="H167" s="10" t="n">
        <v>7.802140085467701</v>
      </c>
      <c r="I167" s="10">
        <f>G167-1.96*H167</f>
        <v/>
      </c>
      <c r="J167" s="10">
        <f>G167+1.96*H167</f>
        <v/>
      </c>
      <c r="K167" s="10">
        <f>G167-F167</f>
        <v/>
      </c>
      <c r="L167" s="4">
        <f>IF(AND(F167&gt;=I167,F167&lt;=J167),1,0)</f>
        <v/>
      </c>
    </row>
    <row r="168">
      <c r="A168" s="4" t="inlineStr">
        <is>
          <t>hardness_shoreA</t>
        </is>
      </c>
      <c r="B168" s="4" t="inlineStr">
        <is>
          <t>G298</t>
        </is>
      </c>
      <c r="C168" s="4" t="inlineStr">
        <is>
          <t>EP4249550A1</t>
        </is>
      </c>
      <c r="D168" s="4" t="inlineStr">
        <is>
          <t>Example 10</t>
        </is>
      </c>
      <c r="E168" s="4" t="inlineStr">
        <is>
          <t>dev(OOF)</t>
        </is>
      </c>
      <c r="F168" s="10" t="n">
        <v>64</v>
      </c>
      <c r="G168" s="10" t="n">
        <v>63.45981576721385</v>
      </c>
      <c r="H168" s="10" t="n">
        <v>2.348299963451741</v>
      </c>
      <c r="I168" s="10">
        <f>G168-1.96*H168</f>
        <v/>
      </c>
      <c r="J168" s="10">
        <f>G168+1.96*H168</f>
        <v/>
      </c>
      <c r="K168" s="10">
        <f>G168-F168</f>
        <v/>
      </c>
      <c r="L168" s="4">
        <f>IF(AND(F168&gt;=I168,F168&lt;=J168),1,0)</f>
        <v/>
      </c>
    </row>
    <row r="169">
      <c r="A169" s="4" t="inlineStr">
        <is>
          <t>hardness_shoreA</t>
        </is>
      </c>
      <c r="B169" s="4" t="inlineStr">
        <is>
          <t>G266</t>
        </is>
      </c>
      <c r="C169" s="4" t="inlineStr">
        <is>
          <t>US20230174763A1</t>
        </is>
      </c>
      <c r="D169" s="4" t="inlineStr">
        <is>
          <t>Example 3</t>
        </is>
      </c>
      <c r="E169" s="4" t="inlineStr">
        <is>
          <t>dev(OOF)</t>
        </is>
      </c>
      <c r="F169" s="10" t="n">
        <v>73</v>
      </c>
      <c r="G169" s="10" t="n">
        <v>74.95723344671217</v>
      </c>
      <c r="H169" s="10" t="n">
        <v>7.394197243306901</v>
      </c>
      <c r="I169" s="10">
        <f>G169-1.96*H169</f>
        <v/>
      </c>
      <c r="J169" s="10">
        <f>G169+1.96*H169</f>
        <v/>
      </c>
      <c r="K169" s="10">
        <f>G169-F169</f>
        <v/>
      </c>
      <c r="L169" s="4">
        <f>IF(AND(F169&gt;=I169,F169&lt;=J169),1,0)</f>
        <v/>
      </c>
    </row>
    <row r="170">
      <c r="A170" s="4" t="inlineStr">
        <is>
          <t>hardness_shoreA</t>
        </is>
      </c>
      <c r="B170" s="4" t="inlineStr">
        <is>
          <t>G009</t>
        </is>
      </c>
      <c r="C170" s="4" t="inlineStr">
        <is>
          <t>US7678858B2</t>
        </is>
      </c>
      <c r="D170" s="4" t="inlineStr">
        <is>
          <t>Example 9</t>
        </is>
      </c>
      <c r="E170" s="4" t="inlineStr">
        <is>
          <t>dev(OOF)</t>
        </is>
      </c>
      <c r="F170" s="10" t="n">
        <v>80</v>
      </c>
      <c r="G170" s="10" t="n">
        <v>79.01957347218374</v>
      </c>
      <c r="H170" s="10" t="n">
        <v>2.773397887154647</v>
      </c>
      <c r="I170" s="10">
        <f>G170-1.96*H170</f>
        <v/>
      </c>
      <c r="J170" s="10">
        <f>G170+1.96*H170</f>
        <v/>
      </c>
      <c r="K170" s="10">
        <f>G170-F170</f>
        <v/>
      </c>
      <c r="L170" s="4">
        <f>IF(AND(F170&gt;=I170,F170&lt;=J170),1,0)</f>
        <v/>
      </c>
    </row>
    <row r="171">
      <c r="A171" s="4" t="inlineStr">
        <is>
          <t>hardness_shoreA</t>
        </is>
      </c>
      <c r="B171" s="4" t="inlineStr">
        <is>
          <t>G031</t>
        </is>
      </c>
      <c r="C171" s="4" t="inlineStr">
        <is>
          <t>US8173727B2</t>
        </is>
      </c>
      <c r="D171" s="4" t="inlineStr">
        <is>
          <t>Example 3</t>
        </is>
      </c>
      <c r="E171" s="4" t="inlineStr">
        <is>
          <t>dev(OOF)</t>
        </is>
      </c>
      <c r="F171" s="10" t="n">
        <v>81</v>
      </c>
      <c r="G171" s="10" t="n">
        <v>80.17620076152537</v>
      </c>
      <c r="H171" s="10" t="n">
        <v>3.57878770900448</v>
      </c>
      <c r="I171" s="10">
        <f>G171-1.96*H171</f>
        <v/>
      </c>
      <c r="J171" s="10">
        <f>G171+1.96*H171</f>
        <v/>
      </c>
      <c r="K171" s="10">
        <f>G171-F171</f>
        <v/>
      </c>
      <c r="L171" s="4">
        <f>IF(AND(F171&gt;=I171,F171&lt;=J171),1,0)</f>
        <v/>
      </c>
    </row>
    <row r="172">
      <c r="A172" s="4" t="inlineStr">
        <is>
          <t>hardness_shoreA</t>
        </is>
      </c>
      <c r="B172" s="4" t="inlineStr">
        <is>
          <t>G168</t>
        </is>
      </c>
      <c r="C172" s="4" t="inlineStr">
        <is>
          <t>US20050107544A1</t>
        </is>
      </c>
      <c r="D172" s="4" t="inlineStr">
        <is>
          <t>Sample 5</t>
        </is>
      </c>
      <c r="E172" s="4" t="inlineStr">
        <is>
          <t>dev(OOF)</t>
        </is>
      </c>
      <c r="F172" s="10" t="n">
        <v>74</v>
      </c>
      <c r="G172" s="10" t="n">
        <v>74.36817284728754</v>
      </c>
      <c r="H172" s="10" t="n">
        <v>5.762252377826013</v>
      </c>
      <c r="I172" s="10">
        <f>G172-1.96*H172</f>
        <v/>
      </c>
      <c r="J172" s="10">
        <f>G172+1.96*H172</f>
        <v/>
      </c>
      <c r="K172" s="10">
        <f>G172-F172</f>
        <v/>
      </c>
      <c r="L172" s="4">
        <f>IF(AND(F172&gt;=I172,F172&lt;=J172),1,0)</f>
        <v/>
      </c>
    </row>
    <row r="173">
      <c r="A173" s="4" t="inlineStr">
        <is>
          <t>hardness_shoreA</t>
        </is>
      </c>
      <c r="B173" s="4" t="inlineStr">
        <is>
          <t>G062</t>
        </is>
      </c>
      <c r="C173" s="4" t="inlineStr">
        <is>
          <t>US11753523B2</t>
        </is>
      </c>
      <c r="D173" s="4" t="inlineStr">
        <is>
          <t>Comparative Example 5</t>
        </is>
      </c>
      <c r="E173" s="4" t="inlineStr">
        <is>
          <t>dev(OOF)</t>
        </is>
      </c>
      <c r="F173" s="10" t="n">
        <v>80</v>
      </c>
      <c r="G173" s="10" t="n">
        <v>81.13083820844705</v>
      </c>
      <c r="H173" s="10" t="n">
        <v>5.495188291524388</v>
      </c>
      <c r="I173" s="10">
        <f>G173-1.96*H173</f>
        <v/>
      </c>
      <c r="J173" s="10">
        <f>G173+1.96*H173</f>
        <v/>
      </c>
      <c r="K173" s="10">
        <f>G173-F173</f>
        <v/>
      </c>
      <c r="L173" s="4">
        <f>IF(AND(F173&gt;=I173,F173&lt;=J173),1,0)</f>
        <v/>
      </c>
    </row>
    <row r="174">
      <c r="A174" s="4" t="inlineStr">
        <is>
          <t>hardness_shoreA</t>
        </is>
      </c>
      <c r="B174" s="4" t="inlineStr">
        <is>
          <t>G203</t>
        </is>
      </c>
      <c r="C174" s="4" t="inlineStr">
        <is>
          <t>US20160319102A1</t>
        </is>
      </c>
      <c r="D174" s="4" t="inlineStr">
        <is>
          <t>Comparative Example 9</t>
        </is>
      </c>
      <c r="E174" s="4" t="inlineStr">
        <is>
          <t>dev(OOF)</t>
        </is>
      </c>
      <c r="F174" s="10" t="n">
        <v>86</v>
      </c>
      <c r="G174" s="10" t="n">
        <v>74.31167715518717</v>
      </c>
      <c r="H174" s="10" t="n">
        <v>3.087241969406011</v>
      </c>
      <c r="I174" s="10">
        <f>G174-1.96*H174</f>
        <v/>
      </c>
      <c r="J174" s="10">
        <f>G174+1.96*H174</f>
        <v/>
      </c>
      <c r="K174" s="10">
        <f>G174-F174</f>
        <v/>
      </c>
      <c r="L174" s="4">
        <f>IF(AND(F174&gt;=I174,F174&lt;=J174),1,0)</f>
        <v/>
      </c>
    </row>
    <row r="175">
      <c r="A175" s="4" t="inlineStr">
        <is>
          <t>hardness_shoreA</t>
        </is>
      </c>
      <c r="B175" s="4" t="inlineStr">
        <is>
          <t>G020</t>
        </is>
      </c>
      <c r="C175" s="4" t="inlineStr">
        <is>
          <t>US7678858B2</t>
        </is>
      </c>
      <c r="D175" s="4" t="inlineStr">
        <is>
          <t>Example 19</t>
        </is>
      </c>
      <c r="E175" s="4" t="inlineStr">
        <is>
          <t>dev(OOF)</t>
        </is>
      </c>
      <c r="F175" s="10" t="n">
        <v>84</v>
      </c>
      <c r="G175" s="10" t="n">
        <v>83.24298180387403</v>
      </c>
      <c r="H175" s="10" t="n">
        <v>4.339693044735945</v>
      </c>
      <c r="I175" s="10">
        <f>G175-1.96*H175</f>
        <v/>
      </c>
      <c r="J175" s="10">
        <f>G175+1.96*H175</f>
        <v/>
      </c>
      <c r="K175" s="10">
        <f>G175-F175</f>
        <v/>
      </c>
      <c r="L175" s="4">
        <f>IF(AND(F175&gt;=I175,F175&lt;=J175),1,0)</f>
        <v/>
      </c>
    </row>
    <row r="176">
      <c r="A176" s="4" t="inlineStr">
        <is>
          <t>hardness_shoreA</t>
        </is>
      </c>
      <c r="B176" s="4" t="inlineStr">
        <is>
          <t>G258</t>
        </is>
      </c>
      <c r="C176" s="4" t="inlineStr">
        <is>
          <t>US12584054B2</t>
        </is>
      </c>
      <c r="D176" s="4" t="inlineStr">
        <is>
          <t>Comparative Example 13</t>
        </is>
      </c>
      <c r="E176" s="4" t="inlineStr">
        <is>
          <t>dev(OOF)</t>
        </is>
      </c>
      <c r="F176" s="10" t="n">
        <v>58</v>
      </c>
      <c r="G176" s="10" t="n">
        <v>58.6992572014881</v>
      </c>
      <c r="H176" s="10" t="n">
        <v>2.154614280849382</v>
      </c>
      <c r="I176" s="10">
        <f>G176-1.96*H176</f>
        <v/>
      </c>
      <c r="J176" s="10">
        <f>G176+1.96*H176</f>
        <v/>
      </c>
      <c r="K176" s="10">
        <f>G176-F176</f>
        <v/>
      </c>
      <c r="L176" s="4">
        <f>IF(AND(F176&gt;=I176,F176&lt;=J176),1,0)</f>
        <v/>
      </c>
    </row>
    <row r="177">
      <c r="A177" s="4" t="inlineStr">
        <is>
          <t>hardness_shoreA</t>
        </is>
      </c>
      <c r="B177" s="4" t="inlineStr">
        <is>
          <t>G083</t>
        </is>
      </c>
      <c r="C177" s="4" t="inlineStr">
        <is>
          <t>US8367776B2</t>
        </is>
      </c>
      <c r="D177" s="4" t="inlineStr">
        <is>
          <t>Example 3</t>
        </is>
      </c>
      <c r="E177" s="4" t="inlineStr">
        <is>
          <t>dev(OOF)</t>
        </is>
      </c>
      <c r="F177" s="10" t="n">
        <v>68</v>
      </c>
      <c r="G177" s="10" t="n">
        <v>64.31997405084495</v>
      </c>
      <c r="H177" s="10" t="n">
        <v>2.894960409961984</v>
      </c>
      <c r="I177" s="10">
        <f>G177-1.96*H177</f>
        <v/>
      </c>
      <c r="J177" s="10">
        <f>G177+1.96*H177</f>
        <v/>
      </c>
      <c r="K177" s="10">
        <f>G177-F177</f>
        <v/>
      </c>
      <c r="L177" s="4">
        <f>IF(AND(F177&gt;=I177,F177&lt;=J177),1,0)</f>
        <v/>
      </c>
    </row>
    <row r="178">
      <c r="A178" s="4" t="inlineStr">
        <is>
          <t>hardness_shoreA</t>
        </is>
      </c>
      <c r="B178" s="4" t="inlineStr">
        <is>
          <t>G170</t>
        </is>
      </c>
      <c r="C178" s="4" t="inlineStr">
        <is>
          <t>US20050107544A1</t>
        </is>
      </c>
      <c r="D178" s="4" t="inlineStr">
        <is>
          <t>Comparative Example B</t>
        </is>
      </c>
      <c r="E178" s="4" t="inlineStr">
        <is>
          <t>dev(OOF)</t>
        </is>
      </c>
      <c r="F178" s="10" t="n">
        <v>64</v>
      </c>
      <c r="G178" s="10" t="n">
        <v>65.95752810343451</v>
      </c>
      <c r="H178" s="10" t="n">
        <v>4.018281701711258</v>
      </c>
      <c r="I178" s="10">
        <f>G178-1.96*H178</f>
        <v/>
      </c>
      <c r="J178" s="10">
        <f>G178+1.96*H178</f>
        <v/>
      </c>
      <c r="K178" s="10">
        <f>G178-F178</f>
        <v/>
      </c>
      <c r="L178" s="4">
        <f>IF(AND(F178&gt;=I178,F178&lt;=J178),1,0)</f>
        <v/>
      </c>
    </row>
    <row r="179">
      <c r="A179" s="4" t="inlineStr">
        <is>
          <t>hardness_shoreA</t>
        </is>
      </c>
      <c r="B179" s="4" t="inlineStr">
        <is>
          <t>G056</t>
        </is>
      </c>
      <c r="C179" s="4" t="inlineStr">
        <is>
          <t>US11753523B2</t>
        </is>
      </c>
      <c r="D179" s="4" t="inlineStr">
        <is>
          <t>Example 4</t>
        </is>
      </c>
      <c r="E179" s="4" t="inlineStr">
        <is>
          <t>dev(OOF)</t>
        </is>
      </c>
      <c r="F179" s="10" t="n">
        <v>75</v>
      </c>
      <c r="G179" s="10" t="n">
        <v>75.77063311865064</v>
      </c>
      <c r="H179" s="10" t="n">
        <v>2.847194584200035</v>
      </c>
      <c r="I179" s="10">
        <f>G179-1.96*H179</f>
        <v/>
      </c>
      <c r="J179" s="10">
        <f>G179+1.96*H179</f>
        <v/>
      </c>
      <c r="K179" s="10">
        <f>G179-F179</f>
        <v/>
      </c>
      <c r="L179" s="4">
        <f>IF(AND(F179&gt;=I179,F179&lt;=J179),1,0)</f>
        <v/>
      </c>
    </row>
    <row r="180">
      <c r="A180" s="4" t="inlineStr">
        <is>
          <t>hardness_shoreA</t>
        </is>
      </c>
      <c r="B180" s="4" t="inlineStr">
        <is>
          <t>G320</t>
        </is>
      </c>
      <c r="C180" s="4" t="inlineStr">
        <is>
          <t>KR101467101B1</t>
        </is>
      </c>
      <c r="D180" s="4" t="inlineStr">
        <is>
          <t>Table 1 compound FFKM A</t>
        </is>
      </c>
      <c r="E180" s="4" t="inlineStr">
        <is>
          <t>dev(OOF)</t>
        </is>
      </c>
      <c r="F180" s="10" t="n">
        <v>73</v>
      </c>
      <c r="G180" s="10" t="n">
        <v>56.76596831178934</v>
      </c>
      <c r="H180" s="10" t="n">
        <v>2.347406072894307</v>
      </c>
      <c r="I180" s="10">
        <f>G180-1.96*H180</f>
        <v/>
      </c>
      <c r="J180" s="10">
        <f>G180+1.96*H180</f>
        <v/>
      </c>
      <c r="K180" s="10">
        <f>G180-F180</f>
        <v/>
      </c>
      <c r="L180" s="4">
        <f>IF(AND(F180&gt;=I180,F180&lt;=J180),1,0)</f>
        <v/>
      </c>
    </row>
    <row r="181">
      <c r="A181" s="4" t="inlineStr">
        <is>
          <t>hardness_shoreA</t>
        </is>
      </c>
      <c r="B181" s="4" t="inlineStr">
        <is>
          <t>G161</t>
        </is>
      </c>
      <c r="C181" s="4" t="inlineStr">
        <is>
          <t>US6956085B2</t>
        </is>
      </c>
      <c r="D181" s="4" t="inlineStr">
        <is>
          <t>Example 4</t>
        </is>
      </c>
      <c r="E181" s="4" t="inlineStr">
        <is>
          <t>dev(OOF)</t>
        </is>
      </c>
      <c r="F181" s="10" t="n">
        <v>75</v>
      </c>
      <c r="G181" s="10" t="n">
        <v>73.99619996914684</v>
      </c>
      <c r="H181" s="10" t="n">
        <v>7.321648135184882</v>
      </c>
      <c r="I181" s="10">
        <f>G181-1.96*H181</f>
        <v/>
      </c>
      <c r="J181" s="10">
        <f>G181+1.96*H181</f>
        <v/>
      </c>
      <c r="K181" s="10">
        <f>G181-F181</f>
        <v/>
      </c>
      <c r="L181" s="4">
        <f>IF(AND(F181&gt;=I181,F181&lt;=J181),1,0)</f>
        <v/>
      </c>
    </row>
    <row r="182">
      <c r="A182" s="4" t="inlineStr">
        <is>
          <t>hardness_shoreA</t>
        </is>
      </c>
      <c r="B182" s="4" t="inlineStr">
        <is>
          <t>G265</t>
        </is>
      </c>
      <c r="C182" s="4" t="inlineStr">
        <is>
          <t>US20230174763A1</t>
        </is>
      </c>
      <c r="D182" s="4" t="inlineStr">
        <is>
          <t>Example 2</t>
        </is>
      </c>
      <c r="E182" s="4" t="inlineStr">
        <is>
          <t>dev(OOF)</t>
        </is>
      </c>
      <c r="F182" s="10" t="n">
        <v>74</v>
      </c>
      <c r="G182" s="10" t="n">
        <v>74.57995920697216</v>
      </c>
      <c r="H182" s="10" t="n">
        <v>4.117290788804314</v>
      </c>
      <c r="I182" s="10">
        <f>G182-1.96*H182</f>
        <v/>
      </c>
      <c r="J182" s="10">
        <f>G182+1.96*H182</f>
        <v/>
      </c>
      <c r="K182" s="10">
        <f>G182-F182</f>
        <v/>
      </c>
      <c r="L182" s="4">
        <f>IF(AND(F182&gt;=I182,F182&lt;=J182),1,0)</f>
        <v/>
      </c>
    </row>
    <row r="183">
      <c r="A183" s="4" t="inlineStr">
        <is>
          <t>hardness_shoreA</t>
        </is>
      </c>
      <c r="B183" s="4" t="inlineStr">
        <is>
          <t>G256</t>
        </is>
      </c>
      <c r="C183" s="4" t="inlineStr">
        <is>
          <t>US12584054B2</t>
        </is>
      </c>
      <c r="D183" s="4" t="inlineStr">
        <is>
          <t>Comparative Example 8</t>
        </is>
      </c>
      <c r="E183" s="4" t="inlineStr">
        <is>
          <t>test</t>
        </is>
      </c>
      <c r="F183" s="10" t="n">
        <v>68</v>
      </c>
      <c r="G183" s="10" t="n">
        <v>66.94628519789572</v>
      </c>
      <c r="H183" s="10" t="n">
        <v>4.194617388875058</v>
      </c>
      <c r="I183" s="10">
        <f>G183-1.96*H183</f>
        <v/>
      </c>
      <c r="J183" s="10">
        <f>G183+1.96*H183</f>
        <v/>
      </c>
      <c r="K183" s="10">
        <f>G183-F183</f>
        <v/>
      </c>
      <c r="L183" s="4">
        <f>IF(AND(F183&gt;=I183,F183&lt;=J183),1,0)</f>
        <v/>
      </c>
    </row>
    <row r="184">
      <c r="A184" s="4" t="inlineStr">
        <is>
          <t>hardness_shoreA</t>
        </is>
      </c>
      <c r="B184" s="4" t="inlineStr">
        <is>
          <t>G059</t>
        </is>
      </c>
      <c r="C184" s="4" t="inlineStr">
        <is>
          <t>US11753523B2</t>
        </is>
      </c>
      <c r="D184" s="4" t="inlineStr">
        <is>
          <t>Comparative Example 2</t>
        </is>
      </c>
      <c r="E184" s="4" t="inlineStr">
        <is>
          <t>test</t>
        </is>
      </c>
      <c r="F184" s="10" t="n">
        <v>71</v>
      </c>
      <c r="G184" s="10" t="n">
        <v>71.62703540778801</v>
      </c>
      <c r="H184" s="10" t="n">
        <v>4.193048910385095</v>
      </c>
      <c r="I184" s="10">
        <f>G184-1.96*H184</f>
        <v/>
      </c>
      <c r="J184" s="10">
        <f>G184+1.96*H184</f>
        <v/>
      </c>
      <c r="K184" s="10">
        <f>G184-F184</f>
        <v/>
      </c>
      <c r="L184" s="4">
        <f>IF(AND(F184&gt;=I184,F184&lt;=J184),1,0)</f>
        <v/>
      </c>
    </row>
    <row r="185">
      <c r="A185" s="4" t="inlineStr">
        <is>
          <t>hardness_shoreA</t>
        </is>
      </c>
      <c r="B185" s="4" t="inlineStr">
        <is>
          <t>G091</t>
        </is>
      </c>
      <c r="C185" s="4" t="inlineStr">
        <is>
          <t>US8367776B2</t>
        </is>
      </c>
      <c r="D185" s="4" t="inlineStr">
        <is>
          <t>Example 9</t>
        </is>
      </c>
      <c r="E185" s="4" t="inlineStr">
        <is>
          <t>test</t>
        </is>
      </c>
      <c r="F185" s="10" t="n">
        <v>66.5</v>
      </c>
      <c r="G185" s="10" t="n">
        <v>64.12529032932356</v>
      </c>
      <c r="H185" s="10" t="n">
        <v>3.164961756156742</v>
      </c>
      <c r="I185" s="10">
        <f>G185-1.96*H185</f>
        <v/>
      </c>
      <c r="J185" s="10">
        <f>G185+1.96*H185</f>
        <v/>
      </c>
      <c r="K185" s="10">
        <f>G185-F185</f>
        <v/>
      </c>
      <c r="L185" s="4">
        <f>IF(AND(F185&gt;=I185,F185&lt;=J185),1,0)</f>
        <v/>
      </c>
    </row>
    <row r="186">
      <c r="A186" s="4" t="inlineStr">
        <is>
          <t>hardness_shoreA</t>
        </is>
      </c>
      <c r="B186" s="4" t="inlineStr">
        <is>
          <t>G196</t>
        </is>
      </c>
      <c r="C186" s="4" t="inlineStr">
        <is>
          <t>US20160319102A1</t>
        </is>
      </c>
      <c r="D186" s="4" t="inlineStr">
        <is>
          <t>Comparative Example 1</t>
        </is>
      </c>
      <c r="E186" s="4" t="inlineStr">
        <is>
          <t>test</t>
        </is>
      </c>
      <c r="F186" s="10" t="n">
        <v>64</v>
      </c>
      <c r="G186" s="10" t="n">
        <v>64.19345753890519</v>
      </c>
      <c r="H186" s="10" t="n">
        <v>3.600957537167241</v>
      </c>
      <c r="I186" s="10">
        <f>G186-1.96*H186</f>
        <v/>
      </c>
      <c r="J186" s="10">
        <f>G186+1.96*H186</f>
        <v/>
      </c>
      <c r="K186" s="10">
        <f>G186-F186</f>
        <v/>
      </c>
      <c r="L186" s="4">
        <f>IF(AND(F186&gt;=I186,F186&lt;=J186),1,0)</f>
        <v/>
      </c>
    </row>
    <row r="187">
      <c r="A187" s="4" t="inlineStr">
        <is>
          <t>hardness_shoreA</t>
        </is>
      </c>
      <c r="B187" s="4" t="inlineStr">
        <is>
          <t>G250</t>
        </is>
      </c>
      <c r="C187" s="4" t="inlineStr">
        <is>
          <t>US12584054B2</t>
        </is>
      </c>
      <c r="D187" s="4" t="inlineStr">
        <is>
          <t>Comparative Example 2</t>
        </is>
      </c>
      <c r="E187" s="4" t="inlineStr">
        <is>
          <t>test</t>
        </is>
      </c>
      <c r="F187" s="10" t="n">
        <v>55</v>
      </c>
      <c r="G187" s="10" t="n">
        <v>56.55598354069312</v>
      </c>
      <c r="H187" s="10" t="n">
        <v>2.866598947995989</v>
      </c>
      <c r="I187" s="10">
        <f>G187-1.96*H187</f>
        <v/>
      </c>
      <c r="J187" s="10">
        <f>G187+1.96*H187</f>
        <v/>
      </c>
      <c r="K187" s="10">
        <f>G187-F187</f>
        <v/>
      </c>
      <c r="L187" s="4">
        <f>IF(AND(F187&gt;=I187,F187&lt;=J187),1,0)</f>
        <v/>
      </c>
    </row>
    <row r="188">
      <c r="A188" s="4" t="inlineStr">
        <is>
          <t>hardness_shoreA</t>
        </is>
      </c>
      <c r="B188" s="4" t="inlineStr">
        <is>
          <t>G055</t>
        </is>
      </c>
      <c r="C188" s="4" t="inlineStr">
        <is>
          <t>US11753523B2</t>
        </is>
      </c>
      <c r="D188" s="4" t="inlineStr">
        <is>
          <t>Example 3</t>
        </is>
      </c>
      <c r="E188" s="4" t="inlineStr">
        <is>
          <t>test</t>
        </is>
      </c>
      <c r="F188" s="10" t="n">
        <v>75</v>
      </c>
      <c r="G188" s="10" t="n">
        <v>75.25505299811643</v>
      </c>
      <c r="H188" s="10" t="n">
        <v>4.457853603473055</v>
      </c>
      <c r="I188" s="10">
        <f>G188-1.96*H188</f>
        <v/>
      </c>
      <c r="J188" s="10">
        <f>G188+1.96*H188</f>
        <v/>
      </c>
      <c r="K188" s="10">
        <f>G188-F188</f>
        <v/>
      </c>
      <c r="L188" s="4">
        <f>IF(AND(F188&gt;=I188,F188&lt;=J188),1,0)</f>
        <v/>
      </c>
    </row>
    <row r="189">
      <c r="A189" s="4" t="inlineStr">
        <is>
          <t>hardness_shoreA</t>
        </is>
      </c>
      <c r="B189" s="4" t="inlineStr">
        <is>
          <t>G063</t>
        </is>
      </c>
      <c r="C189" s="4" t="inlineStr">
        <is>
          <t>US11753523B2</t>
        </is>
      </c>
      <c r="D189" s="4" t="inlineStr">
        <is>
          <t>Comparative Example 6</t>
        </is>
      </c>
      <c r="E189" s="4" t="inlineStr">
        <is>
          <t>test</t>
        </is>
      </c>
      <c r="F189" s="10" t="n">
        <v>74</v>
      </c>
      <c r="G189" s="10" t="n">
        <v>75.25505299811643</v>
      </c>
      <c r="H189" s="10" t="n">
        <v>4.457853603473055</v>
      </c>
      <c r="I189" s="10">
        <f>G189-1.96*H189</f>
        <v/>
      </c>
      <c r="J189" s="10">
        <f>G189+1.96*H189</f>
        <v/>
      </c>
      <c r="K189" s="10">
        <f>G189-F189</f>
        <v/>
      </c>
      <c r="L189" s="4">
        <f>IF(AND(F189&gt;=I189,F189&lt;=J189),1,0)</f>
        <v/>
      </c>
    </row>
    <row r="190">
      <c r="A190" s="4" t="inlineStr">
        <is>
          <t>hardness_shoreA</t>
        </is>
      </c>
      <c r="B190" s="4" t="inlineStr">
        <is>
          <t>G074</t>
        </is>
      </c>
      <c r="C190" s="4" t="inlineStr">
        <is>
          <t>US12091537B2</t>
        </is>
      </c>
      <c r="D190" s="4" t="inlineStr">
        <is>
          <t>Example 1</t>
        </is>
      </c>
      <c r="E190" s="4" t="inlineStr">
        <is>
          <t>test</t>
        </is>
      </c>
      <c r="F190" s="10" t="n">
        <v>79</v>
      </c>
      <c r="G190" s="10" t="n">
        <v>78.06721510968957</v>
      </c>
      <c r="H190" s="10" t="n">
        <v>3.902667746570079</v>
      </c>
      <c r="I190" s="10">
        <f>G190-1.96*H190</f>
        <v/>
      </c>
      <c r="J190" s="10">
        <f>G190+1.96*H190</f>
        <v/>
      </c>
      <c r="K190" s="10">
        <f>G190-F190</f>
        <v/>
      </c>
      <c r="L190" s="4">
        <f>IF(AND(F190&gt;=I190,F190&lt;=J190),1,0)</f>
        <v/>
      </c>
    </row>
    <row r="191">
      <c r="A191" s="4" t="inlineStr">
        <is>
          <t>hardness_shoreA</t>
        </is>
      </c>
      <c r="B191" s="4" t="inlineStr">
        <is>
          <t>G121</t>
        </is>
      </c>
      <c r="C191" s="4" t="inlineStr">
        <is>
          <t>US5696189A</t>
        </is>
      </c>
      <c r="D191" s="4" t="inlineStr">
        <is>
          <t>Example 4</t>
        </is>
      </c>
      <c r="E191" s="4" t="inlineStr">
        <is>
          <t>test</t>
        </is>
      </c>
      <c r="F191" s="10" t="n">
        <v>79</v>
      </c>
      <c r="G191" s="10" t="n">
        <v>75.35119898630992</v>
      </c>
      <c r="H191" s="10" t="n">
        <v>7.770531123658413</v>
      </c>
      <c r="I191" s="10">
        <f>G191-1.96*H191</f>
        <v/>
      </c>
      <c r="J191" s="10">
        <f>G191+1.96*H191</f>
        <v/>
      </c>
      <c r="K191" s="10">
        <f>G191-F191</f>
        <v/>
      </c>
      <c r="L191" s="4">
        <f>IF(AND(F191&gt;=I191,F191&lt;=J191),1,0)</f>
        <v/>
      </c>
    </row>
    <row r="192">
      <c r="A192" s="4" t="inlineStr">
        <is>
          <t>hardness_shoreA</t>
        </is>
      </c>
      <c r="B192" s="4" t="inlineStr">
        <is>
          <t>G050</t>
        </is>
      </c>
      <c r="C192" s="4" t="inlineStr">
        <is>
          <t>US8211964B2</t>
        </is>
      </c>
      <c r="D192" s="4" t="inlineStr">
        <is>
          <t>Comparative Example 2</t>
        </is>
      </c>
      <c r="E192" s="4" t="inlineStr">
        <is>
          <t>test</t>
        </is>
      </c>
      <c r="F192" s="10" t="n">
        <v>75</v>
      </c>
      <c r="G192" s="10" t="n">
        <v>75.09664977933973</v>
      </c>
      <c r="H192" s="10" t="n">
        <v>6.300379731431155</v>
      </c>
      <c r="I192" s="10">
        <f>G192-1.96*H192</f>
        <v/>
      </c>
      <c r="J192" s="10">
        <f>G192+1.96*H192</f>
        <v/>
      </c>
      <c r="K192" s="10">
        <f>G192-F192</f>
        <v/>
      </c>
      <c r="L192" s="4">
        <f>IF(AND(F192&gt;=I192,F192&lt;=J192),1,0)</f>
        <v/>
      </c>
    </row>
    <row r="193">
      <c r="A193" s="4" t="inlineStr">
        <is>
          <t>hardness_shoreA</t>
        </is>
      </c>
      <c r="B193" s="4" t="inlineStr">
        <is>
          <t>G094</t>
        </is>
      </c>
      <c r="C193" s="4" t="inlineStr">
        <is>
          <t>US8367776B2</t>
        </is>
      </c>
      <c r="D193" s="4" t="inlineStr">
        <is>
          <t>Example 12</t>
        </is>
      </c>
      <c r="E193" s="4" t="inlineStr">
        <is>
          <t>test</t>
        </is>
      </c>
      <c r="F193" s="10" t="n">
        <v>62.5</v>
      </c>
      <c r="G193" s="10" t="n">
        <v>64.12529032932356</v>
      </c>
      <c r="H193" s="10" t="n">
        <v>3.164961756156742</v>
      </c>
      <c r="I193" s="10">
        <f>G193-1.96*H193</f>
        <v/>
      </c>
      <c r="J193" s="10">
        <f>G193+1.96*H193</f>
        <v/>
      </c>
      <c r="K193" s="10">
        <f>G193-F193</f>
        <v/>
      </c>
      <c r="L193" s="4">
        <f>IF(AND(F193&gt;=I193,F193&lt;=J193),1,0)</f>
        <v/>
      </c>
    </row>
    <row r="194">
      <c r="A194" s="4" t="inlineStr">
        <is>
          <t>hardness_shoreA</t>
        </is>
      </c>
      <c r="B194" s="4" t="inlineStr">
        <is>
          <t>G318</t>
        </is>
      </c>
      <c r="C194" s="4" t="inlineStr">
        <is>
          <t>KR102400335B1</t>
        </is>
      </c>
      <c r="D194" s="4" t="inlineStr">
        <is>
          <t>Example 4</t>
        </is>
      </c>
      <c r="E194" s="4" t="inlineStr">
        <is>
          <t>test</t>
        </is>
      </c>
      <c r="F194" s="10" t="n">
        <v>75</v>
      </c>
      <c r="G194" s="10" t="n">
        <v>72.19937119562701</v>
      </c>
      <c r="H194" s="10" t="n">
        <v>7.418438694660519</v>
      </c>
      <c r="I194" s="10">
        <f>G194-1.96*H194</f>
        <v/>
      </c>
      <c r="J194" s="10">
        <f>G194+1.96*H194</f>
        <v/>
      </c>
      <c r="K194" s="10">
        <f>G194-F194</f>
        <v/>
      </c>
      <c r="L194" s="4">
        <f>IF(AND(F194&gt;=I194,F194&lt;=J194),1,0)</f>
        <v/>
      </c>
    </row>
    <row r="195">
      <c r="A195" s="4" t="inlineStr">
        <is>
          <t>hardness_shoreA</t>
        </is>
      </c>
      <c r="B195" s="4" t="inlineStr">
        <is>
          <t>G071</t>
        </is>
      </c>
      <c r="C195" s="4" t="inlineStr">
        <is>
          <t>US11072700B2</t>
        </is>
      </c>
      <c r="D195" s="4" t="inlineStr">
        <is>
          <t>Comparative Example 2</t>
        </is>
      </c>
      <c r="E195" s="4" t="inlineStr">
        <is>
          <t>test</t>
        </is>
      </c>
      <c r="F195" s="10" t="n">
        <v>60</v>
      </c>
      <c r="G195" s="10" t="n">
        <v>64.80017161641483</v>
      </c>
      <c r="H195" s="10" t="n">
        <v>3.274766662403788</v>
      </c>
      <c r="I195" s="10">
        <f>G195-1.96*H195</f>
        <v/>
      </c>
      <c r="J195" s="10">
        <f>G195+1.96*H195</f>
        <v/>
      </c>
      <c r="K195" s="10">
        <f>G195-F195</f>
        <v/>
      </c>
      <c r="L195" s="4">
        <f>IF(AND(F195&gt;=I195,F195&lt;=J195),1,0)</f>
        <v/>
      </c>
    </row>
    <row r="196">
      <c r="A196" s="4" t="inlineStr">
        <is>
          <t>hardness_shoreA</t>
        </is>
      </c>
      <c r="B196" s="4" t="inlineStr">
        <is>
          <t>G165</t>
        </is>
      </c>
      <c r="C196" s="4" t="inlineStr">
        <is>
          <t>US20050107544A1</t>
        </is>
      </c>
      <c r="D196" s="4" t="inlineStr">
        <is>
          <t>Sample 2</t>
        </is>
      </c>
      <c r="E196" s="4" t="inlineStr">
        <is>
          <t>test</t>
        </is>
      </c>
      <c r="F196" s="10" t="n">
        <v>66</v>
      </c>
      <c r="G196" s="10" t="n">
        <v>64.78886578297431</v>
      </c>
      <c r="H196" s="10" t="n">
        <v>3.448918868341903</v>
      </c>
      <c r="I196" s="10">
        <f>G196-1.96*H196</f>
        <v/>
      </c>
      <c r="J196" s="10">
        <f>G196+1.96*H196</f>
        <v/>
      </c>
      <c r="K196" s="10">
        <f>G196-F196</f>
        <v/>
      </c>
      <c r="L196" s="4">
        <f>IF(AND(F196&gt;=I196,F196&lt;=J196),1,0)</f>
        <v/>
      </c>
    </row>
    <row r="197">
      <c r="A197" s="4" t="inlineStr">
        <is>
          <t>hardness_shoreA</t>
        </is>
      </c>
      <c r="B197" s="4" t="inlineStr">
        <is>
          <t>G098</t>
        </is>
      </c>
      <c r="C197" s="4" t="inlineStr">
        <is>
          <t>US7354974B2</t>
        </is>
      </c>
      <c r="D197" s="4" t="inlineStr">
        <is>
          <t>Example 2</t>
        </is>
      </c>
      <c r="E197" s="4" t="inlineStr">
        <is>
          <t>test</t>
        </is>
      </c>
      <c r="F197" s="10" t="n">
        <v>77</v>
      </c>
      <c r="G197" s="10" t="n">
        <v>78.22822389367101</v>
      </c>
      <c r="H197" s="10" t="n">
        <v>4.271865806884518</v>
      </c>
      <c r="I197" s="10">
        <f>G197-1.96*H197</f>
        <v/>
      </c>
      <c r="J197" s="10">
        <f>G197+1.96*H197</f>
        <v/>
      </c>
      <c r="K197" s="10">
        <f>G197-F197</f>
        <v/>
      </c>
      <c r="L197" s="4">
        <f>IF(AND(F197&gt;=I197,F197&lt;=J197),1,0)</f>
        <v/>
      </c>
    </row>
    <row r="198">
      <c r="A198" s="4" t="inlineStr">
        <is>
          <t>hardness_shoreA</t>
        </is>
      </c>
      <c r="B198" s="4" t="inlineStr">
        <is>
          <t>G305</t>
        </is>
      </c>
      <c r="C198" s="4" t="inlineStr">
        <is>
          <t>EP4249550A1</t>
        </is>
      </c>
      <c r="D198" s="4" t="inlineStr">
        <is>
          <t>Comparative Example 4</t>
        </is>
      </c>
      <c r="E198" s="4" t="inlineStr">
        <is>
          <t>test</t>
        </is>
      </c>
      <c r="F198" s="10" t="n">
        <v>62</v>
      </c>
      <c r="G198" s="10" t="n">
        <v>63.64290635532511</v>
      </c>
      <c r="H198" s="10" t="n">
        <v>3.26392773953355</v>
      </c>
      <c r="I198" s="10">
        <f>G198-1.96*H198</f>
        <v/>
      </c>
      <c r="J198" s="10">
        <f>G198+1.96*H198</f>
        <v/>
      </c>
      <c r="K198" s="10">
        <f>G198-F198</f>
        <v/>
      </c>
      <c r="L198" s="4">
        <f>IF(AND(F198&gt;=I198,F198&lt;=J198),1,0)</f>
        <v/>
      </c>
    </row>
    <row r="199">
      <c r="A199" s="4" t="inlineStr">
        <is>
          <t>hardness_shoreA</t>
        </is>
      </c>
      <c r="B199" s="4" t="inlineStr">
        <is>
          <t>G244</t>
        </is>
      </c>
      <c r="C199" s="4" t="inlineStr">
        <is>
          <t>US12584054B2</t>
        </is>
      </c>
      <c r="D199" s="4" t="inlineStr">
        <is>
          <t>Example 1</t>
        </is>
      </c>
      <c r="E199" s="4" t="inlineStr">
        <is>
          <t>test</t>
        </is>
      </c>
      <c r="F199" s="10" t="n">
        <v>51</v>
      </c>
      <c r="G199" s="10" t="n">
        <v>55.58960629640342</v>
      </c>
      <c r="H199" s="10" t="n">
        <v>4.409930068507932</v>
      </c>
      <c r="I199" s="10">
        <f>G199-1.96*H199</f>
        <v/>
      </c>
      <c r="J199" s="10">
        <f>G199+1.96*H199</f>
        <v/>
      </c>
      <c r="K199" s="10">
        <f>G199-F199</f>
        <v/>
      </c>
      <c r="L199" s="4">
        <f>IF(AND(F199&gt;=I199,F199&lt;=J199),1,0)</f>
        <v/>
      </c>
    </row>
    <row r="200">
      <c r="A200" s="4" t="inlineStr">
        <is>
          <t>hardness_shoreA</t>
        </is>
      </c>
      <c r="B200" s="4" t="inlineStr">
        <is>
          <t>G248</t>
        </is>
      </c>
      <c r="C200" s="4" t="inlineStr">
        <is>
          <t>US12584054B2</t>
        </is>
      </c>
      <c r="D200" s="4" t="inlineStr">
        <is>
          <t>Example 5</t>
        </is>
      </c>
      <c r="E200" s="4" t="inlineStr">
        <is>
          <t>test</t>
        </is>
      </c>
      <c r="F200" s="10" t="n">
        <v>58</v>
      </c>
      <c r="G200" s="10" t="n">
        <v>58.15965283625379</v>
      </c>
      <c r="H200" s="10" t="n">
        <v>2.936621169058439</v>
      </c>
      <c r="I200" s="10">
        <f>G200-1.96*H200</f>
        <v/>
      </c>
      <c r="J200" s="10">
        <f>G200+1.96*H200</f>
        <v/>
      </c>
      <c r="K200" s="10">
        <f>G200-F200</f>
        <v/>
      </c>
      <c r="L200" s="4">
        <f>IF(AND(F200&gt;=I200,F200&lt;=J200),1,0)</f>
        <v/>
      </c>
    </row>
    <row r="201">
      <c r="A201" s="4" t="inlineStr">
        <is>
          <t>hardness_shoreA</t>
        </is>
      </c>
      <c r="B201" s="4" t="inlineStr">
        <is>
          <t>G015</t>
        </is>
      </c>
      <c r="C201" s="4" t="inlineStr">
        <is>
          <t>US7678858B2</t>
        </is>
      </c>
      <c r="D201" s="4" t="inlineStr">
        <is>
          <t>Example 14</t>
        </is>
      </c>
      <c r="E201" s="4" t="inlineStr">
        <is>
          <t>test</t>
        </is>
      </c>
      <c r="F201" s="10" t="n">
        <v>78</v>
      </c>
      <c r="G201" s="10" t="n">
        <v>79.049315061703</v>
      </c>
      <c r="H201" s="10" t="n">
        <v>3.857111767399709</v>
      </c>
      <c r="I201" s="10">
        <f>G201-1.96*H201</f>
        <v/>
      </c>
      <c r="J201" s="10">
        <f>G201+1.96*H201</f>
        <v/>
      </c>
      <c r="K201" s="10">
        <f>G201-F201</f>
        <v/>
      </c>
      <c r="L201" s="4">
        <f>IF(AND(F201&gt;=I201,F201&lt;=J201),1,0)</f>
        <v/>
      </c>
    </row>
    <row r="202">
      <c r="A202" s="4" t="inlineStr">
        <is>
          <t>hardness_shoreA</t>
        </is>
      </c>
      <c r="B202" s="4" t="inlineStr">
        <is>
          <t>G167</t>
        </is>
      </c>
      <c r="C202" s="4" t="inlineStr">
        <is>
          <t>US20050107544A1</t>
        </is>
      </c>
      <c r="D202" s="4" t="inlineStr">
        <is>
          <t>Sample 4</t>
        </is>
      </c>
      <c r="E202" s="4" t="inlineStr">
        <is>
          <t>test</t>
        </is>
      </c>
      <c r="F202" s="10" t="n">
        <v>70</v>
      </c>
      <c r="G202" s="10" t="n">
        <v>69.59311188896854</v>
      </c>
      <c r="H202" s="10" t="n">
        <v>4.044897472300602</v>
      </c>
      <c r="I202" s="10">
        <f>G202-1.96*H202</f>
        <v/>
      </c>
      <c r="J202" s="10">
        <f>G202+1.96*H202</f>
        <v/>
      </c>
      <c r="K202" s="10">
        <f>G202-F202</f>
        <v/>
      </c>
      <c r="L202" s="4">
        <f>IF(AND(F202&gt;=I202,F202&lt;=J202),1,0)</f>
        <v/>
      </c>
    </row>
    <row r="203">
      <c r="A203" s="4" t="inlineStr">
        <is>
          <t>hardness_shoreA</t>
        </is>
      </c>
      <c r="B203" s="4" t="inlineStr">
        <is>
          <t>G017</t>
        </is>
      </c>
      <c r="C203" s="4" t="inlineStr">
        <is>
          <t>US7678858B2</t>
        </is>
      </c>
      <c r="D203" s="4" t="inlineStr">
        <is>
          <t>Example 16</t>
        </is>
      </c>
      <c r="E203" s="4" t="inlineStr">
        <is>
          <t>test</t>
        </is>
      </c>
      <c r="F203" s="10" t="n">
        <v>82</v>
      </c>
      <c r="G203" s="10" t="n">
        <v>80.89703231725497</v>
      </c>
      <c r="H203" s="10" t="n">
        <v>3.991119120862992</v>
      </c>
      <c r="I203" s="10">
        <f>G203-1.96*H203</f>
        <v/>
      </c>
      <c r="J203" s="10">
        <f>G203+1.96*H203</f>
        <v/>
      </c>
      <c r="K203" s="10">
        <f>G203-F203</f>
        <v/>
      </c>
      <c r="L203" s="4">
        <f>IF(AND(F203&gt;=I203,F203&lt;=J203),1,0)</f>
        <v/>
      </c>
    </row>
    <row r="204">
      <c r="A204" s="4" t="inlineStr">
        <is>
          <t>hardness_shoreA</t>
        </is>
      </c>
      <c r="B204" s="4" t="inlineStr">
        <is>
          <t>G068</t>
        </is>
      </c>
      <c r="C204" s="4" t="inlineStr">
        <is>
          <t>US11072700B2</t>
        </is>
      </c>
      <c r="D204" s="4" t="inlineStr">
        <is>
          <t>Example 1</t>
        </is>
      </c>
      <c r="E204" s="4" t="inlineStr">
        <is>
          <t>test</t>
        </is>
      </c>
      <c r="F204" s="10" t="n">
        <v>58</v>
      </c>
      <c r="G204" s="10" t="n">
        <v>64.65375794046518</v>
      </c>
      <c r="H204" s="10" t="n">
        <v>3.232592726638669</v>
      </c>
      <c r="I204" s="10">
        <f>G204-1.96*H204</f>
        <v/>
      </c>
      <c r="J204" s="10">
        <f>G204+1.96*H204</f>
        <v/>
      </c>
      <c r="K204" s="10">
        <f>G204-F204</f>
        <v/>
      </c>
      <c r="L204" s="4">
        <f>IF(AND(F204&gt;=I204,F204&lt;=J204),1,0)</f>
        <v/>
      </c>
    </row>
    <row r="205">
      <c r="A205" s="4" t="inlineStr">
        <is>
          <t>hardness_shoreA</t>
        </is>
      </c>
      <c r="B205" s="4" t="inlineStr">
        <is>
          <t>G014</t>
        </is>
      </c>
      <c r="C205" s="4" t="inlineStr">
        <is>
          <t>US7678858B2</t>
        </is>
      </c>
      <c r="D205" s="4" t="inlineStr">
        <is>
          <t>Example 13</t>
        </is>
      </c>
      <c r="E205" s="4" t="inlineStr">
        <is>
          <t>test</t>
        </is>
      </c>
      <c r="F205" s="10" t="n">
        <v>83</v>
      </c>
      <c r="G205" s="10" t="n">
        <v>80.80608763791605</v>
      </c>
      <c r="H205" s="10" t="n">
        <v>3.989489426558674</v>
      </c>
      <c r="I205" s="10">
        <f>G205-1.96*H205</f>
        <v/>
      </c>
      <c r="J205" s="10">
        <f>G205+1.96*H205</f>
        <v/>
      </c>
      <c r="K205" s="10">
        <f>G205-F205</f>
        <v/>
      </c>
      <c r="L205" s="4">
        <f>IF(AND(F205&gt;=I205,F205&lt;=J205),1,0)</f>
        <v/>
      </c>
    </row>
    <row r="206">
      <c r="A206" s="4" t="inlineStr">
        <is>
          <t>hardness_shoreA</t>
        </is>
      </c>
      <c r="B206" s="4" t="inlineStr">
        <is>
          <t>G251</t>
        </is>
      </c>
      <c r="C206" s="4" t="inlineStr">
        <is>
          <t>US12584054B2</t>
        </is>
      </c>
      <c r="D206" s="4" t="inlineStr">
        <is>
          <t>Comparative Example 3</t>
        </is>
      </c>
      <c r="E206" s="4" t="inlineStr">
        <is>
          <t>test</t>
        </is>
      </c>
      <c r="F206" s="10" t="n">
        <v>68</v>
      </c>
      <c r="G206" s="10" t="n">
        <v>67.07725352287902</v>
      </c>
      <c r="H206" s="10" t="n">
        <v>4.158165182618535</v>
      </c>
      <c r="I206" s="10">
        <f>G206-1.96*H206</f>
        <v/>
      </c>
      <c r="J206" s="10">
        <f>G206+1.96*H206</f>
        <v/>
      </c>
      <c r="K206" s="10">
        <f>G206-F206</f>
        <v/>
      </c>
      <c r="L206" s="4">
        <f>IF(AND(F206&gt;=I206,F206&lt;=J206),1,0)</f>
        <v/>
      </c>
    </row>
    <row r="207">
      <c r="A207" s="4" t="inlineStr">
        <is>
          <t>hardness_shoreA</t>
        </is>
      </c>
      <c r="B207" s="4" t="inlineStr">
        <is>
          <t>G309</t>
        </is>
      </c>
      <c r="C207" s="4" t="inlineStr">
        <is>
          <t>EP4249550A1</t>
        </is>
      </c>
      <c r="D207" s="4" t="inlineStr">
        <is>
          <t>Example 9</t>
        </is>
      </c>
      <c r="E207" s="4" t="inlineStr">
        <is>
          <t>test</t>
        </is>
      </c>
      <c r="F207" s="10" t="n">
        <v>57</v>
      </c>
      <c r="G207" s="10" t="n">
        <v>57.11119955058025</v>
      </c>
      <c r="H207" s="10" t="n">
        <v>3.051855471463186</v>
      </c>
      <c r="I207" s="10">
        <f>G207-1.96*H207</f>
        <v/>
      </c>
      <c r="J207" s="10">
        <f>G207+1.96*H207</f>
        <v/>
      </c>
      <c r="K207" s="10">
        <f>G207-F207</f>
        <v/>
      </c>
      <c r="L207" s="4">
        <f>IF(AND(F207&gt;=I207,F207&lt;=J207),1,0)</f>
        <v/>
      </c>
    </row>
    <row r="208">
      <c r="A208" s="4" t="inlineStr">
        <is>
          <t>hardness_shoreA</t>
        </is>
      </c>
      <c r="B208" s="4" t="inlineStr">
        <is>
          <t>G036</t>
        </is>
      </c>
      <c r="C208" s="4" t="inlineStr">
        <is>
          <t>US8173727B2</t>
        </is>
      </c>
      <c r="D208" s="4" t="inlineStr">
        <is>
          <t>Example 8</t>
        </is>
      </c>
      <c r="E208" s="4" t="inlineStr">
        <is>
          <t>test</t>
        </is>
      </c>
      <c r="F208" s="10" t="n">
        <v>65</v>
      </c>
      <c r="G208" s="10" t="n">
        <v>60.40973956227594</v>
      </c>
      <c r="H208" s="10" t="n">
        <v>6.082806514457048</v>
      </c>
      <c r="I208" s="10">
        <f>G208-1.96*H208</f>
        <v/>
      </c>
      <c r="J208" s="10">
        <f>G208+1.96*H208</f>
        <v/>
      </c>
      <c r="K208" s="10">
        <f>G208-F208</f>
        <v/>
      </c>
      <c r="L208" s="4">
        <f>IF(AND(F208&gt;=I208,F208&lt;=J208),1,0)</f>
        <v/>
      </c>
    </row>
    <row r="209">
      <c r="A209" s="4" t="inlineStr">
        <is>
          <t>hardness_shoreA</t>
        </is>
      </c>
      <c r="B209" s="4" t="inlineStr">
        <is>
          <t>G018</t>
        </is>
      </c>
      <c r="C209" s="4" t="inlineStr">
        <is>
          <t>US7678858B2</t>
        </is>
      </c>
      <c r="D209" s="4" t="inlineStr">
        <is>
          <t>Example 17</t>
        </is>
      </c>
      <c r="E209" s="4" t="inlineStr">
        <is>
          <t>test</t>
        </is>
      </c>
      <c r="F209" s="10" t="n">
        <v>81</v>
      </c>
      <c r="G209" s="10" t="n">
        <v>81.24457393552169</v>
      </c>
      <c r="H209" s="10" t="n">
        <v>4.008537385708681</v>
      </c>
      <c r="I209" s="10">
        <f>G209-1.96*H209</f>
        <v/>
      </c>
      <c r="J209" s="10">
        <f>G209+1.96*H209</f>
        <v/>
      </c>
      <c r="K209" s="10">
        <f>G209-F209</f>
        <v/>
      </c>
      <c r="L209" s="4">
        <f>IF(AND(F209&gt;=I209,F209&lt;=J209),1,0)</f>
        <v/>
      </c>
    </row>
    <row r="210">
      <c r="A210" s="4" t="inlineStr">
        <is>
          <t>hardness_shoreA</t>
        </is>
      </c>
      <c r="B210" s="4" t="inlineStr">
        <is>
          <t>G120</t>
        </is>
      </c>
      <c r="C210" s="4" t="inlineStr">
        <is>
          <t>US5696189A</t>
        </is>
      </c>
      <c r="D210" s="4" t="inlineStr">
        <is>
          <t>Example 3</t>
        </is>
      </c>
      <c r="E210" s="4" t="inlineStr">
        <is>
          <t>test</t>
        </is>
      </c>
      <c r="F210" s="10" t="n">
        <v>75</v>
      </c>
      <c r="G210" s="10" t="n">
        <v>74.55928002576269</v>
      </c>
      <c r="H210" s="10" t="n">
        <v>4.784750865231628</v>
      </c>
      <c r="I210" s="10">
        <f>G210-1.96*H210</f>
        <v/>
      </c>
      <c r="J210" s="10">
        <f>G210+1.96*H210</f>
        <v/>
      </c>
      <c r="K210" s="10">
        <f>G210-F210</f>
        <v/>
      </c>
      <c r="L210" s="4">
        <f>IF(AND(F210&gt;=I210,F210&lt;=J210),1,0)</f>
        <v/>
      </c>
    </row>
    <row r="211">
      <c r="A211" s="4" t="inlineStr">
        <is>
          <t>hardness_shoreA</t>
        </is>
      </c>
      <c r="B211" s="4" t="inlineStr">
        <is>
          <t>G011</t>
        </is>
      </c>
      <c r="C211" s="4" t="inlineStr">
        <is>
          <t>US7678858B2</t>
        </is>
      </c>
      <c r="D211" s="4" t="inlineStr">
        <is>
          <t>Example 10</t>
        </is>
      </c>
      <c r="E211" s="4" t="inlineStr">
        <is>
          <t>test</t>
        </is>
      </c>
      <c r="F211" s="10" t="n">
        <v>82</v>
      </c>
      <c r="G211" s="10" t="n">
        <v>80.53819514783906</v>
      </c>
      <c r="H211" s="10" t="n">
        <v>3.985244880571157</v>
      </c>
      <c r="I211" s="10">
        <f>G211-1.96*H211</f>
        <v/>
      </c>
      <c r="J211" s="10">
        <f>G211+1.96*H211</f>
        <v/>
      </c>
      <c r="K211" s="10">
        <f>G211-F211</f>
        <v/>
      </c>
      <c r="L211" s="4">
        <f>IF(AND(F211&gt;=I211,F211&lt;=J211),1,0)</f>
        <v/>
      </c>
    </row>
    <row r="212">
      <c r="A212" s="4" t="inlineStr">
        <is>
          <t>hardness_shoreA</t>
        </is>
      </c>
      <c r="B212" s="4" t="inlineStr">
        <is>
          <t>G254</t>
        </is>
      </c>
      <c r="C212" s="4" t="inlineStr">
        <is>
          <t>US12584054B2</t>
        </is>
      </c>
      <c r="D212" s="4" t="inlineStr">
        <is>
          <t>Comparative Example 6</t>
        </is>
      </c>
      <c r="E212" s="4" t="inlineStr">
        <is>
          <t>test</t>
        </is>
      </c>
      <c r="F212" s="10" t="n">
        <v>59</v>
      </c>
      <c r="G212" s="10" t="n">
        <v>58.15965283625379</v>
      </c>
      <c r="H212" s="10" t="n">
        <v>2.936621169058439</v>
      </c>
      <c r="I212" s="10">
        <f>G212-1.96*H212</f>
        <v/>
      </c>
      <c r="J212" s="10">
        <f>G212+1.96*H212</f>
        <v/>
      </c>
      <c r="K212" s="10">
        <f>G212-F212</f>
        <v/>
      </c>
      <c r="L212" s="4">
        <f>IF(AND(F212&gt;=I212,F212&lt;=J212),1,0)</f>
        <v/>
      </c>
    </row>
    <row r="213">
      <c r="A213" s="4" t="inlineStr">
        <is>
          <t>hardness_shoreA</t>
        </is>
      </c>
      <c r="B213" s="4" t="inlineStr">
        <is>
          <t>G329</t>
        </is>
      </c>
      <c r="C213" s="4" t="inlineStr">
        <is>
          <t>KR101467101B1</t>
        </is>
      </c>
      <c r="D213" s="4" t="inlineStr">
        <is>
          <t>Comparative Example 1 (Table 3 sample 3)</t>
        </is>
      </c>
      <c r="E213" s="4" t="inlineStr">
        <is>
          <t>test</t>
        </is>
      </c>
      <c r="F213" s="10" t="n">
        <v>67</v>
      </c>
      <c r="G213" s="10" t="n">
        <v>68.11971972022194</v>
      </c>
      <c r="H213" s="10" t="n">
        <v>3.913230276499993</v>
      </c>
      <c r="I213" s="10">
        <f>G213-1.96*H213</f>
        <v/>
      </c>
      <c r="J213" s="10">
        <f>G213+1.96*H213</f>
        <v/>
      </c>
      <c r="K213" s="10">
        <f>G213-F213</f>
        <v/>
      </c>
      <c r="L213" s="4">
        <f>IF(AND(F213&gt;=I213,F213&lt;=J213),1,0)</f>
        <v/>
      </c>
    </row>
    <row r="214">
      <c r="A214" s="4" t="inlineStr">
        <is>
          <t>hardness_shoreA</t>
        </is>
      </c>
      <c r="B214" s="4" t="inlineStr">
        <is>
          <t>G090</t>
        </is>
      </c>
      <c r="C214" s="4" t="inlineStr">
        <is>
          <t>US8367776B2</t>
        </is>
      </c>
      <c r="D214" s="4" t="inlineStr">
        <is>
          <t>Example 8</t>
        </is>
      </c>
      <c r="E214" s="4" t="inlineStr">
        <is>
          <t>test</t>
        </is>
      </c>
      <c r="F214" s="10" t="n">
        <v>65.5</v>
      </c>
      <c r="G214" s="10" t="n">
        <v>63.36161000534359</v>
      </c>
      <c r="H214" s="10" t="n">
        <v>3.123323886763612</v>
      </c>
      <c r="I214" s="10">
        <f>G214-1.96*H214</f>
        <v/>
      </c>
      <c r="J214" s="10">
        <f>G214+1.96*H214</f>
        <v/>
      </c>
      <c r="K214" s="10">
        <f>G214-F214</f>
        <v/>
      </c>
      <c r="L214" s="4">
        <f>IF(AND(F214&gt;=I214,F214&lt;=J214),1,0)</f>
        <v/>
      </c>
    </row>
    <row r="215">
      <c r="A215" s="4" t="inlineStr">
        <is>
          <t>hardness_shoreA</t>
        </is>
      </c>
      <c r="B215" s="4" t="inlineStr">
        <is>
          <t>G315</t>
        </is>
      </c>
      <c r="C215" s="4" t="inlineStr">
        <is>
          <t>KR102400335B1</t>
        </is>
      </c>
      <c r="D215" s="4" t="inlineStr">
        <is>
          <t>Example 1</t>
        </is>
      </c>
      <c r="E215" s="4" t="inlineStr">
        <is>
          <t>test</t>
        </is>
      </c>
      <c r="F215" s="10" t="n">
        <v>60</v>
      </c>
      <c r="G215" s="10" t="n">
        <v>64.8229430321293</v>
      </c>
      <c r="H215" s="10" t="n">
        <v>6.407427911174012</v>
      </c>
      <c r="I215" s="10">
        <f>G215-1.96*H215</f>
        <v/>
      </c>
      <c r="J215" s="10">
        <f>G215+1.96*H215</f>
        <v/>
      </c>
      <c r="K215" s="10">
        <f>G215-F215</f>
        <v/>
      </c>
      <c r="L215" s="4">
        <f>IF(AND(F215&gt;=I215,F215&lt;=J215),1,0)</f>
        <v/>
      </c>
    </row>
    <row r="216">
      <c r="A216" s="4" t="inlineStr">
        <is>
          <t>hardness_shoreA</t>
        </is>
      </c>
      <c r="B216" s="4" t="inlineStr">
        <is>
          <t>G064</t>
        </is>
      </c>
      <c r="C216" s="4" t="inlineStr">
        <is>
          <t>US11753523B2</t>
        </is>
      </c>
      <c r="D216" s="4" t="inlineStr">
        <is>
          <t>Comparative Example 7</t>
        </is>
      </c>
      <c r="E216" s="4" t="inlineStr">
        <is>
          <t>test</t>
        </is>
      </c>
      <c r="F216" s="10" t="n">
        <v>74</v>
      </c>
      <c r="G216" s="10" t="n">
        <v>75.6603036695396</v>
      </c>
      <c r="H216" s="10" t="n">
        <v>4.535733061886309</v>
      </c>
      <c r="I216" s="10">
        <f>G216-1.96*H216</f>
        <v/>
      </c>
      <c r="J216" s="10">
        <f>G216+1.96*H216</f>
        <v/>
      </c>
      <c r="K216" s="10">
        <f>G216-F216</f>
        <v/>
      </c>
      <c r="L216" s="4">
        <f>IF(AND(F216&gt;=I216,F216&lt;=J216),1,0)</f>
        <v/>
      </c>
    </row>
    <row r="217">
      <c r="A217" s="4" t="inlineStr">
        <is>
          <t>hardness_shoreA</t>
        </is>
      </c>
      <c r="B217" s="4" t="inlineStr">
        <is>
          <t>G273</t>
        </is>
      </c>
      <c r="C217" s="4" t="inlineStr">
        <is>
          <t>US20230174763A1</t>
        </is>
      </c>
      <c r="D217" s="4" t="inlineStr">
        <is>
          <t>Example 6</t>
        </is>
      </c>
      <c r="E217" s="4" t="inlineStr">
        <is>
          <t>test</t>
        </is>
      </c>
      <c r="F217" s="10" t="n">
        <v>77</v>
      </c>
      <c r="G217" s="10" t="n">
        <v>76.51463086243433</v>
      </c>
      <c r="H217" s="10" t="n">
        <v>6.436413910551633</v>
      </c>
      <c r="I217" s="10">
        <f>G217-1.96*H217</f>
        <v/>
      </c>
      <c r="J217" s="10">
        <f>G217+1.96*H217</f>
        <v/>
      </c>
      <c r="K217" s="10">
        <f>G217-F217</f>
        <v/>
      </c>
      <c r="L217" s="4">
        <f>IF(AND(F217&gt;=I217,F217&lt;=J217),1,0)</f>
        <v/>
      </c>
    </row>
    <row r="218">
      <c r="A218" s="4" t="inlineStr">
        <is>
          <t>hardness_shoreA</t>
        </is>
      </c>
      <c r="B218" s="4" t="inlineStr">
        <is>
          <t>G047</t>
        </is>
      </c>
      <c r="C218" s="4" t="inlineStr">
        <is>
          <t>US8211964B2</t>
        </is>
      </c>
      <c r="D218" s="4" t="inlineStr">
        <is>
          <t>Example 6</t>
        </is>
      </c>
      <c r="E218" s="4" t="inlineStr">
        <is>
          <t>test</t>
        </is>
      </c>
      <c r="F218" s="10" t="n">
        <v>73</v>
      </c>
      <c r="G218" s="10" t="n">
        <v>72.57700586879585</v>
      </c>
      <c r="H218" s="10" t="n">
        <v>3.887311665204048</v>
      </c>
      <c r="I218" s="10">
        <f>G218-1.96*H218</f>
        <v/>
      </c>
      <c r="J218" s="10">
        <f>G218+1.96*H218</f>
        <v/>
      </c>
      <c r="K218" s="10">
        <f>G218-F218</f>
        <v/>
      </c>
      <c r="L218" s="4">
        <f>IF(AND(F218&gt;=I218,F218&lt;=J218),1,0)</f>
        <v/>
      </c>
    </row>
    <row r="219">
      <c r="A219" s="4" t="inlineStr">
        <is>
          <t>hardness_shoreA</t>
        </is>
      </c>
      <c r="B219" s="4" t="inlineStr">
        <is>
          <t>G289</t>
        </is>
      </c>
      <c r="C219" s="4" t="inlineStr">
        <is>
          <t>US20230365800A1</t>
        </is>
      </c>
      <c r="D219" s="4" t="inlineStr">
        <is>
          <t>Example 11</t>
        </is>
      </c>
      <c r="E219" s="4" t="inlineStr">
        <is>
          <t>test</t>
        </is>
      </c>
      <c r="F219" s="10" t="n">
        <v>70</v>
      </c>
      <c r="G219" s="10" t="n">
        <v>64.75467131578398</v>
      </c>
      <c r="H219" s="10" t="n">
        <v>3.174816048063124</v>
      </c>
      <c r="I219" s="10">
        <f>G219-1.96*H219</f>
        <v/>
      </c>
      <c r="J219" s="10">
        <f>G219+1.96*H219</f>
        <v/>
      </c>
      <c r="K219" s="10">
        <f>G219-F219</f>
        <v/>
      </c>
      <c r="L219" s="4">
        <f>IF(AND(F219&gt;=I219,F219&lt;=J219),1,0)</f>
        <v/>
      </c>
    </row>
    <row r="220">
      <c r="A220" s="4" t="inlineStr">
        <is>
          <t>hardness_shoreA</t>
        </is>
      </c>
      <c r="B220" s="4" t="inlineStr">
        <is>
          <t>G193</t>
        </is>
      </c>
      <c r="C220" s="4" t="inlineStr">
        <is>
          <t>US20160319102A1</t>
        </is>
      </c>
      <c r="D220" s="4" t="inlineStr">
        <is>
          <t>Example 4</t>
        </is>
      </c>
      <c r="E220" s="4" t="inlineStr">
        <is>
          <t>test</t>
        </is>
      </c>
      <c r="F220" s="10" t="n">
        <v>80</v>
      </c>
      <c r="G220" s="10" t="n">
        <v>76.12840822331974</v>
      </c>
      <c r="H220" s="10" t="n">
        <v>3.987556155921308</v>
      </c>
      <c r="I220" s="10">
        <f>G220-1.96*H220</f>
        <v/>
      </c>
      <c r="J220" s="10">
        <f>G220+1.96*H220</f>
        <v/>
      </c>
      <c r="K220" s="10">
        <f>G220-F220</f>
        <v/>
      </c>
      <c r="L220" s="4">
        <f>IF(AND(F220&gt;=I220,F220&lt;=J220),1,0)</f>
        <v/>
      </c>
    </row>
    <row r="221">
      <c r="A221" s="4" t="inlineStr">
        <is>
          <t>hardness_shoreA</t>
        </is>
      </c>
      <c r="B221" s="4" t="inlineStr">
        <is>
          <t>G095</t>
        </is>
      </c>
      <c r="C221" s="4" t="inlineStr">
        <is>
          <t>US8367776B2</t>
        </is>
      </c>
      <c r="D221" s="4" t="inlineStr">
        <is>
          <t>Example 13</t>
        </is>
      </c>
      <c r="E221" s="4" t="inlineStr">
        <is>
          <t>test</t>
        </is>
      </c>
      <c r="F221" s="10" t="n">
        <v>65.5</v>
      </c>
      <c r="G221" s="10" t="n">
        <v>64.12529032932356</v>
      </c>
      <c r="H221" s="10" t="n">
        <v>3.164961756156742</v>
      </c>
      <c r="I221" s="10">
        <f>G221-1.96*H221</f>
        <v/>
      </c>
      <c r="J221" s="10">
        <f>G221+1.96*H221</f>
        <v/>
      </c>
      <c r="K221" s="10">
        <f>G221-F221</f>
        <v/>
      </c>
      <c r="L221" s="4">
        <f>IF(AND(F221&gt;=I221,F221&lt;=J221),1,0)</f>
        <v/>
      </c>
    </row>
    <row r="222">
      <c r="A222" s="4" t="inlineStr">
        <is>
          <t>hardness_shoreA</t>
        </is>
      </c>
      <c r="B222" s="4" t="inlineStr">
        <is>
          <t>G259</t>
        </is>
      </c>
      <c r="C222" s="4" t="inlineStr">
        <is>
          <t>US12584054B2</t>
        </is>
      </c>
      <c r="D222" s="4" t="inlineStr">
        <is>
          <t>Example 6</t>
        </is>
      </c>
      <c r="E222" s="4" t="inlineStr">
        <is>
          <t>test</t>
        </is>
      </c>
      <c r="F222" s="10" t="n">
        <v>64</v>
      </c>
      <c r="G222" s="10" t="n">
        <v>67.00460577387973</v>
      </c>
      <c r="H222" s="10" t="n">
        <v>4.118059087223399</v>
      </c>
      <c r="I222" s="10">
        <f>G222-1.96*H222</f>
        <v/>
      </c>
      <c r="J222" s="10">
        <f>G222+1.96*H222</f>
        <v/>
      </c>
      <c r="K222" s="10">
        <f>G222-F222</f>
        <v/>
      </c>
      <c r="L222" s="4">
        <f>IF(AND(F222&gt;=I222,F222&lt;=J222),1,0)</f>
        <v/>
      </c>
    </row>
    <row r="223">
      <c r="A223" s="4" t="inlineStr">
        <is>
          <t>hardness_shoreA</t>
        </is>
      </c>
      <c r="B223" s="4" t="inlineStr">
        <is>
          <t>G049</t>
        </is>
      </c>
      <c r="C223" s="4" t="inlineStr">
        <is>
          <t>US8211964B2</t>
        </is>
      </c>
      <c r="D223" s="4" t="inlineStr">
        <is>
          <t>Example 7</t>
        </is>
      </c>
      <c r="E223" s="4" t="inlineStr">
        <is>
          <t>test</t>
        </is>
      </c>
      <c r="F223" s="10" t="n">
        <v>77</v>
      </c>
      <c r="G223" s="10" t="n">
        <v>75.27695189465591</v>
      </c>
      <c r="H223" s="10" t="n">
        <v>6.378961247916423</v>
      </c>
      <c r="I223" s="10">
        <f>G223-1.96*H223</f>
        <v/>
      </c>
      <c r="J223" s="10">
        <f>G223+1.96*H223</f>
        <v/>
      </c>
      <c r="K223" s="10">
        <f>G223-F223</f>
        <v/>
      </c>
      <c r="L223" s="4">
        <f>IF(AND(F223&gt;=I223,F223&lt;=J223),1,0)</f>
        <v/>
      </c>
    </row>
    <row r="224">
      <c r="A224" s="4" t="inlineStr">
        <is>
          <t>hardness_shoreA</t>
        </is>
      </c>
      <c r="B224" s="4" t="inlineStr">
        <is>
          <t>G078</t>
        </is>
      </c>
      <c r="C224" s="4" t="inlineStr">
        <is>
          <t>US12091537B2</t>
        </is>
      </c>
      <c r="D224" s="4" t="inlineStr">
        <is>
          <t>Example 5</t>
        </is>
      </c>
      <c r="E224" s="4" t="inlineStr">
        <is>
          <t>test</t>
        </is>
      </c>
      <c r="F224" s="10" t="n">
        <v>79</v>
      </c>
      <c r="G224" s="10" t="n">
        <v>78.06721510968957</v>
      </c>
      <c r="H224" s="10" t="n">
        <v>3.902667746570079</v>
      </c>
      <c r="I224" s="10">
        <f>G224-1.96*H224</f>
        <v/>
      </c>
      <c r="J224" s="10">
        <f>G224+1.96*H224</f>
        <v/>
      </c>
      <c r="K224" s="10">
        <f>G224-F224</f>
        <v/>
      </c>
      <c r="L224" s="4">
        <f>IF(AND(F224&gt;=I224,F224&lt;=J224),1,0)</f>
        <v/>
      </c>
    </row>
    <row r="225">
      <c r="A225" s="4" t="inlineStr">
        <is>
          <t>hardness_shoreA</t>
        </is>
      </c>
      <c r="B225" s="4" t="inlineStr">
        <is>
          <t>G270</t>
        </is>
      </c>
      <c r="C225" s="4" t="inlineStr">
        <is>
          <t>US20230174763A1</t>
        </is>
      </c>
      <c r="D225" s="4" t="inlineStr">
        <is>
          <t>Comparative Example 6</t>
        </is>
      </c>
      <c r="E225" s="4" t="inlineStr">
        <is>
          <t>test</t>
        </is>
      </c>
      <c r="F225" s="10" t="n">
        <v>65</v>
      </c>
      <c r="G225" s="10" t="n">
        <v>65.63921920615751</v>
      </c>
      <c r="H225" s="10" t="n">
        <v>3.949753259088673</v>
      </c>
      <c r="I225" s="10">
        <f>G225-1.96*H225</f>
        <v/>
      </c>
      <c r="J225" s="10">
        <f>G225+1.96*H225</f>
        <v/>
      </c>
      <c r="K225" s="10">
        <f>G225-F225</f>
        <v/>
      </c>
      <c r="L225" s="4">
        <f>IF(AND(F225&gt;=I225,F225&lt;=J225),1,0)</f>
        <v/>
      </c>
    </row>
    <row r="226">
      <c r="A226" s="4" t="inlineStr">
        <is>
          <t>hardness_shoreA</t>
        </is>
      </c>
      <c r="B226" s="4" t="inlineStr">
        <is>
          <t>G264</t>
        </is>
      </c>
      <c r="C226" s="4" t="inlineStr">
        <is>
          <t>US20230174763A1</t>
        </is>
      </c>
      <c r="D226" s="4" t="inlineStr">
        <is>
          <t>Example 1</t>
        </is>
      </c>
      <c r="E226" s="4" t="inlineStr">
        <is>
          <t>test</t>
        </is>
      </c>
      <c r="F226" s="10" t="n">
        <v>66</v>
      </c>
      <c r="G226" s="10" t="n">
        <v>68.25556276621215</v>
      </c>
      <c r="H226" s="10" t="n">
        <v>5.702429250771257</v>
      </c>
      <c r="I226" s="10">
        <f>G226-1.96*H226</f>
        <v/>
      </c>
      <c r="J226" s="10">
        <f>G226+1.96*H226</f>
        <v/>
      </c>
      <c r="K226" s="10">
        <f>G226-F226</f>
        <v/>
      </c>
      <c r="L226" s="4">
        <f>IF(AND(F226&gt;=I226,F226&lt;=J226),1,0)</f>
        <v/>
      </c>
    </row>
    <row r="227">
      <c r="A227" s="4" t="inlineStr">
        <is>
          <t>hardness_shoreA</t>
        </is>
      </c>
      <c r="B227" s="4" t="inlineStr">
        <is>
          <t>G156</t>
        </is>
      </c>
      <c r="C227" s="4" t="inlineStr">
        <is>
          <t>US7402630B2</t>
        </is>
      </c>
      <c r="D227" s="4" t="inlineStr">
        <is>
          <t>Example 8</t>
        </is>
      </c>
      <c r="E227" s="4" t="inlineStr">
        <is>
          <t>test</t>
        </is>
      </c>
      <c r="F227" s="10" t="n">
        <v>82</v>
      </c>
      <c r="G227" s="10" t="n">
        <v>81.71706057678782</v>
      </c>
      <c r="H227" s="10" t="n">
        <v>4.423009496707345</v>
      </c>
      <c r="I227" s="10">
        <f>G227-1.96*H227</f>
        <v/>
      </c>
      <c r="J227" s="10">
        <f>G227+1.96*H227</f>
        <v/>
      </c>
      <c r="K227" s="10">
        <f>G227-F227</f>
        <v/>
      </c>
      <c r="L227" s="4">
        <f>IF(AND(F227&gt;=I227,F227&lt;=J227),1,0)</f>
        <v/>
      </c>
    </row>
    <row r="228">
      <c r="A228" s="4" t="inlineStr">
        <is>
          <t>hardness_shoreA</t>
        </is>
      </c>
      <c r="B228" s="4" t="inlineStr">
        <is>
          <t>G099</t>
        </is>
      </c>
      <c r="C228" s="4" t="inlineStr">
        <is>
          <t>US7354974B2</t>
        </is>
      </c>
      <c r="D228" s="4" t="inlineStr">
        <is>
          <t>Example 3</t>
        </is>
      </c>
      <c r="E228" s="4" t="inlineStr">
        <is>
          <t>test</t>
        </is>
      </c>
      <c r="F228" s="10" t="n">
        <v>78</v>
      </c>
      <c r="G228" s="10" t="n">
        <v>78.22822389367101</v>
      </c>
      <c r="H228" s="10" t="n">
        <v>4.271865806884518</v>
      </c>
      <c r="I228" s="10">
        <f>G228-1.96*H228</f>
        <v/>
      </c>
      <c r="J228" s="10">
        <f>G228+1.96*H228</f>
        <v/>
      </c>
      <c r="K228" s="10">
        <f>G228-F228</f>
        <v/>
      </c>
      <c r="L228" s="4">
        <f>IF(AND(F228&gt;=I228,F228&lt;=J228),1,0)</f>
        <v/>
      </c>
    </row>
    <row r="229">
      <c r="A229" s="4" t="inlineStr">
        <is>
          <t>tensile_MPa</t>
        </is>
      </c>
      <c r="B229" s="4" t="inlineStr">
        <is>
          <t>G191</t>
        </is>
      </c>
      <c r="C229" s="4" t="inlineStr">
        <is>
          <t>US20160319102A1</t>
        </is>
      </c>
      <c r="D229" s="4" t="inlineStr">
        <is>
          <t>Example 2</t>
        </is>
      </c>
      <c r="E229" s="4" t="inlineStr">
        <is>
          <t>dev(OOF)</t>
        </is>
      </c>
      <c r="F229" s="10" t="n">
        <v>13.3</v>
      </c>
      <c r="G229" s="10" t="n">
        <v>13.72712678301605</v>
      </c>
      <c r="H229" s="10" t="n">
        <v>2.898012858394148</v>
      </c>
      <c r="I229" s="10">
        <f>G229-1.96*H229</f>
        <v/>
      </c>
      <c r="J229" s="10">
        <f>G229+1.96*H229</f>
        <v/>
      </c>
      <c r="K229" s="10">
        <f>G229-F229</f>
        <v/>
      </c>
      <c r="L229" s="4">
        <f>IF(AND(F229&gt;=I229,F229&lt;=J229),1,0)</f>
        <v/>
      </c>
    </row>
    <row r="230">
      <c r="A230" s="4" t="inlineStr">
        <is>
          <t>tensile_MPa</t>
        </is>
      </c>
      <c r="B230" s="4" t="inlineStr">
        <is>
          <t>G169</t>
        </is>
      </c>
      <c r="C230" s="4" t="inlineStr">
        <is>
          <t>US20050107544A1</t>
        </is>
      </c>
      <c r="D230" s="4" t="inlineStr">
        <is>
          <t>Comparative Example A</t>
        </is>
      </c>
      <c r="E230" s="4" t="inlineStr">
        <is>
          <t>dev(OOF)</t>
        </is>
      </c>
      <c r="F230" s="10" t="n">
        <v>6.3</v>
      </c>
      <c r="G230" s="10" t="n">
        <v>9.233450005991486</v>
      </c>
      <c r="H230" s="10" t="n">
        <v>2.746098466655592</v>
      </c>
      <c r="I230" s="10">
        <f>G230-1.96*H230</f>
        <v/>
      </c>
      <c r="J230" s="10">
        <f>G230+1.96*H230</f>
        <v/>
      </c>
      <c r="K230" s="10">
        <f>G230-F230</f>
        <v/>
      </c>
      <c r="L230" s="4">
        <f>IF(AND(F230&gt;=I230,F230&lt;=J230),1,0)</f>
        <v/>
      </c>
    </row>
    <row r="231">
      <c r="A231" s="4" t="inlineStr">
        <is>
          <t>tensile_MPa</t>
        </is>
      </c>
      <c r="B231" s="4" t="inlineStr">
        <is>
          <t>G193</t>
        </is>
      </c>
      <c r="C231" s="4" t="inlineStr">
        <is>
          <t>US20160319102A1</t>
        </is>
      </c>
      <c r="D231" s="4" t="inlineStr">
        <is>
          <t>Example 4</t>
        </is>
      </c>
      <c r="E231" s="4" t="inlineStr">
        <is>
          <t>dev(OOF)</t>
        </is>
      </c>
      <c r="F231" s="10" t="n">
        <v>16.5</v>
      </c>
      <c r="G231" s="10" t="n">
        <v>14.74614212749586</v>
      </c>
      <c r="H231" s="10" t="n">
        <v>2.962261541472967</v>
      </c>
      <c r="I231" s="10">
        <f>G231-1.96*H231</f>
        <v/>
      </c>
      <c r="J231" s="10">
        <f>G231+1.96*H231</f>
        <v/>
      </c>
      <c r="K231" s="10">
        <f>G231-F231</f>
        <v/>
      </c>
      <c r="L231" s="4">
        <f>IF(AND(F231&gt;=I231,F231&lt;=J231),1,0)</f>
        <v/>
      </c>
    </row>
    <row r="232">
      <c r="A232" s="4" t="inlineStr">
        <is>
          <t>tensile_MPa</t>
        </is>
      </c>
      <c r="B232" s="4" t="inlineStr">
        <is>
          <t>G248</t>
        </is>
      </c>
      <c r="C232" s="4" t="inlineStr">
        <is>
          <t>US12584054B2</t>
        </is>
      </c>
      <c r="D232" s="4" t="inlineStr">
        <is>
          <t>Example 5</t>
        </is>
      </c>
      <c r="E232" s="4" t="inlineStr">
        <is>
          <t>dev(OOF)</t>
        </is>
      </c>
      <c r="F232" s="10" t="n">
        <v>12</v>
      </c>
      <c r="G232" s="10" t="n">
        <v>14.27967986897452</v>
      </c>
      <c r="H232" s="10" t="n">
        <v>2.587908984395038</v>
      </c>
      <c r="I232" s="10">
        <f>G232-1.96*H232</f>
        <v/>
      </c>
      <c r="J232" s="10">
        <f>G232+1.96*H232</f>
        <v/>
      </c>
      <c r="K232" s="10">
        <f>G232-F232</f>
        <v/>
      </c>
      <c r="L232" s="4">
        <f>IF(AND(F232&gt;=I232,F232&lt;=J232),1,0)</f>
        <v/>
      </c>
    </row>
    <row r="233">
      <c r="A233" s="4" t="inlineStr">
        <is>
          <t>tensile_MPa</t>
        </is>
      </c>
      <c r="B233" s="4" t="inlineStr">
        <is>
          <t>G282</t>
        </is>
      </c>
      <c r="C233" s="4" t="inlineStr">
        <is>
          <t>US20230365800A1</t>
        </is>
      </c>
      <c r="D233" s="4" t="inlineStr">
        <is>
          <t>Example 6</t>
        </is>
      </c>
      <c r="E233" s="4" t="inlineStr">
        <is>
          <t>dev(OOF)</t>
        </is>
      </c>
      <c r="F233" s="10" t="n">
        <v>11.8</v>
      </c>
      <c r="G233" s="10" t="n">
        <v>11.93585236553367</v>
      </c>
      <c r="H233" s="10" t="n">
        <v>2.097559114801121</v>
      </c>
      <c r="I233" s="10">
        <f>G233-1.96*H233</f>
        <v/>
      </c>
      <c r="J233" s="10">
        <f>G233+1.96*H233</f>
        <v/>
      </c>
      <c r="K233" s="10">
        <f>G233-F233</f>
        <v/>
      </c>
      <c r="L233" s="4">
        <f>IF(AND(F233&gt;=I233,F233&lt;=J233),1,0)</f>
        <v/>
      </c>
    </row>
    <row r="234">
      <c r="A234" s="4" t="inlineStr">
        <is>
          <t>tensile_MPa</t>
        </is>
      </c>
      <c r="B234" s="4" t="inlineStr">
        <is>
          <t>G309</t>
        </is>
      </c>
      <c r="C234" s="4" t="inlineStr">
        <is>
          <t>EP4249550A1</t>
        </is>
      </c>
      <c r="D234" s="4" t="inlineStr">
        <is>
          <t>Example 9</t>
        </is>
      </c>
      <c r="E234" s="4" t="inlineStr">
        <is>
          <t>dev(OOF)</t>
        </is>
      </c>
      <c r="F234" s="10" t="n">
        <v>14</v>
      </c>
      <c r="G234" s="10" t="n">
        <v>13.43572544701879</v>
      </c>
      <c r="H234" s="10" t="n">
        <v>2.704464801709493</v>
      </c>
      <c r="I234" s="10">
        <f>G234-1.96*H234</f>
        <v/>
      </c>
      <c r="J234" s="10">
        <f>G234+1.96*H234</f>
        <v/>
      </c>
      <c r="K234" s="10">
        <f>G234-F234</f>
        <v/>
      </c>
      <c r="L234" s="4">
        <f>IF(AND(F234&gt;=I234,F234&lt;=J234),1,0)</f>
        <v/>
      </c>
    </row>
    <row r="235">
      <c r="A235" s="4" t="inlineStr">
        <is>
          <t>tensile_MPa</t>
        </is>
      </c>
      <c r="B235" s="4" t="inlineStr">
        <is>
          <t>G332</t>
        </is>
      </c>
      <c r="C235" s="4" t="inlineStr">
        <is>
          <t>KR101467101B1</t>
        </is>
      </c>
      <c r="D235" s="4" t="inlineStr">
        <is>
          <t>Comparative Example 2</t>
        </is>
      </c>
      <c r="E235" s="4" t="inlineStr">
        <is>
          <t>dev(OOF)</t>
        </is>
      </c>
      <c r="F235" s="10" t="n">
        <v>10.96</v>
      </c>
      <c r="G235" s="10" t="n">
        <v>12.34014888789113</v>
      </c>
      <c r="H235" s="10" t="n">
        <v>2.973296394157035</v>
      </c>
      <c r="I235" s="10">
        <f>G235-1.96*H235</f>
        <v/>
      </c>
      <c r="J235" s="10">
        <f>G235+1.96*H235</f>
        <v/>
      </c>
      <c r="K235" s="10">
        <f>G235-F235</f>
        <v/>
      </c>
      <c r="L235" s="4">
        <f>IF(AND(F235&gt;=I235,F235&lt;=J235),1,0)</f>
        <v/>
      </c>
    </row>
    <row r="236">
      <c r="A236" s="4" t="inlineStr">
        <is>
          <t>tensile_MPa</t>
        </is>
      </c>
      <c r="B236" s="4" t="inlineStr">
        <is>
          <t>G001</t>
        </is>
      </c>
      <c r="C236" s="4" t="inlineStr">
        <is>
          <t>US7678858B2</t>
        </is>
      </c>
      <c r="D236" s="4" t="inlineStr">
        <is>
          <t>Example 1</t>
        </is>
      </c>
      <c r="E236" s="4" t="inlineStr">
        <is>
          <t>dev(OOF)</t>
        </is>
      </c>
      <c r="F236" s="10" t="n">
        <v>24.52</v>
      </c>
      <c r="G236" s="10" t="n">
        <v>22.14055604550789</v>
      </c>
      <c r="H236" s="10" t="n">
        <v>2.296801808287819</v>
      </c>
      <c r="I236" s="10">
        <f>G236-1.96*H236</f>
        <v/>
      </c>
      <c r="J236" s="10">
        <f>G236+1.96*H236</f>
        <v/>
      </c>
      <c r="K236" s="10">
        <f>G236-F236</f>
        <v/>
      </c>
      <c r="L236" s="4">
        <f>IF(AND(F236&gt;=I236,F236&lt;=J236),1,0)</f>
        <v/>
      </c>
    </row>
    <row r="237">
      <c r="A237" s="4" t="inlineStr">
        <is>
          <t>tensile_MPa</t>
        </is>
      </c>
      <c r="B237" s="4" t="inlineStr">
        <is>
          <t>G110</t>
        </is>
      </c>
      <c r="C237" s="4" t="inlineStr">
        <is>
          <t>US6992143B2</t>
        </is>
      </c>
      <c r="D237" s="4" t="inlineStr">
        <is>
          <t>Example 1</t>
        </is>
      </c>
      <c r="E237" s="4" t="inlineStr">
        <is>
          <t>dev(OOF)</t>
        </is>
      </c>
      <c r="F237" s="10" t="n">
        <v>9</v>
      </c>
      <c r="G237" s="10" t="n">
        <v>13.06281703473603</v>
      </c>
      <c r="H237" s="10" t="n">
        <v>2.93306305798257</v>
      </c>
      <c r="I237" s="10">
        <f>G237-1.96*H237</f>
        <v/>
      </c>
      <c r="J237" s="10">
        <f>G237+1.96*H237</f>
        <v/>
      </c>
      <c r="K237" s="10">
        <f>G237-F237</f>
        <v/>
      </c>
      <c r="L237" s="4">
        <f>IF(AND(F237&gt;=I237,F237&lt;=J237),1,0)</f>
        <v/>
      </c>
    </row>
    <row r="238">
      <c r="A238" s="4" t="inlineStr">
        <is>
          <t>tensile_MPa</t>
        </is>
      </c>
      <c r="B238" s="4" t="inlineStr">
        <is>
          <t>G172</t>
        </is>
      </c>
      <c r="C238" s="4" t="inlineStr">
        <is>
          <t>US20050107544A1</t>
        </is>
      </c>
      <c r="D238" s="4" t="inlineStr">
        <is>
          <t>Comparative Example C</t>
        </is>
      </c>
      <c r="E238" s="4" t="inlineStr">
        <is>
          <t>dev(OOF)</t>
        </is>
      </c>
      <c r="F238" s="10" t="n">
        <v>5.2</v>
      </c>
      <c r="G238" s="10" t="n">
        <v>8.020416965840807</v>
      </c>
      <c r="H238" s="10" t="n">
        <v>2.859986786520215</v>
      </c>
      <c r="I238" s="10">
        <f>G238-1.96*H238</f>
        <v/>
      </c>
      <c r="J238" s="10">
        <f>G238+1.96*H238</f>
        <v/>
      </c>
      <c r="K238" s="10">
        <f>G238-F238</f>
        <v/>
      </c>
      <c r="L238" s="4">
        <f>IF(AND(F238&gt;=I238,F238&lt;=J238),1,0)</f>
        <v/>
      </c>
    </row>
    <row r="239">
      <c r="A239" s="4" t="inlineStr">
        <is>
          <t>tensile_MPa</t>
        </is>
      </c>
      <c r="B239" s="4" t="inlineStr">
        <is>
          <t>G325</t>
        </is>
      </c>
      <c r="C239" s="4" t="inlineStr">
        <is>
          <t>KR101467101B1</t>
        </is>
      </c>
      <c r="D239" s="4" t="inlineStr">
        <is>
          <t>Table 2 sample 3</t>
        </is>
      </c>
      <c r="E239" s="4" t="inlineStr">
        <is>
          <t>dev(OOF)</t>
        </is>
      </c>
      <c r="F239" s="10" t="n">
        <v>8.800000000000001</v>
      </c>
      <c r="G239" s="10" t="n">
        <v>8.794496614485823</v>
      </c>
      <c r="H239" s="10" t="n">
        <v>2.742726781379663</v>
      </c>
      <c r="I239" s="10">
        <f>G239-1.96*H239</f>
        <v/>
      </c>
      <c r="J239" s="10">
        <f>G239+1.96*H239</f>
        <v/>
      </c>
      <c r="K239" s="10">
        <f>G239-F239</f>
        <v/>
      </c>
      <c r="L239" s="4">
        <f>IF(AND(F239&gt;=I239,F239&lt;=J239),1,0)</f>
        <v/>
      </c>
    </row>
    <row r="240">
      <c r="A240" s="4" t="inlineStr">
        <is>
          <t>tensile_MPa</t>
        </is>
      </c>
      <c r="B240" s="4" t="inlineStr">
        <is>
          <t>G043</t>
        </is>
      </c>
      <c r="C240" s="4" t="inlineStr">
        <is>
          <t>US8211964B2</t>
        </is>
      </c>
      <c r="D240" s="4" t="inlineStr">
        <is>
          <t>Example 2</t>
        </is>
      </c>
      <c r="E240" s="4" t="inlineStr">
        <is>
          <t>dev(OOF)</t>
        </is>
      </c>
      <c r="F240" s="10" t="n">
        <v>9.32</v>
      </c>
      <c r="G240" s="10" t="n">
        <v>9.309751126090941</v>
      </c>
      <c r="H240" s="10" t="n">
        <v>2.713716301011486</v>
      </c>
      <c r="I240" s="10">
        <f>G240-1.96*H240</f>
        <v/>
      </c>
      <c r="J240" s="10">
        <f>G240+1.96*H240</f>
        <v/>
      </c>
      <c r="K240" s="10">
        <f>G240-F240</f>
        <v/>
      </c>
      <c r="L240" s="4">
        <f>IF(AND(F240&gt;=I240,F240&lt;=J240),1,0)</f>
        <v/>
      </c>
    </row>
    <row r="241">
      <c r="A241" s="4" t="inlineStr">
        <is>
          <t>tensile_MPa</t>
        </is>
      </c>
      <c r="B241" s="4" t="inlineStr">
        <is>
          <t>G028</t>
        </is>
      </c>
      <c r="C241" s="4" t="inlineStr">
        <is>
          <t>US6803402B2</t>
        </is>
      </c>
      <c r="D241" s="4" t="inlineStr">
        <is>
          <t>Comparative Example 3</t>
        </is>
      </c>
      <c r="E241" s="4" t="inlineStr">
        <is>
          <t>dev(OOF)</t>
        </is>
      </c>
      <c r="F241" s="10" t="n">
        <v>19.71</v>
      </c>
      <c r="G241" s="10" t="n">
        <v>16.36153841928334</v>
      </c>
      <c r="H241" s="10" t="n">
        <v>4.915547197985966</v>
      </c>
      <c r="I241" s="10">
        <f>G241-1.96*H241</f>
        <v/>
      </c>
      <c r="J241" s="10">
        <f>G241+1.96*H241</f>
        <v/>
      </c>
      <c r="K241" s="10">
        <f>G241-F241</f>
        <v/>
      </c>
      <c r="L241" s="4">
        <f>IF(AND(F241&gt;=I241,F241&lt;=J241),1,0)</f>
        <v/>
      </c>
    </row>
    <row r="242">
      <c r="A242" s="4" t="inlineStr">
        <is>
          <t>tensile_MPa</t>
        </is>
      </c>
      <c r="B242" s="4" t="inlineStr">
        <is>
          <t>G201</t>
        </is>
      </c>
      <c r="C242" s="4" t="inlineStr">
        <is>
          <t>US20160319102A1</t>
        </is>
      </c>
      <c r="D242" s="4" t="inlineStr">
        <is>
          <t>Comparative Example 7</t>
        </is>
      </c>
      <c r="E242" s="4" t="inlineStr">
        <is>
          <t>dev(OOF)</t>
        </is>
      </c>
      <c r="F242" s="10" t="n">
        <v>13.5</v>
      </c>
      <c r="G242" s="10" t="n">
        <v>12.35906102745592</v>
      </c>
      <c r="H242" s="10" t="n">
        <v>3.472459249073506</v>
      </c>
      <c r="I242" s="10">
        <f>G242-1.96*H242</f>
        <v/>
      </c>
      <c r="J242" s="10">
        <f>G242+1.96*H242</f>
        <v/>
      </c>
      <c r="K242" s="10">
        <f>G242-F242</f>
        <v/>
      </c>
      <c r="L242" s="4">
        <f>IF(AND(F242&gt;=I242,F242&lt;=J242),1,0)</f>
        <v/>
      </c>
    </row>
    <row r="243">
      <c r="A243" s="4" t="inlineStr">
        <is>
          <t>tensile_MPa</t>
        </is>
      </c>
      <c r="B243" s="4" t="inlineStr">
        <is>
          <t>G281</t>
        </is>
      </c>
      <c r="C243" s="4" t="inlineStr">
        <is>
          <t>US20230365800A1</t>
        </is>
      </c>
      <c r="D243" s="4" t="inlineStr">
        <is>
          <t>Example 5</t>
        </is>
      </c>
      <c r="E243" s="4" t="inlineStr">
        <is>
          <t>dev(OOF)</t>
        </is>
      </c>
      <c r="F243" s="10" t="n">
        <v>11.1</v>
      </c>
      <c r="G243" s="10" t="n">
        <v>11.8304554264149</v>
      </c>
      <c r="H243" s="10" t="n">
        <v>2.275803806764289</v>
      </c>
      <c r="I243" s="10">
        <f>G243-1.96*H243</f>
        <v/>
      </c>
      <c r="J243" s="10">
        <f>G243+1.96*H243</f>
        <v/>
      </c>
      <c r="K243" s="10">
        <f>G243-F243</f>
        <v/>
      </c>
      <c r="L243" s="4">
        <f>IF(AND(F243&gt;=I243,F243&lt;=J243),1,0)</f>
        <v/>
      </c>
    </row>
    <row r="244">
      <c r="A244" s="4" t="inlineStr">
        <is>
          <t>tensile_MPa</t>
        </is>
      </c>
      <c r="B244" s="4" t="inlineStr">
        <is>
          <t>G081</t>
        </is>
      </c>
      <c r="C244" s="4" t="inlineStr">
        <is>
          <t>US12304984B2</t>
        </is>
      </c>
      <c r="D244" s="4" t="inlineStr">
        <is>
          <t>Example 1</t>
        </is>
      </c>
      <c r="E244" s="4" t="inlineStr">
        <is>
          <t>dev(OOF)</t>
        </is>
      </c>
      <c r="F244" s="10" t="n">
        <v>10.2</v>
      </c>
      <c r="G244" s="10" t="n">
        <v>14.52699148205962</v>
      </c>
      <c r="H244" s="10" t="n">
        <v>3.413734765780958</v>
      </c>
      <c r="I244" s="10">
        <f>G244-1.96*H244</f>
        <v/>
      </c>
      <c r="J244" s="10">
        <f>G244+1.96*H244</f>
        <v/>
      </c>
      <c r="K244" s="10">
        <f>G244-F244</f>
        <v/>
      </c>
      <c r="L244" s="4">
        <f>IF(AND(F244&gt;=I244,F244&lt;=J244),1,0)</f>
        <v/>
      </c>
    </row>
    <row r="245">
      <c r="A245" s="4" t="inlineStr">
        <is>
          <t>tensile_MPa</t>
        </is>
      </c>
      <c r="B245" s="4" t="inlineStr">
        <is>
          <t>G167</t>
        </is>
      </c>
      <c r="C245" s="4" t="inlineStr">
        <is>
          <t>US20050107544A1</t>
        </is>
      </c>
      <c r="D245" s="4" t="inlineStr">
        <is>
          <t>Sample 4</t>
        </is>
      </c>
      <c r="E245" s="4" t="inlineStr">
        <is>
          <t>dev(OOF)</t>
        </is>
      </c>
      <c r="F245" s="10" t="n">
        <v>6.4</v>
      </c>
      <c r="G245" s="10" t="n">
        <v>8.075249300001239</v>
      </c>
      <c r="H245" s="10" t="n">
        <v>3.457144064203904</v>
      </c>
      <c r="I245" s="10">
        <f>G245-1.96*H245</f>
        <v/>
      </c>
      <c r="J245" s="10">
        <f>G245+1.96*H245</f>
        <v/>
      </c>
      <c r="K245" s="10">
        <f>G245-F245</f>
        <v/>
      </c>
      <c r="L245" s="4">
        <f>IF(AND(F245&gt;=I245,F245&lt;=J245),1,0)</f>
        <v/>
      </c>
    </row>
    <row r="246">
      <c r="A246" s="4" t="inlineStr">
        <is>
          <t>tensile_MPa</t>
        </is>
      </c>
      <c r="B246" s="4" t="inlineStr">
        <is>
          <t>G133</t>
        </is>
      </c>
      <c r="C246" s="4" t="inlineStr">
        <is>
          <t>US7247749B2</t>
        </is>
      </c>
      <c r="D246" s="4" t="inlineStr">
        <is>
          <t>Sample 9</t>
        </is>
      </c>
      <c r="E246" s="4" t="inlineStr">
        <is>
          <t>dev(OOF)</t>
        </is>
      </c>
      <c r="F246" s="10" t="n">
        <v>13.28</v>
      </c>
      <c r="G246" s="10" t="n">
        <v>11.9478291068012</v>
      </c>
      <c r="H246" s="10" t="n">
        <v>2.723838665081826</v>
      </c>
      <c r="I246" s="10">
        <f>G246-1.96*H246</f>
        <v/>
      </c>
      <c r="J246" s="10">
        <f>G246+1.96*H246</f>
        <v/>
      </c>
      <c r="K246" s="10">
        <f>G246-F246</f>
        <v/>
      </c>
      <c r="L246" s="4">
        <f>IF(AND(F246&gt;=I246,F246&lt;=J246),1,0)</f>
        <v/>
      </c>
    </row>
    <row r="247">
      <c r="A247" s="4" t="inlineStr">
        <is>
          <t>tensile_MPa</t>
        </is>
      </c>
      <c r="B247" s="4" t="inlineStr">
        <is>
          <t>G069</t>
        </is>
      </c>
      <c r="C247" s="4" t="inlineStr">
        <is>
          <t>US11072700B2</t>
        </is>
      </c>
      <c r="D247" s="4" t="inlineStr">
        <is>
          <t>Example 2</t>
        </is>
      </c>
      <c r="E247" s="4" t="inlineStr">
        <is>
          <t>dev(OOF)</t>
        </is>
      </c>
      <c r="F247" s="10" t="n">
        <v>14.4</v>
      </c>
      <c r="G247" s="10" t="n">
        <v>9.422180494524095</v>
      </c>
      <c r="H247" s="10" t="n">
        <v>3.306917597092537</v>
      </c>
      <c r="I247" s="10">
        <f>G247-1.96*H247</f>
        <v/>
      </c>
      <c r="J247" s="10">
        <f>G247+1.96*H247</f>
        <v/>
      </c>
      <c r="K247" s="10">
        <f>G247-F247</f>
        <v/>
      </c>
      <c r="L247" s="4">
        <f>IF(AND(F247&gt;=I247,F247&lt;=J247),1,0)</f>
        <v/>
      </c>
    </row>
    <row r="248">
      <c r="A248" s="4" t="inlineStr">
        <is>
          <t>tensile_MPa</t>
        </is>
      </c>
      <c r="B248" s="4" t="inlineStr">
        <is>
          <t>G271</t>
        </is>
      </c>
      <c r="C248" s="4" t="inlineStr">
        <is>
          <t>US20230174763A1</t>
        </is>
      </c>
      <c r="D248" s="4" t="inlineStr">
        <is>
          <t>Comparative Example 7</t>
        </is>
      </c>
      <c r="E248" s="4" t="inlineStr">
        <is>
          <t>dev(OOF)</t>
        </is>
      </c>
      <c r="F248" s="10" t="n">
        <v>23.2</v>
      </c>
      <c r="G248" s="10" t="n">
        <v>19.93588786701907</v>
      </c>
      <c r="H248" s="10" t="n">
        <v>3.64929241148351</v>
      </c>
      <c r="I248" s="10">
        <f>G248-1.96*H248</f>
        <v/>
      </c>
      <c r="J248" s="10">
        <f>G248+1.96*H248</f>
        <v/>
      </c>
      <c r="K248" s="10">
        <f>G248-F248</f>
        <v/>
      </c>
      <c r="L248" s="4">
        <f>IF(AND(F248&gt;=I248,F248&lt;=J248),1,0)</f>
        <v/>
      </c>
    </row>
    <row r="249">
      <c r="A249" s="4" t="inlineStr">
        <is>
          <t>tensile_MPa</t>
        </is>
      </c>
      <c r="B249" s="4" t="inlineStr">
        <is>
          <t>G186</t>
        </is>
      </c>
      <c r="C249" s="4" t="inlineStr">
        <is>
          <t>US20040019153A1</t>
        </is>
      </c>
      <c r="D249" s="4" t="inlineStr">
        <is>
          <t>Example 3</t>
        </is>
      </c>
      <c r="E249" s="4" t="inlineStr">
        <is>
          <t>dev(OOF)</t>
        </is>
      </c>
      <c r="F249" s="10" t="n">
        <v>8.699999999999999</v>
      </c>
      <c r="G249" s="10" t="n">
        <v>7.410416891562214</v>
      </c>
      <c r="H249" s="10" t="n">
        <v>2.711026421682321</v>
      </c>
      <c r="I249" s="10">
        <f>G249-1.96*H249</f>
        <v/>
      </c>
      <c r="J249" s="10">
        <f>G249+1.96*H249</f>
        <v/>
      </c>
      <c r="K249" s="10">
        <f>G249-F249</f>
        <v/>
      </c>
      <c r="L249" s="4">
        <f>IF(AND(F249&gt;=I249,F249&lt;=J249),1,0)</f>
        <v/>
      </c>
    </row>
    <row r="250">
      <c r="A250" s="4" t="inlineStr">
        <is>
          <t>tensile_MPa</t>
        </is>
      </c>
      <c r="B250" s="4" t="inlineStr">
        <is>
          <t>G144</t>
        </is>
      </c>
      <c r="C250" s="4" t="inlineStr">
        <is>
          <t>US7247749B2</t>
        </is>
      </c>
      <c r="D250" s="4" t="inlineStr">
        <is>
          <t>Comparative Sample 20</t>
        </is>
      </c>
      <c r="E250" s="4" t="inlineStr">
        <is>
          <t>dev(OOF)</t>
        </is>
      </c>
      <c r="F250" s="10" t="n">
        <v>14.29</v>
      </c>
      <c r="G250" s="10" t="n">
        <v>13.40607178742891</v>
      </c>
      <c r="H250" s="10" t="n">
        <v>2.645978184534461</v>
      </c>
      <c r="I250" s="10">
        <f>G250-1.96*H250</f>
        <v/>
      </c>
      <c r="J250" s="10">
        <f>G250+1.96*H250</f>
        <v/>
      </c>
      <c r="K250" s="10">
        <f>G250-F250</f>
        <v/>
      </c>
      <c r="L250" s="4">
        <f>IF(AND(F250&gt;=I250,F250&lt;=J250),1,0)</f>
        <v/>
      </c>
    </row>
    <row r="251">
      <c r="A251" s="4" t="inlineStr">
        <is>
          <t>tensile_MPa</t>
        </is>
      </c>
      <c r="B251" s="4" t="inlineStr">
        <is>
          <t>G014</t>
        </is>
      </c>
      <c r="C251" s="4" t="inlineStr">
        <is>
          <t>US7678858B2</t>
        </is>
      </c>
      <c r="D251" s="4" t="inlineStr">
        <is>
          <t>Example 13</t>
        </is>
      </c>
      <c r="E251" s="4" t="inlineStr">
        <is>
          <t>dev(OOF)</t>
        </is>
      </c>
      <c r="F251" s="10" t="n">
        <v>21.97</v>
      </c>
      <c r="G251" s="10" t="n">
        <v>22.67604671210695</v>
      </c>
      <c r="H251" s="10" t="n">
        <v>2.904589530366992</v>
      </c>
      <c r="I251" s="10">
        <f>G251-1.96*H251</f>
        <v/>
      </c>
      <c r="J251" s="10">
        <f>G251+1.96*H251</f>
        <v/>
      </c>
      <c r="K251" s="10">
        <f>G251-F251</f>
        <v/>
      </c>
      <c r="L251" s="4">
        <f>IF(AND(F251&gt;=I251,F251&lt;=J251),1,0)</f>
        <v/>
      </c>
    </row>
    <row r="252">
      <c r="A252" s="4" t="inlineStr">
        <is>
          <t>tensile_MPa</t>
        </is>
      </c>
      <c r="B252" s="4" t="inlineStr">
        <is>
          <t>G305</t>
        </is>
      </c>
      <c r="C252" s="4" t="inlineStr">
        <is>
          <t>EP4249550A1</t>
        </is>
      </c>
      <c r="D252" s="4" t="inlineStr">
        <is>
          <t>Comparative Example 4</t>
        </is>
      </c>
      <c r="E252" s="4" t="inlineStr">
        <is>
          <t>dev(OOF)</t>
        </is>
      </c>
      <c r="F252" s="10" t="n">
        <v>11.3</v>
      </c>
      <c r="G252" s="10" t="n">
        <v>14.33467575788795</v>
      </c>
      <c r="H252" s="10" t="n">
        <v>2.872141372679859</v>
      </c>
      <c r="I252" s="10">
        <f>G252-1.96*H252</f>
        <v/>
      </c>
      <c r="J252" s="10">
        <f>G252+1.96*H252</f>
        <v/>
      </c>
      <c r="K252" s="10">
        <f>G252-F252</f>
        <v/>
      </c>
      <c r="L252" s="4">
        <f>IF(AND(F252&gt;=I252,F252&lt;=J252),1,0)</f>
        <v/>
      </c>
    </row>
    <row r="253">
      <c r="A253" s="4" t="inlineStr">
        <is>
          <t>tensile_MPa</t>
        </is>
      </c>
      <c r="B253" s="4" t="inlineStr">
        <is>
          <t>G138</t>
        </is>
      </c>
      <c r="C253" s="4" t="inlineStr">
        <is>
          <t>US7247749B2</t>
        </is>
      </c>
      <c r="D253" s="4" t="inlineStr">
        <is>
          <t>Sample 14</t>
        </is>
      </c>
      <c r="E253" s="4" t="inlineStr">
        <is>
          <t>dev(OOF)</t>
        </is>
      </c>
      <c r="F253" s="10" t="n">
        <v>9</v>
      </c>
      <c r="G253" s="10" t="n">
        <v>8.422802503164203</v>
      </c>
      <c r="H253" s="10" t="n">
        <v>2.522671353830905</v>
      </c>
      <c r="I253" s="10">
        <f>G253-1.96*H253</f>
        <v/>
      </c>
      <c r="J253" s="10">
        <f>G253+1.96*H253</f>
        <v/>
      </c>
      <c r="K253" s="10">
        <f>G253-F253</f>
        <v/>
      </c>
      <c r="L253" s="4">
        <f>IF(AND(F253&gt;=I253,F253&lt;=J253),1,0)</f>
        <v/>
      </c>
    </row>
    <row r="254">
      <c r="A254" s="4" t="inlineStr">
        <is>
          <t>tensile_MPa</t>
        </is>
      </c>
      <c r="B254" s="4" t="inlineStr">
        <is>
          <t>G052</t>
        </is>
      </c>
      <c r="C254" s="4" t="inlineStr">
        <is>
          <t>US8211964B2</t>
        </is>
      </c>
      <c r="D254" s="4" t="inlineStr">
        <is>
          <t>Comparative Example 3</t>
        </is>
      </c>
      <c r="E254" s="4" t="inlineStr">
        <is>
          <t>dev(OOF)</t>
        </is>
      </c>
      <c r="F254" s="10" t="n">
        <v>22.56</v>
      </c>
      <c r="G254" s="10" t="n">
        <v>18.41362610876665</v>
      </c>
      <c r="H254" s="10" t="n">
        <v>2.374301331613326</v>
      </c>
      <c r="I254" s="10">
        <f>G254-1.96*H254</f>
        <v/>
      </c>
      <c r="J254" s="10">
        <f>G254+1.96*H254</f>
        <v/>
      </c>
      <c r="K254" s="10">
        <f>G254-F254</f>
        <v/>
      </c>
      <c r="L254" s="4">
        <f>IF(AND(F254&gt;=I254,F254&lt;=J254),1,0)</f>
        <v/>
      </c>
    </row>
    <row r="255">
      <c r="A255" s="4" t="inlineStr">
        <is>
          <t>tensile_MPa</t>
        </is>
      </c>
      <c r="B255" s="4" t="inlineStr">
        <is>
          <t>G092</t>
        </is>
      </c>
      <c r="C255" s="4" t="inlineStr">
        <is>
          <t>US8367776B2</t>
        </is>
      </c>
      <c r="D255" s="4" t="inlineStr">
        <is>
          <t>Example 10</t>
        </is>
      </c>
      <c r="E255" s="4" t="inlineStr">
        <is>
          <t>dev(OOF)</t>
        </is>
      </c>
      <c r="F255" s="10" t="n">
        <v>5.84</v>
      </c>
      <c r="G255" s="10" t="n">
        <v>8.029404129164117</v>
      </c>
      <c r="H255" s="10" t="n">
        <v>2.408544283966884</v>
      </c>
      <c r="I255" s="10">
        <f>G255-1.96*H255</f>
        <v/>
      </c>
      <c r="J255" s="10">
        <f>G255+1.96*H255</f>
        <v/>
      </c>
      <c r="K255" s="10">
        <f>G255-F255</f>
        <v/>
      </c>
      <c r="L255" s="4">
        <f>IF(AND(F255&gt;=I255,F255&lt;=J255),1,0)</f>
        <v/>
      </c>
    </row>
    <row r="256">
      <c r="A256" s="4" t="inlineStr">
        <is>
          <t>tensile_MPa</t>
        </is>
      </c>
      <c r="B256" s="4" t="inlineStr">
        <is>
          <t>G146</t>
        </is>
      </c>
      <c r="C256" s="4" t="inlineStr">
        <is>
          <t>US7247749B2</t>
        </is>
      </c>
      <c r="D256" s="4" t="inlineStr">
        <is>
          <t>Sample 22</t>
        </is>
      </c>
      <c r="E256" s="4" t="inlineStr">
        <is>
          <t>dev(OOF)</t>
        </is>
      </c>
      <c r="F256" s="10" t="n">
        <v>13.62</v>
      </c>
      <c r="G256" s="10" t="n">
        <v>11.58137347785499</v>
      </c>
      <c r="H256" s="10" t="n">
        <v>2.882612062252702</v>
      </c>
      <c r="I256" s="10">
        <f>G256-1.96*H256</f>
        <v/>
      </c>
      <c r="J256" s="10">
        <f>G256+1.96*H256</f>
        <v/>
      </c>
      <c r="K256" s="10">
        <f>G256-F256</f>
        <v/>
      </c>
      <c r="L256" s="4">
        <f>IF(AND(F256&gt;=I256,F256&lt;=J256),1,0)</f>
        <v/>
      </c>
    </row>
    <row r="257">
      <c r="A257" s="4" t="inlineStr">
        <is>
          <t>tensile_MPa</t>
        </is>
      </c>
      <c r="B257" s="4" t="inlineStr">
        <is>
          <t>G041</t>
        </is>
      </c>
      <c r="C257" s="4" t="inlineStr">
        <is>
          <t>US8173727B2</t>
        </is>
      </c>
      <c r="D257" s="4" t="inlineStr">
        <is>
          <t>Example 13</t>
        </is>
      </c>
      <c r="E257" s="4" t="inlineStr">
        <is>
          <t>dev(OOF)</t>
        </is>
      </c>
      <c r="F257" s="10" t="n">
        <v>13.34</v>
      </c>
      <c r="G257" s="10" t="n">
        <v>16.68349341229925</v>
      </c>
      <c r="H257" s="10" t="n">
        <v>3.174409146536858</v>
      </c>
      <c r="I257" s="10">
        <f>G257-1.96*H257</f>
        <v/>
      </c>
      <c r="J257" s="10">
        <f>G257+1.96*H257</f>
        <v/>
      </c>
      <c r="K257" s="10">
        <f>G257-F257</f>
        <v/>
      </c>
      <c r="L257" s="4">
        <f>IF(AND(F257&gt;=I257,F257&lt;=J257),1,0)</f>
        <v/>
      </c>
    </row>
    <row r="258">
      <c r="A258" s="4" t="inlineStr">
        <is>
          <t>tensile_MPa</t>
        </is>
      </c>
      <c r="B258" s="4" t="inlineStr">
        <is>
          <t>G078</t>
        </is>
      </c>
      <c r="C258" s="4" t="inlineStr">
        <is>
          <t>US12091537B2</t>
        </is>
      </c>
      <c r="D258" s="4" t="inlineStr">
        <is>
          <t>Example 5</t>
        </is>
      </c>
      <c r="E258" s="4" t="inlineStr">
        <is>
          <t>dev(OOF)</t>
        </is>
      </c>
      <c r="F258" s="10" t="n">
        <v>19.4</v>
      </c>
      <c r="G258" s="10" t="n">
        <v>18.56982542245333</v>
      </c>
      <c r="H258" s="10" t="n">
        <v>2.291293956561043</v>
      </c>
      <c r="I258" s="10">
        <f>G258-1.96*H258</f>
        <v/>
      </c>
      <c r="J258" s="10">
        <f>G258+1.96*H258</f>
        <v/>
      </c>
      <c r="K258" s="10">
        <f>G258-F258</f>
        <v/>
      </c>
      <c r="L258" s="4">
        <f>IF(AND(F258&gt;=I258,F258&lt;=J258),1,0)</f>
        <v/>
      </c>
    </row>
    <row r="259">
      <c r="A259" s="4" t="inlineStr">
        <is>
          <t>tensile_MPa</t>
        </is>
      </c>
      <c r="B259" s="4" t="inlineStr">
        <is>
          <t>G333</t>
        </is>
      </c>
      <c r="C259" s="4" t="inlineStr">
        <is>
          <t>KR101467101B1</t>
        </is>
      </c>
      <c r="D259" s="4" t="inlineStr">
        <is>
          <t>Example 3</t>
        </is>
      </c>
      <c r="E259" s="4" t="inlineStr">
        <is>
          <t>dev(OOF)</t>
        </is>
      </c>
      <c r="F259" s="10" t="n">
        <v>13.71</v>
      </c>
      <c r="G259" s="10" t="n">
        <v>10.97840509446628</v>
      </c>
      <c r="H259" s="10" t="n">
        <v>2.804637857605436</v>
      </c>
      <c r="I259" s="10">
        <f>G259-1.96*H259</f>
        <v/>
      </c>
      <c r="J259" s="10">
        <f>G259+1.96*H259</f>
        <v/>
      </c>
      <c r="K259" s="10">
        <f>G259-F259</f>
        <v/>
      </c>
      <c r="L259" s="4">
        <f>IF(AND(F259&gt;=I259,F259&lt;=J259),1,0)</f>
        <v/>
      </c>
    </row>
    <row r="260">
      <c r="A260" s="4" t="inlineStr">
        <is>
          <t>tensile_MPa</t>
        </is>
      </c>
      <c r="B260" s="4" t="inlineStr">
        <is>
          <t>G035</t>
        </is>
      </c>
      <c r="C260" s="4" t="inlineStr">
        <is>
          <t>US8173727B2</t>
        </is>
      </c>
      <c r="D260" s="4" t="inlineStr">
        <is>
          <t>Example 7</t>
        </is>
      </c>
      <c r="E260" s="4" t="inlineStr">
        <is>
          <t>dev(OOF)</t>
        </is>
      </c>
      <c r="F260" s="10" t="n">
        <v>19.61</v>
      </c>
      <c r="G260" s="10" t="n">
        <v>21.84239536303352</v>
      </c>
      <c r="H260" s="10" t="n">
        <v>2.732509352579342</v>
      </c>
      <c r="I260" s="10">
        <f>G260-1.96*H260</f>
        <v/>
      </c>
      <c r="J260" s="10">
        <f>G260+1.96*H260</f>
        <v/>
      </c>
      <c r="K260" s="10">
        <f>G260-F260</f>
        <v/>
      </c>
      <c r="L260" s="4">
        <f>IF(AND(F260&gt;=I260,F260&lt;=J260),1,0)</f>
        <v/>
      </c>
    </row>
    <row r="261">
      <c r="A261" s="4" t="inlineStr">
        <is>
          <t>tensile_MPa</t>
        </is>
      </c>
      <c r="B261" s="4" t="inlineStr">
        <is>
          <t>G291</t>
        </is>
      </c>
      <c r="C261" s="4" t="inlineStr">
        <is>
          <t>EP4249550A1</t>
        </is>
      </c>
      <c r="D261" s="4" t="inlineStr">
        <is>
          <t>Example 2</t>
        </is>
      </c>
      <c r="E261" s="4" t="inlineStr">
        <is>
          <t>dev(OOF)</t>
        </is>
      </c>
      <c r="F261" s="10" t="n">
        <v>14.4</v>
      </c>
      <c r="G261" s="10" t="n">
        <v>13.70833300363918</v>
      </c>
      <c r="H261" s="10" t="n">
        <v>2.582336966393955</v>
      </c>
      <c r="I261" s="10">
        <f>G261-1.96*H261</f>
        <v/>
      </c>
      <c r="J261" s="10">
        <f>G261+1.96*H261</f>
        <v/>
      </c>
      <c r="K261" s="10">
        <f>G261-F261</f>
        <v/>
      </c>
      <c r="L261" s="4">
        <f>IF(AND(F261&gt;=I261,F261&lt;=J261),1,0)</f>
        <v/>
      </c>
    </row>
    <row r="262">
      <c r="A262" s="4" t="inlineStr">
        <is>
          <t>tensile_MPa</t>
        </is>
      </c>
      <c r="B262" s="4" t="inlineStr">
        <is>
          <t>G073</t>
        </is>
      </c>
      <c r="C262" s="4" t="inlineStr">
        <is>
          <t>US11072700B2</t>
        </is>
      </c>
      <c r="D262" s="4" t="inlineStr">
        <is>
          <t>Comparative Example 3</t>
        </is>
      </c>
      <c r="E262" s="4" t="inlineStr">
        <is>
          <t>dev(OOF)</t>
        </is>
      </c>
      <c r="F262" s="10" t="n">
        <v>19.9</v>
      </c>
      <c r="G262" s="10" t="n">
        <v>16.01842615128038</v>
      </c>
      <c r="H262" s="10" t="n">
        <v>3.181638538454588</v>
      </c>
      <c r="I262" s="10">
        <f>G262-1.96*H262</f>
        <v/>
      </c>
      <c r="J262" s="10">
        <f>G262+1.96*H262</f>
        <v/>
      </c>
      <c r="K262" s="10">
        <f>G262-F262</f>
        <v/>
      </c>
      <c r="L262" s="4">
        <f>IF(AND(F262&gt;=I262,F262&lt;=J262),1,0)</f>
        <v/>
      </c>
    </row>
    <row r="263">
      <c r="A263" s="4" t="inlineStr">
        <is>
          <t>tensile_MPa</t>
        </is>
      </c>
      <c r="B263" s="4" t="inlineStr">
        <is>
          <t>G140</t>
        </is>
      </c>
      <c r="C263" s="4" t="inlineStr">
        <is>
          <t>US7247749B2</t>
        </is>
      </c>
      <c r="D263" s="4" t="inlineStr">
        <is>
          <t>Sample 16</t>
        </is>
      </c>
      <c r="E263" s="4" t="inlineStr">
        <is>
          <t>dev(OOF)</t>
        </is>
      </c>
      <c r="F263" s="10" t="n">
        <v>10.51</v>
      </c>
      <c r="G263" s="10" t="n">
        <v>10.88516105575918</v>
      </c>
      <c r="H263" s="10" t="n">
        <v>3.141953275595779</v>
      </c>
      <c r="I263" s="10">
        <f>G263-1.96*H263</f>
        <v/>
      </c>
      <c r="J263" s="10">
        <f>G263+1.96*H263</f>
        <v/>
      </c>
      <c r="K263" s="10">
        <f>G263-F263</f>
        <v/>
      </c>
      <c r="L263" s="4">
        <f>IF(AND(F263&gt;=I263,F263&lt;=J263),1,0)</f>
        <v/>
      </c>
    </row>
    <row r="264">
      <c r="A264" s="4" t="inlineStr">
        <is>
          <t>tensile_MPa</t>
        </is>
      </c>
      <c r="B264" s="4" t="inlineStr">
        <is>
          <t>G122</t>
        </is>
      </c>
      <c r="C264" s="4" t="inlineStr">
        <is>
          <t>US5696189A</t>
        </is>
      </c>
      <c r="D264" s="4" t="inlineStr">
        <is>
          <t>Example 5</t>
        </is>
      </c>
      <c r="E264" s="4" t="inlineStr">
        <is>
          <t>dev(OOF)</t>
        </is>
      </c>
      <c r="F264" s="10" t="n">
        <v>15.35</v>
      </c>
      <c r="G264" s="10" t="n">
        <v>13.70957063940806</v>
      </c>
      <c r="H264" s="10" t="n">
        <v>5.063111701638142</v>
      </c>
      <c r="I264" s="10">
        <f>G264-1.96*H264</f>
        <v/>
      </c>
      <c r="J264" s="10">
        <f>G264+1.96*H264</f>
        <v/>
      </c>
      <c r="K264" s="10">
        <f>G264-F264</f>
        <v/>
      </c>
      <c r="L264" s="4">
        <f>IF(AND(F264&gt;=I264,F264&lt;=J264),1,0)</f>
        <v/>
      </c>
    </row>
    <row r="265">
      <c r="A265" s="4" t="inlineStr">
        <is>
          <t>tensile_MPa</t>
        </is>
      </c>
      <c r="B265" s="4" t="inlineStr">
        <is>
          <t>G311</t>
        </is>
      </c>
      <c r="C265" s="4" t="inlineStr">
        <is>
          <t>US7666948B2</t>
        </is>
      </c>
      <c r="D265" s="4" t="inlineStr">
        <is>
          <t>Comparative Example 4</t>
        </is>
      </c>
      <c r="E265" s="4" t="inlineStr">
        <is>
          <t>dev(OOF)</t>
        </is>
      </c>
      <c r="F265" s="10" t="n">
        <v>4.86</v>
      </c>
      <c r="G265" s="10" t="n">
        <v>10.52824077220167</v>
      </c>
      <c r="H265" s="10" t="n">
        <v>3.218063110568518</v>
      </c>
      <c r="I265" s="10">
        <f>G265-1.96*H265</f>
        <v/>
      </c>
      <c r="J265" s="10">
        <f>G265+1.96*H265</f>
        <v/>
      </c>
      <c r="K265" s="10">
        <f>G265-F265</f>
        <v/>
      </c>
      <c r="L265" s="4">
        <f>IF(AND(F265&gt;=I265,F265&lt;=J265),1,0)</f>
        <v/>
      </c>
    </row>
    <row r="266">
      <c r="A266" s="4" t="inlineStr">
        <is>
          <t>tensile_MPa</t>
        </is>
      </c>
      <c r="B266" s="4" t="inlineStr">
        <is>
          <t>G033</t>
        </is>
      </c>
      <c r="C266" s="4" t="inlineStr">
        <is>
          <t>US8173727B2</t>
        </is>
      </c>
      <c r="D266" s="4" t="inlineStr">
        <is>
          <t>Example 5</t>
        </is>
      </c>
      <c r="E266" s="4" t="inlineStr">
        <is>
          <t>dev(OOF)</t>
        </is>
      </c>
      <c r="F266" s="10" t="n">
        <v>10.79</v>
      </c>
      <c r="G266" s="10" t="n">
        <v>16.59656535059884</v>
      </c>
      <c r="H266" s="10" t="n">
        <v>2.141625221694984</v>
      </c>
      <c r="I266" s="10">
        <f>G266-1.96*H266</f>
        <v/>
      </c>
      <c r="J266" s="10">
        <f>G266+1.96*H266</f>
        <v/>
      </c>
      <c r="K266" s="10">
        <f>G266-F266</f>
        <v/>
      </c>
      <c r="L266" s="4">
        <f>IF(AND(F266&gt;=I266,F266&lt;=J266),1,0)</f>
        <v/>
      </c>
    </row>
    <row r="267">
      <c r="A267" s="4" t="inlineStr">
        <is>
          <t>tensile_MPa</t>
        </is>
      </c>
      <c r="B267" s="4" t="inlineStr">
        <is>
          <t>G077</t>
        </is>
      </c>
      <c r="C267" s="4" t="inlineStr">
        <is>
          <t>US12091537B2</t>
        </is>
      </c>
      <c r="D267" s="4" t="inlineStr">
        <is>
          <t>Example 4</t>
        </is>
      </c>
      <c r="E267" s="4" t="inlineStr">
        <is>
          <t>dev(OOF)</t>
        </is>
      </c>
      <c r="F267" s="10" t="n">
        <v>18.2</v>
      </c>
      <c r="G267" s="10" t="n">
        <v>18.4644806767045</v>
      </c>
      <c r="H267" s="10" t="n">
        <v>2.190255099783382</v>
      </c>
      <c r="I267" s="10">
        <f>G267-1.96*H267</f>
        <v/>
      </c>
      <c r="J267" s="10">
        <f>G267+1.96*H267</f>
        <v/>
      </c>
      <c r="K267" s="10">
        <f>G267-F267</f>
        <v/>
      </c>
      <c r="L267" s="4">
        <f>IF(AND(F267&gt;=I267,F267&lt;=J267),1,0)</f>
        <v/>
      </c>
    </row>
    <row r="268">
      <c r="A268" s="4" t="inlineStr">
        <is>
          <t>tensile_MPa</t>
        </is>
      </c>
      <c r="B268" s="4" t="inlineStr">
        <is>
          <t>G150</t>
        </is>
      </c>
      <c r="C268" s="4" t="inlineStr">
        <is>
          <t>US7247749B2</t>
        </is>
      </c>
      <c r="D268" s="4" t="inlineStr">
        <is>
          <t>Sample 26</t>
        </is>
      </c>
      <c r="E268" s="4" t="inlineStr">
        <is>
          <t>dev(OOF)</t>
        </is>
      </c>
      <c r="F268" s="10" t="n">
        <v>11.51</v>
      </c>
      <c r="G268" s="10" t="n">
        <v>12.31347868606754</v>
      </c>
      <c r="H268" s="10" t="n">
        <v>2.254960414384104</v>
      </c>
      <c r="I268" s="10">
        <f>G268-1.96*H268</f>
        <v/>
      </c>
      <c r="J268" s="10">
        <f>G268+1.96*H268</f>
        <v/>
      </c>
      <c r="K268" s="10">
        <f>G268-F268</f>
        <v/>
      </c>
      <c r="L268" s="4">
        <f>IF(AND(F268&gt;=I268,F268&lt;=J268),1,0)</f>
        <v/>
      </c>
    </row>
    <row r="269">
      <c r="A269" s="4" t="inlineStr">
        <is>
          <t>tensile_MPa</t>
        </is>
      </c>
      <c r="B269" s="4" t="inlineStr">
        <is>
          <t>G274</t>
        </is>
      </c>
      <c r="C269" s="4" t="inlineStr">
        <is>
          <t>US20230174763A1</t>
        </is>
      </c>
      <c r="D269" s="4" t="inlineStr">
        <is>
          <t>Comparative Example 12</t>
        </is>
      </c>
      <c r="E269" s="4" t="inlineStr">
        <is>
          <t>dev(OOF)</t>
        </is>
      </c>
      <c r="F269" s="10" t="n">
        <v>8.199999999999999</v>
      </c>
      <c r="G269" s="10" t="n">
        <v>13.52281175387403</v>
      </c>
      <c r="H269" s="10" t="n">
        <v>8.524564688002821</v>
      </c>
      <c r="I269" s="10">
        <f>G269-1.96*H269</f>
        <v/>
      </c>
      <c r="J269" s="10">
        <f>G269+1.96*H269</f>
        <v/>
      </c>
      <c r="K269" s="10">
        <f>G269-F269</f>
        <v/>
      </c>
      <c r="L269" s="4">
        <f>IF(AND(F269&gt;=I269,F269&lt;=J269),1,0)</f>
        <v/>
      </c>
    </row>
    <row r="270">
      <c r="A270" s="4" t="inlineStr">
        <is>
          <t>tensile_MPa</t>
        </is>
      </c>
      <c r="B270" s="4" t="inlineStr">
        <is>
          <t>G278</t>
        </is>
      </c>
      <c r="C270" s="4" t="inlineStr">
        <is>
          <t>US20230365800A1</t>
        </is>
      </c>
      <c r="D270" s="4" t="inlineStr">
        <is>
          <t>Example 2</t>
        </is>
      </c>
      <c r="E270" s="4" t="inlineStr">
        <is>
          <t>dev(OOF)</t>
        </is>
      </c>
      <c r="F270" s="10" t="n">
        <v>15.6</v>
      </c>
      <c r="G270" s="10" t="n">
        <v>10.63149934121196</v>
      </c>
      <c r="H270" s="10" t="n">
        <v>2.255111638952612</v>
      </c>
      <c r="I270" s="10">
        <f>G270-1.96*H270</f>
        <v/>
      </c>
      <c r="J270" s="10">
        <f>G270+1.96*H270</f>
        <v/>
      </c>
      <c r="K270" s="10">
        <f>G270-F270</f>
        <v/>
      </c>
      <c r="L270" s="4">
        <f>IF(AND(F270&gt;=I270,F270&lt;=J270),1,0)</f>
        <v/>
      </c>
    </row>
    <row r="271">
      <c r="A271" s="4" t="inlineStr">
        <is>
          <t>tensile_MPa</t>
        </is>
      </c>
      <c r="B271" s="4" t="inlineStr">
        <is>
          <t>G021</t>
        </is>
      </c>
      <c r="C271" s="4" t="inlineStr">
        <is>
          <t>US7678858B2</t>
        </is>
      </c>
      <c r="D271" s="4" t="inlineStr">
        <is>
          <t>Example 20</t>
        </is>
      </c>
      <c r="E271" s="4" t="inlineStr">
        <is>
          <t>dev(OOF)</t>
        </is>
      </c>
      <c r="F271" s="10" t="n">
        <v>20.99</v>
      </c>
      <c r="G271" s="10" t="n">
        <v>19.51307203886736</v>
      </c>
      <c r="H271" s="10" t="n">
        <v>3.470915400829687</v>
      </c>
      <c r="I271" s="10">
        <f>G271-1.96*H271</f>
        <v/>
      </c>
      <c r="J271" s="10">
        <f>G271+1.96*H271</f>
        <v/>
      </c>
      <c r="K271" s="10">
        <f>G271-F271</f>
        <v/>
      </c>
      <c r="L271" s="4">
        <f>IF(AND(F271&gt;=I271,F271&lt;=J271),1,0)</f>
        <v/>
      </c>
    </row>
    <row r="272">
      <c r="A272" s="4" t="inlineStr">
        <is>
          <t>tensile_MPa</t>
        </is>
      </c>
      <c r="B272" s="4" t="inlineStr">
        <is>
          <t>G322</t>
        </is>
      </c>
      <c r="C272" s="4" t="inlineStr">
        <is>
          <t>KR101467101B1</t>
        </is>
      </c>
      <c r="D272" s="4" t="inlineStr">
        <is>
          <t>Table 1 compound FFKM C</t>
        </is>
      </c>
      <c r="E272" s="4" t="inlineStr">
        <is>
          <t>dev(OOF)</t>
        </is>
      </c>
      <c r="F272" s="10" t="n">
        <v>12.1</v>
      </c>
      <c r="G272" s="10" t="n">
        <v>12.7376215170352</v>
      </c>
      <c r="H272" s="10" t="n">
        <v>4.697185704096734</v>
      </c>
      <c r="I272" s="10">
        <f>G272-1.96*H272</f>
        <v/>
      </c>
      <c r="J272" s="10">
        <f>G272+1.96*H272</f>
        <v/>
      </c>
      <c r="K272" s="10">
        <f>G272-F272</f>
        <v/>
      </c>
      <c r="L272" s="4">
        <f>IF(AND(F272&gt;=I272,F272&lt;=J272),1,0)</f>
        <v/>
      </c>
    </row>
    <row r="273">
      <c r="A273" s="4" t="inlineStr">
        <is>
          <t>tensile_MPa</t>
        </is>
      </c>
      <c r="B273" s="4" t="inlineStr">
        <is>
          <t>G047</t>
        </is>
      </c>
      <c r="C273" s="4" t="inlineStr">
        <is>
          <t>US8211964B2</t>
        </is>
      </c>
      <c r="D273" s="4" t="inlineStr">
        <is>
          <t>Example 6</t>
        </is>
      </c>
      <c r="E273" s="4" t="inlineStr">
        <is>
          <t>dev(OOF)</t>
        </is>
      </c>
      <c r="F273" s="10" t="n">
        <v>13.04</v>
      </c>
      <c r="G273" s="10" t="n">
        <v>13.61414344192014</v>
      </c>
      <c r="H273" s="10" t="n">
        <v>4.990378126339636</v>
      </c>
      <c r="I273" s="10">
        <f>G273-1.96*H273</f>
        <v/>
      </c>
      <c r="J273" s="10">
        <f>G273+1.96*H273</f>
        <v/>
      </c>
      <c r="K273" s="10">
        <f>G273-F273</f>
        <v/>
      </c>
      <c r="L273" s="4">
        <f>IF(AND(F273&gt;=I273,F273&lt;=J273),1,0)</f>
        <v/>
      </c>
    </row>
    <row r="274">
      <c r="A274" s="4" t="inlineStr">
        <is>
          <t>tensile_MPa</t>
        </is>
      </c>
      <c r="B274" s="4" t="inlineStr">
        <is>
          <t>G129</t>
        </is>
      </c>
      <c r="C274" s="4" t="inlineStr">
        <is>
          <t>US7247749B2</t>
        </is>
      </c>
      <c r="D274" s="4" t="inlineStr">
        <is>
          <t>Sample 5</t>
        </is>
      </c>
      <c r="E274" s="4" t="inlineStr">
        <is>
          <t>dev(OOF)</t>
        </is>
      </c>
      <c r="F274" s="10" t="n">
        <v>13.58</v>
      </c>
      <c r="G274" s="10" t="n">
        <v>11.9223129834393</v>
      </c>
      <c r="H274" s="10" t="n">
        <v>2.820910594175533</v>
      </c>
      <c r="I274" s="10">
        <f>G274-1.96*H274</f>
        <v/>
      </c>
      <c r="J274" s="10">
        <f>G274+1.96*H274</f>
        <v/>
      </c>
      <c r="K274" s="10">
        <f>G274-F274</f>
        <v/>
      </c>
      <c r="L274" s="4">
        <f>IF(AND(F274&gt;=I274,F274&lt;=J274),1,0)</f>
        <v/>
      </c>
    </row>
    <row r="275">
      <c r="A275" s="4" t="inlineStr">
        <is>
          <t>tensile_MPa</t>
        </is>
      </c>
      <c r="B275" s="4" t="inlineStr">
        <is>
          <t>G009</t>
        </is>
      </c>
      <c r="C275" s="4" t="inlineStr">
        <is>
          <t>US7678858B2</t>
        </is>
      </c>
      <c r="D275" s="4" t="inlineStr">
        <is>
          <t>Example 9</t>
        </is>
      </c>
      <c r="E275" s="4" t="inlineStr">
        <is>
          <t>dev(OOF)</t>
        </is>
      </c>
      <c r="F275" s="10" t="n">
        <v>23.14</v>
      </c>
      <c r="G275" s="10" t="n">
        <v>21.95770980563825</v>
      </c>
      <c r="H275" s="10" t="n">
        <v>2.389711226088384</v>
      </c>
      <c r="I275" s="10">
        <f>G275-1.96*H275</f>
        <v/>
      </c>
      <c r="J275" s="10">
        <f>G275+1.96*H275</f>
        <v/>
      </c>
      <c r="K275" s="10">
        <f>G275-F275</f>
        <v/>
      </c>
      <c r="L275" s="4">
        <f>IF(AND(F275&gt;=I275,F275&lt;=J275),1,0)</f>
        <v/>
      </c>
    </row>
    <row r="276">
      <c r="A276" s="4" t="inlineStr">
        <is>
          <t>tensile_MPa</t>
        </is>
      </c>
      <c r="B276" s="4" t="inlineStr">
        <is>
          <t>G280</t>
        </is>
      </c>
      <c r="C276" s="4" t="inlineStr">
        <is>
          <t>US20230365800A1</t>
        </is>
      </c>
      <c r="D276" s="4" t="inlineStr">
        <is>
          <t>Example 4</t>
        </is>
      </c>
      <c r="E276" s="4" t="inlineStr">
        <is>
          <t>dev(OOF)</t>
        </is>
      </c>
      <c r="F276" s="10" t="n">
        <v>13.6</v>
      </c>
      <c r="G276" s="10" t="n">
        <v>10.63149934121196</v>
      </c>
      <c r="H276" s="10" t="n">
        <v>2.255111638952612</v>
      </c>
      <c r="I276" s="10">
        <f>G276-1.96*H276</f>
        <v/>
      </c>
      <c r="J276" s="10">
        <f>G276+1.96*H276</f>
        <v/>
      </c>
      <c r="K276" s="10">
        <f>G276-F276</f>
        <v/>
      </c>
      <c r="L276" s="4">
        <f>IF(AND(F276&gt;=I276,F276&lt;=J276),1,0)</f>
        <v/>
      </c>
    </row>
    <row r="277">
      <c r="A277" s="4" t="inlineStr">
        <is>
          <t>tensile_MPa</t>
        </is>
      </c>
      <c r="B277" s="4" t="inlineStr">
        <is>
          <t>G310</t>
        </is>
      </c>
      <c r="C277" s="4" t="inlineStr">
        <is>
          <t>US7666948B2</t>
        </is>
      </c>
      <c r="D277" s="4" t="inlineStr">
        <is>
          <t>Comparative Example 1</t>
        </is>
      </c>
      <c r="E277" s="4" t="inlineStr">
        <is>
          <t>dev(OOF)</t>
        </is>
      </c>
      <c r="F277" s="10" t="n">
        <v>4.36</v>
      </c>
      <c r="G277" s="10" t="n">
        <v>10.35926824775701</v>
      </c>
      <c r="H277" s="10" t="n">
        <v>2.807230396797336</v>
      </c>
      <c r="I277" s="10">
        <f>G277-1.96*H277</f>
        <v/>
      </c>
      <c r="J277" s="10">
        <f>G277+1.96*H277</f>
        <v/>
      </c>
      <c r="K277" s="10">
        <f>G277-F277</f>
        <v/>
      </c>
      <c r="L277" s="4">
        <f>IF(AND(F277&gt;=I277,F277&lt;=J277),1,0)</f>
        <v/>
      </c>
    </row>
    <row r="278">
      <c r="A278" s="4" t="inlineStr">
        <is>
          <t>tensile_MPa</t>
        </is>
      </c>
      <c r="B278" s="4" t="inlineStr">
        <is>
          <t>G118</t>
        </is>
      </c>
      <c r="C278" s="4" t="inlineStr">
        <is>
          <t>US5696189A</t>
        </is>
      </c>
      <c r="D278" s="4" t="inlineStr">
        <is>
          <t>Example 1</t>
        </is>
      </c>
      <c r="E278" s="4" t="inlineStr">
        <is>
          <t>dev(OOF)</t>
        </is>
      </c>
      <c r="F278" s="10" t="n">
        <v>10.2</v>
      </c>
      <c r="G278" s="10" t="n">
        <v>14.66167263098877</v>
      </c>
      <c r="H278" s="10" t="n">
        <v>4.503511200810823</v>
      </c>
      <c r="I278" s="10">
        <f>G278-1.96*H278</f>
        <v/>
      </c>
      <c r="J278" s="10">
        <f>G278+1.96*H278</f>
        <v/>
      </c>
      <c r="K278" s="10">
        <f>G278-F278</f>
        <v/>
      </c>
      <c r="L278" s="4">
        <f>IF(AND(F278&gt;=I278,F278&lt;=J278),1,0)</f>
        <v/>
      </c>
    </row>
    <row r="279">
      <c r="A279" s="4" t="inlineStr">
        <is>
          <t>tensile_MPa</t>
        </is>
      </c>
      <c r="B279" s="4" t="inlineStr">
        <is>
          <t>G109</t>
        </is>
      </c>
      <c r="C279" s="4" t="inlineStr">
        <is>
          <t>US6992143B2</t>
        </is>
      </c>
      <c r="D279" s="4" t="inlineStr">
        <is>
          <t>Control Example 3</t>
        </is>
      </c>
      <c r="E279" s="4" t="inlineStr">
        <is>
          <t>dev(OOF)</t>
        </is>
      </c>
      <c r="F279" s="10" t="n">
        <v>12.3</v>
      </c>
      <c r="G279" s="10" t="n">
        <v>16.88645629029567</v>
      </c>
      <c r="H279" s="10" t="n">
        <v>2.569627079576836</v>
      </c>
      <c r="I279" s="10">
        <f>G279-1.96*H279</f>
        <v/>
      </c>
      <c r="J279" s="10">
        <f>G279+1.96*H279</f>
        <v/>
      </c>
      <c r="K279" s="10">
        <f>G279-F279</f>
        <v/>
      </c>
      <c r="L279" s="4">
        <f>IF(AND(F279&gt;=I279,F279&lt;=J279),1,0)</f>
        <v/>
      </c>
    </row>
    <row r="280">
      <c r="A280" s="4" t="inlineStr">
        <is>
          <t>tensile_MPa</t>
        </is>
      </c>
      <c r="B280" s="4" t="inlineStr">
        <is>
          <t>G125</t>
        </is>
      </c>
      <c r="C280" s="4" t="inlineStr">
        <is>
          <t>US7247749B2</t>
        </is>
      </c>
      <c r="D280" s="4" t="inlineStr">
        <is>
          <t>Sample 1</t>
        </is>
      </c>
      <c r="E280" s="4" t="inlineStr">
        <is>
          <t>dev(OOF)</t>
        </is>
      </c>
      <c r="F280" s="10" t="n">
        <v>13</v>
      </c>
      <c r="G280" s="10" t="n">
        <v>13.71793600237568</v>
      </c>
      <c r="H280" s="10" t="n">
        <v>3.358658232474373</v>
      </c>
      <c r="I280" s="10">
        <f>G280-1.96*H280</f>
        <v/>
      </c>
      <c r="J280" s="10">
        <f>G280+1.96*H280</f>
        <v/>
      </c>
      <c r="K280" s="10">
        <f>G280-F280</f>
        <v/>
      </c>
      <c r="L280" s="4">
        <f>IF(AND(F280&gt;=I280,F280&lt;=J280),1,0)</f>
        <v/>
      </c>
    </row>
    <row r="281">
      <c r="A281" s="4" t="inlineStr">
        <is>
          <t>tensile_MPa</t>
        </is>
      </c>
      <c r="B281" s="4" t="inlineStr">
        <is>
          <t>G015</t>
        </is>
      </c>
      <c r="C281" s="4" t="inlineStr">
        <is>
          <t>US7678858B2</t>
        </is>
      </c>
      <c r="D281" s="4" t="inlineStr">
        <is>
          <t>Example 14</t>
        </is>
      </c>
      <c r="E281" s="4" t="inlineStr">
        <is>
          <t>dev(OOF)</t>
        </is>
      </c>
      <c r="F281" s="10" t="n">
        <v>15.98</v>
      </c>
      <c r="G281" s="10" t="n">
        <v>23.38385741725344</v>
      </c>
      <c r="H281" s="10" t="n">
        <v>2.114662660729939</v>
      </c>
      <c r="I281" s="10">
        <f>G281-1.96*H281</f>
        <v/>
      </c>
      <c r="J281" s="10">
        <f>G281+1.96*H281</f>
        <v/>
      </c>
      <c r="K281" s="10">
        <f>G281-F281</f>
        <v/>
      </c>
      <c r="L281" s="4">
        <f>IF(AND(F281&gt;=I281,F281&lt;=J281),1,0)</f>
        <v/>
      </c>
    </row>
    <row r="282">
      <c r="A282" s="4" t="inlineStr">
        <is>
          <t>tensile_MPa</t>
        </is>
      </c>
      <c r="B282" s="4" t="inlineStr">
        <is>
          <t>G265</t>
        </is>
      </c>
      <c r="C282" s="4" t="inlineStr">
        <is>
          <t>US20230174763A1</t>
        </is>
      </c>
      <c r="D282" s="4" t="inlineStr">
        <is>
          <t>Example 2</t>
        </is>
      </c>
      <c r="E282" s="4" t="inlineStr">
        <is>
          <t>dev(OOF)</t>
        </is>
      </c>
      <c r="F282" s="10" t="n">
        <v>21.5</v>
      </c>
      <c r="G282" s="10" t="n">
        <v>20.63634560534395</v>
      </c>
      <c r="H282" s="10" t="n">
        <v>3.583470230730062</v>
      </c>
      <c r="I282" s="10">
        <f>G282-1.96*H282</f>
        <v/>
      </c>
      <c r="J282" s="10">
        <f>G282+1.96*H282</f>
        <v/>
      </c>
      <c r="K282" s="10">
        <f>G282-F282</f>
        <v/>
      </c>
      <c r="L282" s="4">
        <f>IF(AND(F282&gt;=I282,F282&lt;=J282),1,0)</f>
        <v/>
      </c>
    </row>
    <row r="283">
      <c r="A283" s="4" t="inlineStr">
        <is>
          <t>tensile_MPa</t>
        </is>
      </c>
      <c r="B283" s="4" t="inlineStr">
        <is>
          <t>G024</t>
        </is>
      </c>
      <c r="C283" s="4" t="inlineStr">
        <is>
          <t>US6803402B2</t>
        </is>
      </c>
      <c r="D283" s="4" t="inlineStr">
        <is>
          <t>Example 1</t>
        </is>
      </c>
      <c r="E283" s="4" t="inlineStr">
        <is>
          <t>dev(OOF)</t>
        </is>
      </c>
      <c r="F283" s="10" t="n">
        <v>24.52</v>
      </c>
      <c r="G283" s="10" t="n">
        <v>19.42234985452178</v>
      </c>
      <c r="H283" s="10" t="n">
        <v>2.666924570826088</v>
      </c>
      <c r="I283" s="10">
        <f>G283-1.96*H283</f>
        <v/>
      </c>
      <c r="J283" s="10">
        <f>G283+1.96*H283</f>
        <v/>
      </c>
      <c r="K283" s="10">
        <f>G283-F283</f>
        <v/>
      </c>
      <c r="L283" s="4">
        <f>IF(AND(F283&gt;=I283,F283&lt;=J283),1,0)</f>
        <v/>
      </c>
    </row>
    <row r="284">
      <c r="A284" s="4" t="inlineStr">
        <is>
          <t>tensile_MPa</t>
        </is>
      </c>
      <c r="B284" s="4" t="inlineStr">
        <is>
          <t>G102</t>
        </is>
      </c>
      <c r="C284" s="4" t="inlineStr">
        <is>
          <t>US7354974B2</t>
        </is>
      </c>
      <c r="D284" s="4" t="inlineStr">
        <is>
          <t>Example 6</t>
        </is>
      </c>
      <c r="E284" s="4" t="inlineStr">
        <is>
          <t>dev(OOF)</t>
        </is>
      </c>
      <c r="F284" s="10" t="n">
        <v>26.1</v>
      </c>
      <c r="G284" s="10" t="n">
        <v>23.87602730657896</v>
      </c>
      <c r="H284" s="10" t="n">
        <v>3.287757740367125</v>
      </c>
      <c r="I284" s="10">
        <f>G284-1.96*H284</f>
        <v/>
      </c>
      <c r="J284" s="10">
        <f>G284+1.96*H284</f>
        <v/>
      </c>
      <c r="K284" s="10">
        <f>G284-F284</f>
        <v/>
      </c>
      <c r="L284" s="4">
        <f>IF(AND(F284&gt;=I284,F284&lt;=J284),1,0)</f>
        <v/>
      </c>
    </row>
    <row r="285">
      <c r="A285" s="4" t="inlineStr">
        <is>
          <t>tensile_MPa</t>
        </is>
      </c>
      <c r="B285" s="4" t="inlineStr">
        <is>
          <t>G157</t>
        </is>
      </c>
      <c r="C285" s="4" t="inlineStr">
        <is>
          <t>US7402630B2</t>
        </is>
      </c>
      <c r="D285" s="4" t="inlineStr">
        <is>
          <t>Comparative Example A</t>
        </is>
      </c>
      <c r="E285" s="4" t="inlineStr">
        <is>
          <t>dev(OOF)</t>
        </is>
      </c>
      <c r="F285" s="10" t="n">
        <v>13.1</v>
      </c>
      <c r="G285" s="10" t="n">
        <v>13.13332196843212</v>
      </c>
      <c r="H285" s="10" t="n">
        <v>3.760342537770994</v>
      </c>
      <c r="I285" s="10">
        <f>G285-1.96*H285</f>
        <v/>
      </c>
      <c r="J285" s="10">
        <f>G285+1.96*H285</f>
        <v/>
      </c>
      <c r="K285" s="10">
        <f>G285-F285</f>
        <v/>
      </c>
      <c r="L285" s="4">
        <f>IF(AND(F285&gt;=I285,F285&lt;=J285),1,0)</f>
        <v/>
      </c>
    </row>
    <row r="286">
      <c r="A286" s="4" t="inlineStr">
        <is>
          <t>tensile_MPa</t>
        </is>
      </c>
      <c r="B286" s="4" t="inlineStr">
        <is>
          <t>G099</t>
        </is>
      </c>
      <c r="C286" s="4" t="inlineStr">
        <is>
          <t>US7354974B2</t>
        </is>
      </c>
      <c r="D286" s="4" t="inlineStr">
        <is>
          <t>Example 3</t>
        </is>
      </c>
      <c r="E286" s="4" t="inlineStr">
        <is>
          <t>dev(OOF)</t>
        </is>
      </c>
      <c r="F286" s="10" t="n">
        <v>18</v>
      </c>
      <c r="G286" s="10" t="n">
        <v>17.9265856348357</v>
      </c>
      <c r="H286" s="10" t="n">
        <v>2.240700077813512</v>
      </c>
      <c r="I286" s="10">
        <f>G286-1.96*H286</f>
        <v/>
      </c>
      <c r="J286" s="10">
        <f>G286+1.96*H286</f>
        <v/>
      </c>
      <c r="K286" s="10">
        <f>G286-F286</f>
        <v/>
      </c>
      <c r="L286" s="4">
        <f>IF(AND(F286&gt;=I286,F286&lt;=J286),1,0)</f>
        <v/>
      </c>
    </row>
    <row r="287">
      <c r="A287" s="4" t="inlineStr">
        <is>
          <t>tensile_MPa</t>
        </is>
      </c>
      <c r="B287" s="4" t="inlineStr">
        <is>
          <t>G260</t>
        </is>
      </c>
      <c r="C287" s="4" t="inlineStr">
        <is>
          <t>US12584054B2</t>
        </is>
      </c>
      <c r="D287" s="4" t="inlineStr">
        <is>
          <t>Example 8</t>
        </is>
      </c>
      <c r="E287" s="4" t="inlineStr">
        <is>
          <t>dev(OOF)</t>
        </is>
      </c>
      <c r="F287" s="10" t="n">
        <v>14.1</v>
      </c>
      <c r="G287" s="10" t="n">
        <v>15.52495184262812</v>
      </c>
      <c r="H287" s="10" t="n">
        <v>2.516165695975904</v>
      </c>
      <c r="I287" s="10">
        <f>G287-1.96*H287</f>
        <v/>
      </c>
      <c r="J287" s="10">
        <f>G287+1.96*H287</f>
        <v/>
      </c>
      <c r="K287" s="10">
        <f>G287-F287</f>
        <v/>
      </c>
      <c r="L287" s="4">
        <f>IF(AND(F287&gt;=I287,F287&lt;=J287),1,0)</f>
        <v/>
      </c>
    </row>
    <row r="288">
      <c r="A288" s="4" t="inlineStr">
        <is>
          <t>tensile_MPa</t>
        </is>
      </c>
      <c r="B288" s="4" t="inlineStr">
        <is>
          <t>G112</t>
        </is>
      </c>
      <c r="C288" s="4" t="inlineStr">
        <is>
          <t>US6992143B2</t>
        </is>
      </c>
      <c r="D288" s="4" t="inlineStr">
        <is>
          <t>Example 3</t>
        </is>
      </c>
      <c r="E288" s="4" t="inlineStr">
        <is>
          <t>dev(OOF)</t>
        </is>
      </c>
      <c r="F288" s="10" t="n">
        <v>12.8</v>
      </c>
      <c r="G288" s="10" t="n">
        <v>11.43267692345637</v>
      </c>
      <c r="H288" s="10" t="n">
        <v>2.386647546977233</v>
      </c>
      <c r="I288" s="10">
        <f>G288-1.96*H288</f>
        <v/>
      </c>
      <c r="J288" s="10">
        <f>G288+1.96*H288</f>
        <v/>
      </c>
      <c r="K288" s="10">
        <f>G288-F288</f>
        <v/>
      </c>
      <c r="L288" s="4">
        <f>IF(AND(F288&gt;=I288,F288&lt;=J288),1,0)</f>
        <v/>
      </c>
    </row>
    <row r="289">
      <c r="A289" s="4" t="inlineStr">
        <is>
          <t>tensile_MPa</t>
        </is>
      </c>
      <c r="B289" s="4" t="inlineStr">
        <is>
          <t>G192</t>
        </is>
      </c>
      <c r="C289" s="4" t="inlineStr">
        <is>
          <t>US20160319102A1</t>
        </is>
      </c>
      <c r="D289" s="4" t="inlineStr">
        <is>
          <t>Example 3</t>
        </is>
      </c>
      <c r="E289" s="4" t="inlineStr">
        <is>
          <t>dev(OOF)</t>
        </is>
      </c>
      <c r="F289" s="10" t="n">
        <v>15.5</v>
      </c>
      <c r="G289" s="10" t="n">
        <v>14.17042488559818</v>
      </c>
      <c r="H289" s="10" t="n">
        <v>2.775589053185585</v>
      </c>
      <c r="I289" s="10">
        <f>G289-1.96*H289</f>
        <v/>
      </c>
      <c r="J289" s="10">
        <f>G289+1.96*H289</f>
        <v/>
      </c>
      <c r="K289" s="10">
        <f>G289-F289</f>
        <v/>
      </c>
      <c r="L289" s="4">
        <f>IF(AND(F289&gt;=I289,F289&lt;=J289),1,0)</f>
        <v/>
      </c>
    </row>
    <row r="290">
      <c r="A290" s="4" t="inlineStr">
        <is>
          <t>tensile_MPa</t>
        </is>
      </c>
      <c r="B290" s="4" t="inlineStr">
        <is>
          <t>G156</t>
        </is>
      </c>
      <c r="C290" s="4" t="inlineStr">
        <is>
          <t>US7402630B2</t>
        </is>
      </c>
      <c r="D290" s="4" t="inlineStr">
        <is>
          <t>Example 8</t>
        </is>
      </c>
      <c r="E290" s="4" t="inlineStr">
        <is>
          <t>dev(OOF)</t>
        </is>
      </c>
      <c r="F290" s="10" t="n">
        <v>11.07</v>
      </c>
      <c r="G290" s="10" t="n">
        <v>17.31065094958096</v>
      </c>
      <c r="H290" s="10" t="n">
        <v>3.308461318969777</v>
      </c>
      <c r="I290" s="10">
        <f>G290-1.96*H290</f>
        <v/>
      </c>
      <c r="J290" s="10">
        <f>G290+1.96*H290</f>
        <v/>
      </c>
      <c r="K290" s="10">
        <f>G290-F290</f>
        <v/>
      </c>
      <c r="L290" s="4">
        <f>IF(AND(F290&gt;=I290,F290&lt;=J290),1,0)</f>
        <v/>
      </c>
    </row>
    <row r="291">
      <c r="A291" s="4" t="inlineStr">
        <is>
          <t>tensile_MPa</t>
        </is>
      </c>
      <c r="B291" s="4" t="inlineStr">
        <is>
          <t>G283</t>
        </is>
      </c>
      <c r="C291" s="4" t="inlineStr">
        <is>
          <t>US20230365800A1</t>
        </is>
      </c>
      <c r="D291" s="4" t="inlineStr">
        <is>
          <t>Example 8</t>
        </is>
      </c>
      <c r="E291" s="4" t="inlineStr">
        <is>
          <t>dev(OOF)</t>
        </is>
      </c>
      <c r="F291" s="10" t="n">
        <v>11.5</v>
      </c>
      <c r="G291" s="10" t="n">
        <v>12.67434259260346</v>
      </c>
      <c r="H291" s="10" t="n">
        <v>2.120960491344131</v>
      </c>
      <c r="I291" s="10">
        <f>G291-1.96*H291</f>
        <v/>
      </c>
      <c r="J291" s="10">
        <f>G291+1.96*H291</f>
        <v/>
      </c>
      <c r="K291" s="10">
        <f>G291-F291</f>
        <v/>
      </c>
      <c r="L291" s="4">
        <f>IF(AND(F291&gt;=I291,F291&lt;=J291),1,0)</f>
        <v/>
      </c>
    </row>
    <row r="292">
      <c r="A292" s="4" t="inlineStr">
        <is>
          <t>tensile_MPa</t>
        </is>
      </c>
      <c r="B292" s="4" t="inlineStr">
        <is>
          <t>G200</t>
        </is>
      </c>
      <c r="C292" s="4" t="inlineStr">
        <is>
          <t>US20160319102A1</t>
        </is>
      </c>
      <c r="D292" s="4" t="inlineStr">
        <is>
          <t>Comparative Example 5</t>
        </is>
      </c>
      <c r="E292" s="4" t="inlineStr">
        <is>
          <t>dev(OOF)</t>
        </is>
      </c>
      <c r="F292" s="10" t="n">
        <v>18</v>
      </c>
      <c r="G292" s="10" t="n">
        <v>12.7803720374602</v>
      </c>
      <c r="H292" s="10" t="n">
        <v>3.027049826013222</v>
      </c>
      <c r="I292" s="10">
        <f>G292-1.96*H292</f>
        <v/>
      </c>
      <c r="J292" s="10">
        <f>G292+1.96*H292</f>
        <v/>
      </c>
      <c r="K292" s="10">
        <f>G292-F292</f>
        <v/>
      </c>
      <c r="L292" s="4">
        <f>IF(AND(F292&gt;=I292,F292&lt;=J292),1,0)</f>
        <v/>
      </c>
    </row>
    <row r="293">
      <c r="A293" s="4" t="inlineStr">
        <is>
          <t>tensile_MPa</t>
        </is>
      </c>
      <c r="B293" s="4" t="inlineStr">
        <is>
          <t>G027</t>
        </is>
      </c>
      <c r="C293" s="4" t="inlineStr">
        <is>
          <t>US6803402B2</t>
        </is>
      </c>
      <c r="D293" s="4" t="inlineStr">
        <is>
          <t>Comparative Example 2</t>
        </is>
      </c>
      <c r="E293" s="4" t="inlineStr">
        <is>
          <t>dev(OOF)</t>
        </is>
      </c>
      <c r="F293" s="10" t="n">
        <v>16.67</v>
      </c>
      <c r="G293" s="10" t="n">
        <v>16.03453787559696</v>
      </c>
      <c r="H293" s="10" t="n">
        <v>4.056047073940725</v>
      </c>
      <c r="I293" s="10">
        <f>G293-1.96*H293</f>
        <v/>
      </c>
      <c r="J293" s="10">
        <f>G293+1.96*H293</f>
        <v/>
      </c>
      <c r="K293" s="10">
        <f>G293-F293</f>
        <v/>
      </c>
      <c r="L293" s="4">
        <f>IF(AND(F293&gt;=I293,F293&lt;=J293),1,0)</f>
        <v/>
      </c>
    </row>
    <row r="294">
      <c r="A294" s="4" t="inlineStr">
        <is>
          <t>tensile_MPa</t>
        </is>
      </c>
      <c r="B294" s="4" t="inlineStr">
        <is>
          <t>G289</t>
        </is>
      </c>
      <c r="C294" s="4" t="inlineStr">
        <is>
          <t>US20230365800A1</t>
        </is>
      </c>
      <c r="D294" s="4" t="inlineStr">
        <is>
          <t>Example 11</t>
        </is>
      </c>
      <c r="E294" s="4" t="inlineStr">
        <is>
          <t>dev(OOF)</t>
        </is>
      </c>
      <c r="F294" s="10" t="n">
        <v>10.2</v>
      </c>
      <c r="G294" s="10" t="n">
        <v>11.93585236553367</v>
      </c>
      <c r="H294" s="10" t="n">
        <v>2.097559114801121</v>
      </c>
      <c r="I294" s="10">
        <f>G294-1.96*H294</f>
        <v/>
      </c>
      <c r="J294" s="10">
        <f>G294+1.96*H294</f>
        <v/>
      </c>
      <c r="K294" s="10">
        <f>G294-F294</f>
        <v/>
      </c>
      <c r="L294" s="4">
        <f>IF(AND(F294&gt;=I294,F294&lt;=J294),1,0)</f>
        <v/>
      </c>
    </row>
    <row r="295">
      <c r="A295" s="4" t="inlineStr">
        <is>
          <t>tensile_MPa</t>
        </is>
      </c>
      <c r="B295" s="4" t="inlineStr">
        <is>
          <t>G120</t>
        </is>
      </c>
      <c r="C295" s="4" t="inlineStr">
        <is>
          <t>US5696189A</t>
        </is>
      </c>
      <c r="D295" s="4" t="inlineStr">
        <is>
          <t>Example 3</t>
        </is>
      </c>
      <c r="E295" s="4" t="inlineStr">
        <is>
          <t>dev(OOF)</t>
        </is>
      </c>
      <c r="F295" s="10" t="n">
        <v>11.72</v>
      </c>
      <c r="G295" s="10" t="n">
        <v>10.47394316754546</v>
      </c>
      <c r="H295" s="10" t="n">
        <v>3.861318773623767</v>
      </c>
      <c r="I295" s="10">
        <f>G295-1.96*H295</f>
        <v/>
      </c>
      <c r="J295" s="10">
        <f>G295+1.96*H295</f>
        <v/>
      </c>
      <c r="K295" s="10">
        <f>G295-F295</f>
        <v/>
      </c>
      <c r="L295" s="4">
        <f>IF(AND(F295&gt;=I295,F295&lt;=J295),1,0)</f>
        <v/>
      </c>
    </row>
    <row r="296">
      <c r="A296" s="4" t="inlineStr">
        <is>
          <t>tensile_MPa</t>
        </is>
      </c>
      <c r="B296" s="4" t="inlineStr">
        <is>
          <t>G253</t>
        </is>
      </c>
      <c r="C296" s="4" t="inlineStr">
        <is>
          <t>US12584054B2</t>
        </is>
      </c>
      <c r="D296" s="4" t="inlineStr">
        <is>
          <t>Comparative Example 5</t>
        </is>
      </c>
      <c r="E296" s="4" t="inlineStr">
        <is>
          <t>dev(OOF)</t>
        </is>
      </c>
      <c r="F296" s="10" t="n">
        <v>20</v>
      </c>
      <c r="G296" s="10" t="n">
        <v>18.38041238287322</v>
      </c>
      <c r="H296" s="10" t="n">
        <v>3.345254196387849</v>
      </c>
      <c r="I296" s="10">
        <f>G296-1.96*H296</f>
        <v/>
      </c>
      <c r="J296" s="10">
        <f>G296+1.96*H296</f>
        <v/>
      </c>
      <c r="K296" s="10">
        <f>G296-F296</f>
        <v/>
      </c>
      <c r="L296" s="4">
        <f>IF(AND(F296&gt;=I296,F296&lt;=J296),1,0)</f>
        <v/>
      </c>
    </row>
    <row r="297">
      <c r="A297" s="4" t="inlineStr">
        <is>
          <t>tensile_MPa</t>
        </is>
      </c>
      <c r="B297" s="4" t="inlineStr">
        <is>
          <t>G079</t>
        </is>
      </c>
      <c r="C297" s="4" t="inlineStr">
        <is>
          <t>US12091537B2</t>
        </is>
      </c>
      <c r="D297" s="4" t="inlineStr">
        <is>
          <t>Comparative Example 1</t>
        </is>
      </c>
      <c r="E297" s="4" t="inlineStr">
        <is>
          <t>dev(OOF)</t>
        </is>
      </c>
      <c r="F297" s="10" t="n">
        <v>19.9</v>
      </c>
      <c r="G297" s="10" t="n">
        <v>18.55082775061504</v>
      </c>
      <c r="H297" s="10" t="n">
        <v>2.142791304318703</v>
      </c>
      <c r="I297" s="10">
        <f>G297-1.96*H297</f>
        <v/>
      </c>
      <c r="J297" s="10">
        <f>G297+1.96*H297</f>
        <v/>
      </c>
      <c r="K297" s="10">
        <f>G297-F297</f>
        <v/>
      </c>
      <c r="L297" s="4">
        <f>IF(AND(F297&gt;=I297,F297&lt;=J297),1,0)</f>
        <v/>
      </c>
    </row>
    <row r="298">
      <c r="A298" s="4" t="inlineStr">
        <is>
          <t>tensile_MPa</t>
        </is>
      </c>
      <c r="B298" s="4" t="inlineStr">
        <is>
          <t>G049</t>
        </is>
      </c>
      <c r="C298" s="4" t="inlineStr">
        <is>
          <t>US8211964B2</t>
        </is>
      </c>
      <c r="D298" s="4" t="inlineStr">
        <is>
          <t>Example 7</t>
        </is>
      </c>
      <c r="E298" s="4" t="inlineStr">
        <is>
          <t>dev(OOF)</t>
        </is>
      </c>
      <c r="F298" s="10" t="n">
        <v>17.65</v>
      </c>
      <c r="G298" s="10" t="n">
        <v>14.87274730666027</v>
      </c>
      <c r="H298" s="10" t="n">
        <v>2.771039799750559</v>
      </c>
      <c r="I298" s="10">
        <f>G298-1.96*H298</f>
        <v/>
      </c>
      <c r="J298" s="10">
        <f>G298+1.96*H298</f>
        <v/>
      </c>
      <c r="K298" s="10">
        <f>G298-F298</f>
        <v/>
      </c>
      <c r="L298" s="4">
        <f>IF(AND(F298&gt;=I298,F298&lt;=J298),1,0)</f>
        <v/>
      </c>
    </row>
    <row r="299">
      <c r="A299" s="4" t="inlineStr">
        <is>
          <t>tensile_MPa</t>
        </is>
      </c>
      <c r="B299" s="4" t="inlineStr">
        <is>
          <t>G082</t>
        </is>
      </c>
      <c r="C299" s="4" t="inlineStr">
        <is>
          <t>US12304984B2</t>
        </is>
      </c>
      <c r="D299" s="4" t="inlineStr">
        <is>
          <t>Example 2</t>
        </is>
      </c>
      <c r="E299" s="4" t="inlineStr">
        <is>
          <t>dev(OOF)</t>
        </is>
      </c>
      <c r="F299" s="10" t="n">
        <v>20.4</v>
      </c>
      <c r="G299" s="10" t="n">
        <v>14.58112297433521</v>
      </c>
      <c r="H299" s="10" t="n">
        <v>3.404073827134258</v>
      </c>
      <c r="I299" s="10">
        <f>G299-1.96*H299</f>
        <v/>
      </c>
      <c r="J299" s="10">
        <f>G299+1.96*H299</f>
        <v/>
      </c>
      <c r="K299" s="10">
        <f>G299-F299</f>
        <v/>
      </c>
      <c r="L299" s="4">
        <f>IF(AND(F299&gt;=I299,F299&lt;=J299),1,0)</f>
        <v/>
      </c>
    </row>
    <row r="300">
      <c r="A300" s="4" t="inlineStr">
        <is>
          <t>tensile_MPa</t>
        </is>
      </c>
      <c r="B300" s="4" t="inlineStr">
        <is>
          <t>G273</t>
        </is>
      </c>
      <c r="C300" s="4" t="inlineStr">
        <is>
          <t>US20230174763A1</t>
        </is>
      </c>
      <c r="D300" s="4" t="inlineStr">
        <is>
          <t>Example 6</t>
        </is>
      </c>
      <c r="E300" s="4" t="inlineStr">
        <is>
          <t>dev(OOF)</t>
        </is>
      </c>
      <c r="F300" s="10" t="n">
        <v>13.2</v>
      </c>
      <c r="G300" s="10" t="n">
        <v>13.99711320597543</v>
      </c>
      <c r="H300" s="10" t="n">
        <v>8.542874048961071</v>
      </c>
      <c r="I300" s="10">
        <f>G300-1.96*H300</f>
        <v/>
      </c>
      <c r="J300" s="10">
        <f>G300+1.96*H300</f>
        <v/>
      </c>
      <c r="K300" s="10">
        <f>G300-F300</f>
        <v/>
      </c>
      <c r="L300" s="4">
        <f>IF(AND(F300&gt;=I300,F300&lt;=J300),1,0)</f>
        <v/>
      </c>
    </row>
    <row r="301">
      <c r="A301" s="4" t="inlineStr">
        <is>
          <t>tensile_MPa</t>
        </is>
      </c>
      <c r="B301" s="4" t="inlineStr">
        <is>
          <t>G261</t>
        </is>
      </c>
      <c r="C301" s="4" t="inlineStr">
        <is>
          <t>US12584054B2</t>
        </is>
      </c>
      <c r="D301" s="4" t="inlineStr">
        <is>
          <t>Example 9</t>
        </is>
      </c>
      <c r="E301" s="4" t="inlineStr">
        <is>
          <t>dev(OOF)</t>
        </is>
      </c>
      <c r="F301" s="10" t="n">
        <v>13.9</v>
      </c>
      <c r="G301" s="10" t="n">
        <v>14.94233915583593</v>
      </c>
      <c r="H301" s="10" t="n">
        <v>3.739134017523321</v>
      </c>
      <c r="I301" s="10">
        <f>G301-1.96*H301</f>
        <v/>
      </c>
      <c r="J301" s="10">
        <f>G301+1.96*H301</f>
        <v/>
      </c>
      <c r="K301" s="10">
        <f>G301-F301</f>
        <v/>
      </c>
      <c r="L301" s="4">
        <f>IF(AND(F301&gt;=I301,F301&lt;=J301),1,0)</f>
        <v/>
      </c>
    </row>
    <row r="302">
      <c r="A302" s="4" t="inlineStr">
        <is>
          <t>tensile_MPa</t>
        </is>
      </c>
      <c r="B302" s="4" t="inlineStr">
        <is>
          <t>G185</t>
        </is>
      </c>
      <c r="C302" s="4" t="inlineStr">
        <is>
          <t>US20040019153A1</t>
        </is>
      </c>
      <c r="D302" s="4" t="inlineStr">
        <is>
          <t>Example 2</t>
        </is>
      </c>
      <c r="E302" s="4" t="inlineStr">
        <is>
          <t>dev(OOF)</t>
        </is>
      </c>
      <c r="F302" s="10" t="n">
        <v>7.1</v>
      </c>
      <c r="G302" s="10" t="n">
        <v>10.31395382694237</v>
      </c>
      <c r="H302" s="10" t="n">
        <v>2.543459787678349</v>
      </c>
      <c r="I302" s="10">
        <f>G302-1.96*H302</f>
        <v/>
      </c>
      <c r="J302" s="10">
        <f>G302+1.96*H302</f>
        <v/>
      </c>
      <c r="K302" s="10">
        <f>G302-F302</f>
        <v/>
      </c>
      <c r="L302" s="4">
        <f>IF(AND(F302&gt;=I302,F302&lt;=J302),1,0)</f>
        <v/>
      </c>
    </row>
    <row r="303">
      <c r="A303" s="4" t="inlineStr">
        <is>
          <t>tensile_MPa</t>
        </is>
      </c>
      <c r="B303" s="4" t="inlineStr">
        <is>
          <t>G090</t>
        </is>
      </c>
      <c r="C303" s="4" t="inlineStr">
        <is>
          <t>US8367776B2</t>
        </is>
      </c>
      <c r="D303" s="4" t="inlineStr">
        <is>
          <t>Example 8</t>
        </is>
      </c>
      <c r="E303" s="4" t="inlineStr">
        <is>
          <t>dev(OOF)</t>
        </is>
      </c>
      <c r="F303" s="10" t="n">
        <v>7.79</v>
      </c>
      <c r="G303" s="10" t="n">
        <v>7.377228916079309</v>
      </c>
      <c r="H303" s="10" t="n">
        <v>2.181576808707349</v>
      </c>
      <c r="I303" s="10">
        <f>G303-1.96*H303</f>
        <v/>
      </c>
      <c r="J303" s="10">
        <f>G303+1.96*H303</f>
        <v/>
      </c>
      <c r="K303" s="10">
        <f>G303-F303</f>
        <v/>
      </c>
      <c r="L303" s="4">
        <f>IF(AND(F303&gt;=I303,F303&lt;=J303),1,0)</f>
        <v/>
      </c>
    </row>
    <row r="304">
      <c r="A304" s="4" t="inlineStr">
        <is>
          <t>tensile_MPa</t>
        </is>
      </c>
      <c r="B304" s="4" t="inlineStr">
        <is>
          <t>G088</t>
        </is>
      </c>
      <c r="C304" s="4" t="inlineStr">
        <is>
          <t>US8367776B2</t>
        </is>
      </c>
      <c r="D304" s="4" t="inlineStr">
        <is>
          <t>Example 6</t>
        </is>
      </c>
      <c r="E304" s="4" t="inlineStr">
        <is>
          <t>dev(OOF)</t>
        </is>
      </c>
      <c r="F304" s="10" t="n">
        <v>6.74</v>
      </c>
      <c r="G304" s="10" t="n">
        <v>8.000561445625388</v>
      </c>
      <c r="H304" s="10" t="n">
        <v>2.367912002132988</v>
      </c>
      <c r="I304" s="10">
        <f>G304-1.96*H304</f>
        <v/>
      </c>
      <c r="J304" s="10">
        <f>G304+1.96*H304</f>
        <v/>
      </c>
      <c r="K304" s="10">
        <f>G304-F304</f>
        <v/>
      </c>
      <c r="L304" s="4">
        <f>IF(AND(F304&gt;=I304,F304&lt;=J304),1,0)</f>
        <v/>
      </c>
    </row>
    <row r="305">
      <c r="A305" s="4" t="inlineStr">
        <is>
          <t>tensile_MPa</t>
        </is>
      </c>
      <c r="B305" s="4" t="inlineStr">
        <is>
          <t>G098</t>
        </is>
      </c>
      <c r="C305" s="4" t="inlineStr">
        <is>
          <t>US7354974B2</t>
        </is>
      </c>
      <c r="D305" s="4" t="inlineStr">
        <is>
          <t>Example 2</t>
        </is>
      </c>
      <c r="E305" s="4" t="inlineStr">
        <is>
          <t>dev(OOF)</t>
        </is>
      </c>
      <c r="F305" s="10" t="n">
        <v>18.7</v>
      </c>
      <c r="G305" s="10" t="n">
        <v>17.62213536666112</v>
      </c>
      <c r="H305" s="10" t="n">
        <v>2.508133335934656</v>
      </c>
      <c r="I305" s="10">
        <f>G305-1.96*H305</f>
        <v/>
      </c>
      <c r="J305" s="10">
        <f>G305+1.96*H305</f>
        <v/>
      </c>
      <c r="K305" s="10">
        <f>G305-F305</f>
        <v/>
      </c>
      <c r="L305" s="4">
        <f>IF(AND(F305&gt;=I305,F305&lt;=J305),1,0)</f>
        <v/>
      </c>
    </row>
    <row r="306">
      <c r="A306" s="4" t="inlineStr">
        <is>
          <t>tensile_MPa</t>
        </is>
      </c>
      <c r="B306" s="4" t="inlineStr">
        <is>
          <t>G134</t>
        </is>
      </c>
      <c r="C306" s="4" t="inlineStr">
        <is>
          <t>US7247749B2</t>
        </is>
      </c>
      <c r="D306" s="4" t="inlineStr">
        <is>
          <t>Sample 10</t>
        </is>
      </c>
      <c r="E306" s="4" t="inlineStr">
        <is>
          <t>dev(OOF)</t>
        </is>
      </c>
      <c r="F306" s="10" t="n">
        <v>11.73</v>
      </c>
      <c r="G306" s="10" t="n">
        <v>11.95085295792267</v>
      </c>
      <c r="H306" s="10" t="n">
        <v>2.824413146373809</v>
      </c>
      <c r="I306" s="10">
        <f>G306-1.96*H306</f>
        <v/>
      </c>
      <c r="J306" s="10">
        <f>G306+1.96*H306</f>
        <v/>
      </c>
      <c r="K306" s="10">
        <f>G306-F306</f>
        <v/>
      </c>
      <c r="L306" s="4">
        <f>IF(AND(F306&gt;=I306,F306&lt;=J306),1,0)</f>
        <v/>
      </c>
    </row>
    <row r="307">
      <c r="A307" s="4" t="inlineStr">
        <is>
          <t>tensile_MPa</t>
        </is>
      </c>
      <c r="B307" s="4" t="inlineStr">
        <is>
          <t>G184</t>
        </is>
      </c>
      <c r="C307" s="4" t="inlineStr">
        <is>
          <t>US20040019153A1</t>
        </is>
      </c>
      <c r="D307" s="4" t="inlineStr">
        <is>
          <t>Example 1</t>
        </is>
      </c>
      <c r="E307" s="4" t="inlineStr">
        <is>
          <t>dev(OOF)</t>
        </is>
      </c>
      <c r="F307" s="10" t="n">
        <v>6.7</v>
      </c>
      <c r="G307" s="10" t="n">
        <v>11.31648096140008</v>
      </c>
      <c r="H307" s="10" t="n">
        <v>3.509205583485748</v>
      </c>
      <c r="I307" s="10">
        <f>G307-1.96*H307</f>
        <v/>
      </c>
      <c r="J307" s="10">
        <f>G307+1.96*H307</f>
        <v/>
      </c>
      <c r="K307" s="10">
        <f>G307-F307</f>
        <v/>
      </c>
      <c r="L307" s="4">
        <f>IF(AND(F307&gt;=I307,F307&lt;=J307),1,0)</f>
        <v/>
      </c>
    </row>
    <row r="308">
      <c r="A308" s="4" t="inlineStr">
        <is>
          <t>tensile_MPa</t>
        </is>
      </c>
      <c r="B308" s="4" t="inlineStr">
        <is>
          <t>G046</t>
        </is>
      </c>
      <c r="C308" s="4" t="inlineStr">
        <is>
          <t>US8211964B2</t>
        </is>
      </c>
      <c r="D308" s="4" t="inlineStr">
        <is>
          <t>Example 5</t>
        </is>
      </c>
      <c r="E308" s="4" t="inlineStr">
        <is>
          <t>dev(OOF)</t>
        </is>
      </c>
      <c r="F308" s="10" t="n">
        <v>11.77</v>
      </c>
      <c r="G308" s="10" t="n">
        <v>13.15373178250426</v>
      </c>
      <c r="H308" s="10" t="n">
        <v>2.874855347168395</v>
      </c>
      <c r="I308" s="10">
        <f>G308-1.96*H308</f>
        <v/>
      </c>
      <c r="J308" s="10">
        <f>G308+1.96*H308</f>
        <v/>
      </c>
      <c r="K308" s="10">
        <f>G308-F308</f>
        <v/>
      </c>
      <c r="L308" s="4">
        <f>IF(AND(F308&gt;=I308,F308&lt;=J308),1,0)</f>
        <v/>
      </c>
    </row>
    <row r="309">
      <c r="A309" s="4" t="inlineStr">
        <is>
          <t>tensile_MPa</t>
        </is>
      </c>
      <c r="B309" s="4" t="inlineStr">
        <is>
          <t>G084</t>
        </is>
      </c>
      <c r="C309" s="4" t="inlineStr">
        <is>
          <t>US8367776B2</t>
        </is>
      </c>
      <c r="D309" s="4" t="inlineStr">
        <is>
          <t>Comparative Example 1</t>
        </is>
      </c>
      <c r="E309" s="4" t="inlineStr">
        <is>
          <t>dev(OOF)</t>
        </is>
      </c>
      <c r="F309" s="10" t="n">
        <v>6.7</v>
      </c>
      <c r="G309" s="10" t="n">
        <v>8.338202297774629</v>
      </c>
      <c r="H309" s="10" t="n">
        <v>2.395193292052895</v>
      </c>
      <c r="I309" s="10">
        <f>G309-1.96*H309</f>
        <v/>
      </c>
      <c r="J309" s="10">
        <f>G309+1.96*H309</f>
        <v/>
      </c>
      <c r="K309" s="10">
        <f>G309-F309</f>
        <v/>
      </c>
      <c r="L309" s="4">
        <f>IF(AND(F309&gt;=I309,F309&lt;=J309),1,0)</f>
        <v/>
      </c>
    </row>
    <row r="310">
      <c r="A310" s="4" t="inlineStr">
        <is>
          <t>tensile_MPa</t>
        </is>
      </c>
      <c r="B310" s="4" t="inlineStr">
        <is>
          <t>G131</t>
        </is>
      </c>
      <c r="C310" s="4" t="inlineStr">
        <is>
          <t>US7247749B2</t>
        </is>
      </c>
      <c r="D310" s="4" t="inlineStr">
        <is>
          <t>Sample 7</t>
        </is>
      </c>
      <c r="E310" s="4" t="inlineStr">
        <is>
          <t>dev(OOF)</t>
        </is>
      </c>
      <c r="F310" s="10" t="n">
        <v>12.87</v>
      </c>
      <c r="G310" s="10" t="n">
        <v>12.89544161949223</v>
      </c>
      <c r="H310" s="10" t="n">
        <v>2.969502612991477</v>
      </c>
      <c r="I310" s="10">
        <f>G310-1.96*H310</f>
        <v/>
      </c>
      <c r="J310" s="10">
        <f>G310+1.96*H310</f>
        <v/>
      </c>
      <c r="K310" s="10">
        <f>G310-F310</f>
        <v/>
      </c>
      <c r="L310" s="4">
        <f>IF(AND(F310&gt;=I310,F310&lt;=J310),1,0)</f>
        <v/>
      </c>
    </row>
    <row r="311">
      <c r="A311" s="4" t="inlineStr">
        <is>
          <t>tensile_MPa</t>
        </is>
      </c>
      <c r="B311" s="4" t="inlineStr">
        <is>
          <t>G128</t>
        </is>
      </c>
      <c r="C311" s="4" t="inlineStr">
        <is>
          <t>US7247749B2</t>
        </is>
      </c>
      <c r="D311" s="4" t="inlineStr">
        <is>
          <t>Sample 4</t>
        </is>
      </c>
      <c r="E311" s="4" t="inlineStr">
        <is>
          <t>dev(OOF)</t>
        </is>
      </c>
      <c r="F311" s="10" t="n">
        <v>8.4</v>
      </c>
      <c r="G311" s="10" t="n">
        <v>12.14887099739842</v>
      </c>
      <c r="H311" s="10" t="n">
        <v>2.923958282140576</v>
      </c>
      <c r="I311" s="10">
        <f>G311-1.96*H311</f>
        <v/>
      </c>
      <c r="J311" s="10">
        <f>G311+1.96*H311</f>
        <v/>
      </c>
      <c r="K311" s="10">
        <f>G311-F311</f>
        <v/>
      </c>
      <c r="L311" s="4">
        <f>IF(AND(F311&gt;=I311,F311&lt;=J311),1,0)</f>
        <v/>
      </c>
    </row>
    <row r="312">
      <c r="A312" s="4" t="inlineStr">
        <is>
          <t>tensile_MPa</t>
        </is>
      </c>
      <c r="B312" s="4" t="inlineStr">
        <is>
          <t>G262</t>
        </is>
      </c>
      <c r="C312" s="4" t="inlineStr">
        <is>
          <t>US12584054B2</t>
        </is>
      </c>
      <c r="D312" s="4" t="inlineStr">
        <is>
          <t>Comparative Example 11</t>
        </is>
      </c>
      <c r="E312" s="4" t="inlineStr">
        <is>
          <t>dev(OOF)</t>
        </is>
      </c>
      <c r="F312" s="10" t="n">
        <v>14.4</v>
      </c>
      <c r="G312" s="10" t="n">
        <v>21.31189589729727</v>
      </c>
      <c r="H312" s="10" t="n">
        <v>2.49447895082312</v>
      </c>
      <c r="I312" s="10">
        <f>G312-1.96*H312</f>
        <v/>
      </c>
      <c r="J312" s="10">
        <f>G312+1.96*H312</f>
        <v/>
      </c>
      <c r="K312" s="10">
        <f>G312-F312</f>
        <v/>
      </c>
      <c r="L312" s="4">
        <f>IF(AND(F312&gt;=I312,F312&lt;=J312),1,0)</f>
        <v/>
      </c>
    </row>
    <row r="313">
      <c r="A313" s="4" t="inlineStr">
        <is>
          <t>tensile_MPa</t>
        </is>
      </c>
      <c r="B313" s="4" t="inlineStr">
        <is>
          <t>G166</t>
        </is>
      </c>
      <c r="C313" s="4" t="inlineStr">
        <is>
          <t>US20050107544A1</t>
        </is>
      </c>
      <c r="D313" s="4" t="inlineStr">
        <is>
          <t>Sample 3</t>
        </is>
      </c>
      <c r="E313" s="4" t="inlineStr">
        <is>
          <t>dev(OOF)</t>
        </is>
      </c>
      <c r="F313" s="10" t="n">
        <v>6.2</v>
      </c>
      <c r="G313" s="10" t="n">
        <v>6.302600695859583</v>
      </c>
      <c r="H313" s="10" t="n">
        <v>2.954298458207543</v>
      </c>
      <c r="I313" s="10">
        <f>G313-1.96*H313</f>
        <v/>
      </c>
      <c r="J313" s="10">
        <f>G313+1.96*H313</f>
        <v/>
      </c>
      <c r="K313" s="10">
        <f>G313-F313</f>
        <v/>
      </c>
      <c r="L313" s="4">
        <f>IF(AND(F313&gt;=I313,F313&lt;=J313),1,0)</f>
        <v/>
      </c>
    </row>
    <row r="314">
      <c r="A314" s="4" t="inlineStr">
        <is>
          <t>tensile_MPa</t>
        </is>
      </c>
      <c r="B314" s="4" t="inlineStr">
        <is>
          <t>G126</t>
        </is>
      </c>
      <c r="C314" s="4" t="inlineStr">
        <is>
          <t>US7247749B2</t>
        </is>
      </c>
      <c r="D314" s="4" t="inlineStr">
        <is>
          <t>Sample 2</t>
        </is>
      </c>
      <c r="E314" s="4" t="inlineStr">
        <is>
          <t>dev(OOF)</t>
        </is>
      </c>
      <c r="F314" s="10" t="n">
        <v>14.95</v>
      </c>
      <c r="G314" s="10" t="n">
        <v>13.71793600237568</v>
      </c>
      <c r="H314" s="10" t="n">
        <v>3.358658232474373</v>
      </c>
      <c r="I314" s="10">
        <f>G314-1.96*H314</f>
        <v/>
      </c>
      <c r="J314" s="10">
        <f>G314+1.96*H314</f>
        <v/>
      </c>
      <c r="K314" s="10">
        <f>G314-F314</f>
        <v/>
      </c>
      <c r="L314" s="4">
        <f>IF(AND(F314&gt;=I314,F314&lt;=J314),1,0)</f>
        <v/>
      </c>
    </row>
    <row r="315">
      <c r="A315" s="4" t="inlineStr">
        <is>
          <t>tensile_MPa</t>
        </is>
      </c>
      <c r="B315" s="4" t="inlineStr">
        <is>
          <t>G293</t>
        </is>
      </c>
      <c r="C315" s="4" t="inlineStr">
        <is>
          <t>EP4249550A1</t>
        </is>
      </c>
      <c r="D315" s="4" t="inlineStr">
        <is>
          <t>Example 4</t>
        </is>
      </c>
      <c r="E315" s="4" t="inlineStr">
        <is>
          <t>dev(OOF)</t>
        </is>
      </c>
      <c r="F315" s="10" t="n">
        <v>18.5</v>
      </c>
      <c r="G315" s="10" t="n">
        <v>18.16568451293854</v>
      </c>
      <c r="H315" s="10" t="n">
        <v>2.611899929599514</v>
      </c>
      <c r="I315" s="10">
        <f>G315-1.96*H315</f>
        <v/>
      </c>
      <c r="J315" s="10">
        <f>G315+1.96*H315</f>
        <v/>
      </c>
      <c r="K315" s="10">
        <f>G315-F315</f>
        <v/>
      </c>
      <c r="L315" s="4">
        <f>IF(AND(F315&gt;=I315,F315&lt;=J315),1,0)</f>
        <v/>
      </c>
    </row>
    <row r="316">
      <c r="A316" s="4" t="inlineStr">
        <is>
          <t>tensile_MPa</t>
        </is>
      </c>
      <c r="B316" s="4" t="inlineStr">
        <is>
          <t>G196</t>
        </is>
      </c>
      <c r="C316" s="4" t="inlineStr">
        <is>
          <t>US20160319102A1</t>
        </is>
      </c>
      <c r="D316" s="4" t="inlineStr">
        <is>
          <t>Comparative Example 1</t>
        </is>
      </c>
      <c r="E316" s="4" t="inlineStr">
        <is>
          <t>dev(OOF)</t>
        </is>
      </c>
      <c r="F316" s="10" t="n">
        <v>11.5</v>
      </c>
      <c r="G316" s="10" t="n">
        <v>10.4747450721413</v>
      </c>
      <c r="H316" s="10" t="n">
        <v>3.225363909698113</v>
      </c>
      <c r="I316" s="10">
        <f>G316-1.96*H316</f>
        <v/>
      </c>
      <c r="J316" s="10">
        <f>G316+1.96*H316</f>
        <v/>
      </c>
      <c r="K316" s="10">
        <f>G316-F316</f>
        <v/>
      </c>
      <c r="L316" s="4">
        <f>IF(AND(F316&gt;=I316,F316&lt;=J316),1,0)</f>
        <v/>
      </c>
    </row>
    <row r="317">
      <c r="A317" s="4" t="inlineStr">
        <is>
          <t>tensile_MPa</t>
        </is>
      </c>
      <c r="B317" s="4" t="inlineStr">
        <is>
          <t>G202</t>
        </is>
      </c>
      <c r="C317" s="4" t="inlineStr">
        <is>
          <t>US20160319102A1</t>
        </is>
      </c>
      <c r="D317" s="4" t="inlineStr">
        <is>
          <t>Comparative Example 8</t>
        </is>
      </c>
      <c r="E317" s="4" t="inlineStr">
        <is>
          <t>dev(OOF)</t>
        </is>
      </c>
      <c r="F317" s="10" t="n">
        <v>8.800000000000001</v>
      </c>
      <c r="G317" s="10" t="n">
        <v>17.66419991811454</v>
      </c>
      <c r="H317" s="10" t="n">
        <v>2.800845317176473</v>
      </c>
      <c r="I317" s="10">
        <f>G317-1.96*H317</f>
        <v/>
      </c>
      <c r="J317" s="10">
        <f>G317+1.96*H317</f>
        <v/>
      </c>
      <c r="K317" s="10">
        <f>G317-F317</f>
        <v/>
      </c>
      <c r="L317" s="4">
        <f>IF(AND(F317&gt;=I317,F317&lt;=J317),1,0)</f>
        <v/>
      </c>
    </row>
    <row r="318">
      <c r="A318" s="4" t="inlineStr">
        <is>
          <t>tensile_MPa</t>
        </is>
      </c>
      <c r="B318" s="4" t="inlineStr">
        <is>
          <t>G145</t>
        </is>
      </c>
      <c r="C318" s="4" t="inlineStr">
        <is>
          <t>US7247749B2</t>
        </is>
      </c>
      <c r="D318" s="4" t="inlineStr">
        <is>
          <t>Sample 21</t>
        </is>
      </c>
      <c r="E318" s="4" t="inlineStr">
        <is>
          <t>dev(OOF)</t>
        </is>
      </c>
      <c r="F318" s="10" t="n">
        <v>9.33</v>
      </c>
      <c r="G318" s="10" t="n">
        <v>12.03512464214293</v>
      </c>
      <c r="H318" s="10" t="n">
        <v>3.086971087716239</v>
      </c>
      <c r="I318" s="10">
        <f>G318-1.96*H318</f>
        <v/>
      </c>
      <c r="J318" s="10">
        <f>G318+1.96*H318</f>
        <v/>
      </c>
      <c r="K318" s="10">
        <f>G318-F318</f>
        <v/>
      </c>
      <c r="L318" s="4">
        <f>IF(AND(F318&gt;=I318,F318&lt;=J318),1,0)</f>
        <v/>
      </c>
    </row>
    <row r="319">
      <c r="A319" s="4" t="inlineStr">
        <is>
          <t>tensile_MPa</t>
        </is>
      </c>
      <c r="B319" s="4" t="inlineStr">
        <is>
          <t>G286</t>
        </is>
      </c>
      <c r="C319" s="4" t="inlineStr">
        <is>
          <t>US20230365800A1</t>
        </is>
      </c>
      <c r="D319" s="4" t="inlineStr">
        <is>
          <t>Comparative Example 4</t>
        </is>
      </c>
      <c r="E319" s="4" t="inlineStr">
        <is>
          <t>dev(OOF)</t>
        </is>
      </c>
      <c r="F319" s="10" t="n">
        <v>9.9</v>
      </c>
      <c r="G319" s="10" t="n">
        <v>12.67434259260346</v>
      </c>
      <c r="H319" s="10" t="n">
        <v>2.120960491344131</v>
      </c>
      <c r="I319" s="10">
        <f>G319-1.96*H319</f>
        <v/>
      </c>
      <c r="J319" s="10">
        <f>G319+1.96*H319</f>
        <v/>
      </c>
      <c r="K319" s="10">
        <f>G319-F319</f>
        <v/>
      </c>
      <c r="L319" s="4">
        <f>IF(AND(F319&gt;=I319,F319&lt;=J319),1,0)</f>
        <v/>
      </c>
    </row>
    <row r="320">
      <c r="A320" s="4" t="inlineStr">
        <is>
          <t>tensile_MPa</t>
        </is>
      </c>
      <c r="B320" s="4" t="inlineStr">
        <is>
          <t>G175</t>
        </is>
      </c>
      <c r="C320" s="4" t="inlineStr">
        <is>
          <t>US6191208B1</t>
        </is>
      </c>
      <c r="D320" s="4" t="inlineStr">
        <is>
          <t>Example 1</t>
        </is>
      </c>
      <c r="E320" s="4" t="inlineStr">
        <is>
          <t>dev(OOF)</t>
        </is>
      </c>
      <c r="F320" s="10" t="n">
        <v>18.2</v>
      </c>
      <c r="G320" s="10" t="n">
        <v>14.57742526915627</v>
      </c>
      <c r="H320" s="10" t="n">
        <v>4.007757838391812</v>
      </c>
      <c r="I320" s="10">
        <f>G320-1.96*H320</f>
        <v/>
      </c>
      <c r="J320" s="10">
        <f>G320+1.96*H320</f>
        <v/>
      </c>
      <c r="K320" s="10">
        <f>G320-F320</f>
        <v/>
      </c>
      <c r="L320" s="4">
        <f>IF(AND(F320&gt;=I320,F320&lt;=J320),1,0)</f>
        <v/>
      </c>
    </row>
    <row r="321">
      <c r="A321" s="4" t="inlineStr">
        <is>
          <t>tensile_MPa</t>
        </is>
      </c>
      <c r="B321" s="4" t="inlineStr">
        <is>
          <t>G275</t>
        </is>
      </c>
      <c r="C321" s="4" t="inlineStr">
        <is>
          <t>US20230174763A1</t>
        </is>
      </c>
      <c r="D321" s="4" t="inlineStr">
        <is>
          <t>Comparative Example 13</t>
        </is>
      </c>
      <c r="E321" s="4" t="inlineStr">
        <is>
          <t>dev(OOF)</t>
        </is>
      </c>
      <c r="F321" s="10" t="n">
        <v>10.5</v>
      </c>
      <c r="G321" s="10" t="n">
        <v>13.81138794370163</v>
      </c>
      <c r="H321" s="10" t="n">
        <v>8.545684688834175</v>
      </c>
      <c r="I321" s="10">
        <f>G321-1.96*H321</f>
        <v/>
      </c>
      <c r="J321" s="10">
        <f>G321+1.96*H321</f>
        <v/>
      </c>
      <c r="K321" s="10">
        <f>G321-F321</f>
        <v/>
      </c>
      <c r="L321" s="4">
        <f>IF(AND(F321&gt;=I321,F321&lt;=J321),1,0)</f>
        <v/>
      </c>
    </row>
    <row r="322">
      <c r="A322" s="4" t="inlineStr">
        <is>
          <t>tensile_MPa</t>
        </is>
      </c>
      <c r="B322" s="4" t="inlineStr">
        <is>
          <t>G003</t>
        </is>
      </c>
      <c r="C322" s="4" t="inlineStr">
        <is>
          <t>US7678858B2</t>
        </is>
      </c>
      <c r="D322" s="4" t="inlineStr">
        <is>
          <t>Example 3</t>
        </is>
      </c>
      <c r="E322" s="4" t="inlineStr">
        <is>
          <t>dev(OOF)</t>
        </is>
      </c>
      <c r="F322" s="10" t="n">
        <v>24.91</v>
      </c>
      <c r="G322" s="10" t="n">
        <v>21.95770980563825</v>
      </c>
      <c r="H322" s="10" t="n">
        <v>2.389711226088384</v>
      </c>
      <c r="I322" s="10">
        <f>G322-1.96*H322</f>
        <v/>
      </c>
      <c r="J322" s="10">
        <f>G322+1.96*H322</f>
        <v/>
      </c>
      <c r="K322" s="10">
        <f>G322-F322</f>
        <v/>
      </c>
      <c r="L322" s="4">
        <f>IF(AND(F322&gt;=I322,F322&lt;=J322),1,0)</f>
        <v/>
      </c>
    </row>
    <row r="323">
      <c r="A323" s="4" t="inlineStr">
        <is>
          <t>tensile_MPa</t>
        </is>
      </c>
      <c r="B323" s="4" t="inlineStr">
        <is>
          <t>G152</t>
        </is>
      </c>
      <c r="C323" s="4" t="inlineStr">
        <is>
          <t>US7247749B2</t>
        </is>
      </c>
      <c r="D323" s="4" t="inlineStr">
        <is>
          <t>Sample 32</t>
        </is>
      </c>
      <c r="E323" s="4" t="inlineStr">
        <is>
          <t>dev(OOF)</t>
        </is>
      </c>
      <c r="F323" s="10" t="n">
        <v>13.81</v>
      </c>
      <c r="G323" s="10" t="n">
        <v>18.43685585773603</v>
      </c>
      <c r="H323" s="10" t="n">
        <v>2.611764794962991</v>
      </c>
      <c r="I323" s="10">
        <f>G323-1.96*H323</f>
        <v/>
      </c>
      <c r="J323" s="10">
        <f>G323+1.96*H323</f>
        <v/>
      </c>
      <c r="K323" s="10">
        <f>G323-F323</f>
        <v/>
      </c>
      <c r="L323" s="4">
        <f>IF(AND(F323&gt;=I323,F323&lt;=J323),1,0)</f>
        <v/>
      </c>
    </row>
    <row r="324">
      <c r="A324" s="4" t="inlineStr">
        <is>
          <t>tensile_MPa</t>
        </is>
      </c>
      <c r="B324" s="4" t="inlineStr">
        <is>
          <t>G199</t>
        </is>
      </c>
      <c r="C324" s="4" t="inlineStr">
        <is>
          <t>US20160319102A1</t>
        </is>
      </c>
      <c r="D324" s="4" t="inlineStr">
        <is>
          <t>Comparative Example 4</t>
        </is>
      </c>
      <c r="E324" s="4" t="inlineStr">
        <is>
          <t>dev(OOF)</t>
        </is>
      </c>
      <c r="F324" s="10" t="n">
        <v>17.5</v>
      </c>
      <c r="G324" s="10" t="n">
        <v>13.02598416697171</v>
      </c>
      <c r="H324" s="10" t="n">
        <v>2.967427882613022</v>
      </c>
      <c r="I324" s="10">
        <f>G324-1.96*H324</f>
        <v/>
      </c>
      <c r="J324" s="10">
        <f>G324+1.96*H324</f>
        <v/>
      </c>
      <c r="K324" s="10">
        <f>G324-F324</f>
        <v/>
      </c>
      <c r="L324" s="4">
        <f>IF(AND(F324&gt;=I324,F324&lt;=J324),1,0)</f>
        <v/>
      </c>
    </row>
    <row r="325">
      <c r="A325" s="4" t="inlineStr">
        <is>
          <t>tensile_MPa</t>
        </is>
      </c>
      <c r="B325" s="4" t="inlineStr">
        <is>
          <t>G005</t>
        </is>
      </c>
      <c r="C325" s="4" t="inlineStr">
        <is>
          <t>US7678858B2</t>
        </is>
      </c>
      <c r="D325" s="4" t="inlineStr">
        <is>
          <t>Example 5</t>
        </is>
      </c>
      <c r="E325" s="4" t="inlineStr">
        <is>
          <t>dev(OOF)</t>
        </is>
      </c>
      <c r="F325" s="10" t="n">
        <v>23.24</v>
      </c>
      <c r="G325" s="10" t="n">
        <v>23.38385741725344</v>
      </c>
      <c r="H325" s="10" t="n">
        <v>2.114662660729939</v>
      </c>
      <c r="I325" s="10">
        <f>G325-1.96*H325</f>
        <v/>
      </c>
      <c r="J325" s="10">
        <f>G325+1.96*H325</f>
        <v/>
      </c>
      <c r="K325" s="10">
        <f>G325-F325</f>
        <v/>
      </c>
      <c r="L325" s="4">
        <f>IF(AND(F325&gt;=I325,F325&lt;=J325),1,0)</f>
        <v/>
      </c>
    </row>
    <row r="326">
      <c r="A326" s="4" t="inlineStr">
        <is>
          <t>tensile_MPa</t>
        </is>
      </c>
      <c r="B326" s="4" t="inlineStr">
        <is>
          <t>G264</t>
        </is>
      </c>
      <c r="C326" s="4" t="inlineStr">
        <is>
          <t>US20230174763A1</t>
        </is>
      </c>
      <c r="D326" s="4" t="inlineStr">
        <is>
          <t>Example 1</t>
        </is>
      </c>
      <c r="E326" s="4" t="inlineStr">
        <is>
          <t>dev(OOF)</t>
        </is>
      </c>
      <c r="F326" s="10" t="n">
        <v>20.3</v>
      </c>
      <c r="G326" s="10" t="n">
        <v>19.04716263495489</v>
      </c>
      <c r="H326" s="10" t="n">
        <v>3.35856957575631</v>
      </c>
      <c r="I326" s="10">
        <f>G326-1.96*H326</f>
        <v/>
      </c>
      <c r="J326" s="10">
        <f>G326+1.96*H326</f>
        <v/>
      </c>
      <c r="K326" s="10">
        <f>G326-F326</f>
        <v/>
      </c>
      <c r="L326" s="4">
        <f>IF(AND(F326&gt;=I326,F326&lt;=J326),1,0)</f>
        <v/>
      </c>
    </row>
    <row r="327">
      <c r="A327" s="4" t="inlineStr">
        <is>
          <t>tensile_MPa</t>
        </is>
      </c>
      <c r="B327" s="4" t="inlineStr">
        <is>
          <t>G270</t>
        </is>
      </c>
      <c r="C327" s="4" t="inlineStr">
        <is>
          <t>US20230174763A1</t>
        </is>
      </c>
      <c r="D327" s="4" t="inlineStr">
        <is>
          <t>Comparative Example 6</t>
        </is>
      </c>
      <c r="E327" s="4" t="inlineStr">
        <is>
          <t>dev(OOF)</t>
        </is>
      </c>
      <c r="F327" s="10" t="n">
        <v>20.3</v>
      </c>
      <c r="G327" s="10" t="n">
        <v>18.38041238287322</v>
      </c>
      <c r="H327" s="10" t="n">
        <v>3.345254196387849</v>
      </c>
      <c r="I327" s="10">
        <f>G327-1.96*H327</f>
        <v/>
      </c>
      <c r="J327" s="10">
        <f>G327+1.96*H327</f>
        <v/>
      </c>
      <c r="K327" s="10">
        <f>G327-F327</f>
        <v/>
      </c>
      <c r="L327" s="4">
        <f>IF(AND(F327&gt;=I327,F327&lt;=J327),1,0)</f>
        <v/>
      </c>
    </row>
    <row r="328">
      <c r="A328" s="4" t="inlineStr">
        <is>
          <t>tensile_MPa</t>
        </is>
      </c>
      <c r="B328" s="4" t="inlineStr">
        <is>
          <t>G154</t>
        </is>
      </c>
      <c r="C328" s="4" t="inlineStr">
        <is>
          <t>US7247749B2</t>
        </is>
      </c>
      <c r="D328" s="4" t="inlineStr">
        <is>
          <t>Sample 34</t>
        </is>
      </c>
      <c r="E328" s="4" t="inlineStr">
        <is>
          <t>dev(OOF)</t>
        </is>
      </c>
      <c r="F328" s="10" t="n">
        <v>12.11</v>
      </c>
      <c r="G328" s="10" t="n">
        <v>18.37363525457219</v>
      </c>
      <c r="H328" s="10" t="n">
        <v>2.568781828589086</v>
      </c>
      <c r="I328" s="10">
        <f>G328-1.96*H328</f>
        <v/>
      </c>
      <c r="J328" s="10">
        <f>G328+1.96*H328</f>
        <v/>
      </c>
      <c r="K328" s="10">
        <f>G328-F328</f>
        <v/>
      </c>
      <c r="L328" s="4">
        <f>IF(AND(F328&gt;=I328,F328&lt;=J328),1,0)</f>
        <v/>
      </c>
    </row>
    <row r="329">
      <c r="A329" s="4" t="inlineStr">
        <is>
          <t>tensile_MPa</t>
        </is>
      </c>
      <c r="B329" s="4" t="inlineStr">
        <is>
          <t>G093</t>
        </is>
      </c>
      <c r="C329" s="4" t="inlineStr">
        <is>
          <t>US8367776B2</t>
        </is>
      </c>
      <c r="D329" s="4" t="inlineStr">
        <is>
          <t>Example 11</t>
        </is>
      </c>
      <c r="E329" s="4" t="inlineStr">
        <is>
          <t>dev(OOF)</t>
        </is>
      </c>
      <c r="F329" s="10" t="n">
        <v>6.43</v>
      </c>
      <c r="G329" s="10" t="n">
        <v>7.92384290270489</v>
      </c>
      <c r="H329" s="10" t="n">
        <v>2.360158842424295</v>
      </c>
      <c r="I329" s="10">
        <f>G329-1.96*H329</f>
        <v/>
      </c>
      <c r="J329" s="10">
        <f>G329+1.96*H329</f>
        <v/>
      </c>
      <c r="K329" s="10">
        <f>G329-F329</f>
        <v/>
      </c>
      <c r="L329" s="4">
        <f>IF(AND(F329&gt;=I329,F329&lt;=J329),1,0)</f>
        <v/>
      </c>
    </row>
    <row r="330">
      <c r="A330" s="4" t="inlineStr">
        <is>
          <t>tensile_MPa</t>
        </is>
      </c>
      <c r="B330" s="4" t="inlineStr">
        <is>
          <t>G306</t>
        </is>
      </c>
      <c r="C330" s="4" t="inlineStr">
        <is>
          <t>EP4249550A1</t>
        </is>
      </c>
      <c r="D330" s="4" t="inlineStr">
        <is>
          <t>Comparative Example 5</t>
        </is>
      </c>
      <c r="E330" s="4" t="inlineStr">
        <is>
          <t>dev(OOF)</t>
        </is>
      </c>
      <c r="F330" s="10" t="n">
        <v>13.9</v>
      </c>
      <c r="G330" s="10" t="n">
        <v>14.49320924538022</v>
      </c>
      <c r="H330" s="10" t="n">
        <v>2.596233394852086</v>
      </c>
      <c r="I330" s="10">
        <f>G330-1.96*H330</f>
        <v/>
      </c>
      <c r="J330" s="10">
        <f>G330+1.96*H330</f>
        <v/>
      </c>
      <c r="K330" s="10">
        <f>G330-F330</f>
        <v/>
      </c>
      <c r="L330" s="4">
        <f>IF(AND(F330&gt;=I330,F330&lt;=J330),1,0)</f>
        <v/>
      </c>
    </row>
    <row r="331">
      <c r="A331" s="4" t="inlineStr">
        <is>
          <t>tensile_MPa</t>
        </is>
      </c>
      <c r="B331" s="4" t="inlineStr">
        <is>
          <t>G255</t>
        </is>
      </c>
      <c r="C331" s="4" t="inlineStr">
        <is>
          <t>US12584054B2</t>
        </is>
      </c>
      <c r="D331" s="4" t="inlineStr">
        <is>
          <t>Comparative Example 7</t>
        </is>
      </c>
      <c r="E331" s="4" t="inlineStr">
        <is>
          <t>dev(OOF)</t>
        </is>
      </c>
      <c r="F331" s="10" t="n">
        <v>13</v>
      </c>
      <c r="G331" s="10" t="n">
        <v>15.5775287819649</v>
      </c>
      <c r="H331" s="10" t="n">
        <v>2.516919377576064</v>
      </c>
      <c r="I331" s="10">
        <f>G331-1.96*H331</f>
        <v/>
      </c>
      <c r="J331" s="10">
        <f>G331+1.96*H331</f>
        <v/>
      </c>
      <c r="K331" s="10">
        <f>G331-F331</f>
        <v/>
      </c>
      <c r="L331" s="4">
        <f>IF(AND(F331&gt;=I331,F331&lt;=J331),1,0)</f>
        <v/>
      </c>
    </row>
    <row r="332">
      <c r="A332" s="4" t="inlineStr">
        <is>
          <t>tensile_MPa</t>
        </is>
      </c>
      <c r="B332" s="4" t="inlineStr">
        <is>
          <t>G036</t>
        </is>
      </c>
      <c r="C332" s="4" t="inlineStr">
        <is>
          <t>US8173727B2</t>
        </is>
      </c>
      <c r="D332" s="4" t="inlineStr">
        <is>
          <t>Example 8</t>
        </is>
      </c>
      <c r="E332" s="4" t="inlineStr">
        <is>
          <t>dev(OOF)</t>
        </is>
      </c>
      <c r="F332" s="10" t="n">
        <v>13.73</v>
      </c>
      <c r="G332" s="10" t="n">
        <v>10.68975535715447</v>
      </c>
      <c r="H332" s="10" t="n">
        <v>3.276145018401232</v>
      </c>
      <c r="I332" s="10">
        <f>G332-1.96*H332</f>
        <v/>
      </c>
      <c r="J332" s="10">
        <f>G332+1.96*H332</f>
        <v/>
      </c>
      <c r="K332" s="10">
        <f>G332-F332</f>
        <v/>
      </c>
      <c r="L332" s="4">
        <f>IF(AND(F332&gt;=I332,F332&lt;=J332),1,0)</f>
        <v/>
      </c>
    </row>
    <row r="333">
      <c r="A333" s="4" t="inlineStr">
        <is>
          <t>tensile_MPa</t>
        </is>
      </c>
      <c r="B333" s="4" t="inlineStr">
        <is>
          <t>G072</t>
        </is>
      </c>
      <c r="C333" s="4" t="inlineStr">
        <is>
          <t>US11072700B2</t>
        </is>
      </c>
      <c r="D333" s="4" t="inlineStr">
        <is>
          <t>Example 3</t>
        </is>
      </c>
      <c r="E333" s="4" t="inlineStr">
        <is>
          <t>dev(OOF)</t>
        </is>
      </c>
      <c r="F333" s="10" t="n">
        <v>18.9</v>
      </c>
      <c r="G333" s="10" t="n">
        <v>15.7921691636879</v>
      </c>
      <c r="H333" s="10" t="n">
        <v>3.063495892771035</v>
      </c>
      <c r="I333" s="10">
        <f>G333-1.96*H333</f>
        <v/>
      </c>
      <c r="J333" s="10">
        <f>G333+1.96*H333</f>
        <v/>
      </c>
      <c r="K333" s="10">
        <f>G333-F333</f>
        <v/>
      </c>
      <c r="L333" s="4">
        <f>IF(AND(F333&gt;=I333,F333&lt;=J333),1,0)</f>
        <v/>
      </c>
    </row>
    <row r="334">
      <c r="A334" s="4" t="inlineStr">
        <is>
          <t>tensile_MPa</t>
        </is>
      </c>
      <c r="B334" s="4" t="inlineStr">
        <is>
          <t>G159</t>
        </is>
      </c>
      <c r="C334" s="4" t="inlineStr">
        <is>
          <t>US6956085B2</t>
        </is>
      </c>
      <c r="D334" s="4" t="inlineStr">
        <is>
          <t>Example 2</t>
        </is>
      </c>
      <c r="E334" s="4" t="inlineStr">
        <is>
          <t>dev(OOF)</t>
        </is>
      </c>
      <c r="F334" s="10" t="n">
        <v>16.31</v>
      </c>
      <c r="G334" s="10" t="n">
        <v>13.45758409129686</v>
      </c>
      <c r="H334" s="10" t="n">
        <v>3.195698611856303</v>
      </c>
      <c r="I334" s="10">
        <f>G334-1.96*H334</f>
        <v/>
      </c>
      <c r="J334" s="10">
        <f>G334+1.96*H334</f>
        <v/>
      </c>
      <c r="K334" s="10">
        <f>G334-F334</f>
        <v/>
      </c>
      <c r="L334" s="4">
        <f>IF(AND(F334&gt;=I334,F334&lt;=J334),1,0)</f>
        <v/>
      </c>
    </row>
    <row r="335">
      <c r="A335" s="4" t="inlineStr">
        <is>
          <t>tensile_MPa</t>
        </is>
      </c>
      <c r="B335" s="4" t="inlineStr">
        <is>
          <t>G272</t>
        </is>
      </c>
      <c r="C335" s="4" t="inlineStr">
        <is>
          <t>US20230174763A1</t>
        </is>
      </c>
      <c r="D335" s="4" t="inlineStr">
        <is>
          <t>Comparative Example 11</t>
        </is>
      </c>
      <c r="E335" s="4" t="inlineStr">
        <is>
          <t>dev(OOF)</t>
        </is>
      </c>
      <c r="F335" s="10" t="n">
        <v>19.8</v>
      </c>
      <c r="G335" s="10" t="n">
        <v>21.23097011917564</v>
      </c>
      <c r="H335" s="10" t="n">
        <v>4.00768286522499</v>
      </c>
      <c r="I335" s="10">
        <f>G335-1.96*H335</f>
        <v/>
      </c>
      <c r="J335" s="10">
        <f>G335+1.96*H335</f>
        <v/>
      </c>
      <c r="K335" s="10">
        <f>G335-F335</f>
        <v/>
      </c>
      <c r="L335" s="4">
        <f>IF(AND(F335&gt;=I335,F335&lt;=J335),1,0)</f>
        <v/>
      </c>
    </row>
    <row r="336">
      <c r="A336" s="4" t="inlineStr">
        <is>
          <t>tensile_MPa</t>
        </is>
      </c>
      <c r="B336" s="4" t="inlineStr">
        <is>
          <t>G254</t>
        </is>
      </c>
      <c r="C336" s="4" t="inlineStr">
        <is>
          <t>US12584054B2</t>
        </is>
      </c>
      <c r="D336" s="4" t="inlineStr">
        <is>
          <t>Comparative Example 6</t>
        </is>
      </c>
      <c r="E336" s="4" t="inlineStr">
        <is>
          <t>dev(OOF)</t>
        </is>
      </c>
      <c r="F336" s="10" t="n">
        <v>18</v>
      </c>
      <c r="G336" s="10" t="n">
        <v>14.27967986897452</v>
      </c>
      <c r="H336" s="10" t="n">
        <v>2.587908984395038</v>
      </c>
      <c r="I336" s="10">
        <f>G336-1.96*H336</f>
        <v/>
      </c>
      <c r="J336" s="10">
        <f>G336+1.96*H336</f>
        <v/>
      </c>
      <c r="K336" s="10">
        <f>G336-F336</f>
        <v/>
      </c>
      <c r="L336" s="4">
        <f>IF(AND(F336&gt;=I336,F336&lt;=J336),1,0)</f>
        <v/>
      </c>
    </row>
    <row r="337">
      <c r="A337" s="4" t="inlineStr">
        <is>
          <t>tensile_MPa</t>
        </is>
      </c>
      <c r="B337" s="4" t="inlineStr">
        <is>
          <t>G331</t>
        </is>
      </c>
      <c r="C337" s="4" t="inlineStr">
        <is>
          <t>KR101467101B1</t>
        </is>
      </c>
      <c r="D337" s="4" t="inlineStr">
        <is>
          <t>Example 2</t>
        </is>
      </c>
      <c r="E337" s="4" t="inlineStr">
        <is>
          <t>dev(OOF)</t>
        </is>
      </c>
      <c r="F337" s="10" t="n">
        <v>10.97</v>
      </c>
      <c r="G337" s="10" t="n">
        <v>12.18578650492711</v>
      </c>
      <c r="H337" s="10" t="n">
        <v>2.864475696929067</v>
      </c>
      <c r="I337" s="10">
        <f>G337-1.96*H337</f>
        <v/>
      </c>
      <c r="J337" s="10">
        <f>G337+1.96*H337</f>
        <v/>
      </c>
      <c r="K337" s="10">
        <f>G337-F337</f>
        <v/>
      </c>
      <c r="L337" s="4">
        <f>IF(AND(F337&gt;=I337,F337&lt;=J337),1,0)</f>
        <v/>
      </c>
    </row>
    <row r="338">
      <c r="A338" s="4" t="inlineStr">
        <is>
          <t>tensile_MPa</t>
        </is>
      </c>
      <c r="B338" s="4" t="inlineStr">
        <is>
          <t>G252</t>
        </is>
      </c>
      <c r="C338" s="4" t="inlineStr">
        <is>
          <t>US12584054B2</t>
        </is>
      </c>
      <c r="D338" s="4" t="inlineStr">
        <is>
          <t>Comparative Example 4</t>
        </is>
      </c>
      <c r="E338" s="4" t="inlineStr">
        <is>
          <t>dev(OOF)</t>
        </is>
      </c>
      <c r="F338" s="10" t="n">
        <v>23</v>
      </c>
      <c r="G338" s="10" t="n">
        <v>16.28202811271971</v>
      </c>
      <c r="H338" s="10" t="n">
        <v>2.649082055159781</v>
      </c>
      <c r="I338" s="10">
        <f>G338-1.96*H338</f>
        <v/>
      </c>
      <c r="J338" s="10">
        <f>G338+1.96*H338</f>
        <v/>
      </c>
      <c r="K338" s="10">
        <f>G338-F338</f>
        <v/>
      </c>
      <c r="L338" s="4">
        <f>IF(AND(F338&gt;=I338,F338&lt;=J338),1,0)</f>
        <v/>
      </c>
    </row>
    <row r="339">
      <c r="A339" s="4" t="inlineStr">
        <is>
          <t>tensile_MPa</t>
        </is>
      </c>
      <c r="B339" s="4" t="inlineStr">
        <is>
          <t>G158</t>
        </is>
      </c>
      <c r="C339" s="4" t="inlineStr">
        <is>
          <t>US6956085B2</t>
        </is>
      </c>
      <c r="D339" s="4" t="inlineStr">
        <is>
          <t>Example 1</t>
        </is>
      </c>
      <c r="E339" s="4" t="inlineStr">
        <is>
          <t>dev(OOF)</t>
        </is>
      </c>
      <c r="F339" s="10" t="n">
        <v>14.89</v>
      </c>
      <c r="G339" s="10" t="n">
        <v>14.48606618517222</v>
      </c>
      <c r="H339" s="10" t="n">
        <v>2.741560056587098</v>
      </c>
      <c r="I339" s="10">
        <f>G339-1.96*H339</f>
        <v/>
      </c>
      <c r="J339" s="10">
        <f>G339+1.96*H339</f>
        <v/>
      </c>
      <c r="K339" s="10">
        <f>G339-F339</f>
        <v/>
      </c>
      <c r="L339" s="4">
        <f>IF(AND(F339&gt;=I339,F339&lt;=J339),1,0)</f>
        <v/>
      </c>
    </row>
    <row r="340">
      <c r="A340" s="4" t="inlineStr">
        <is>
          <t>tensile_MPa</t>
        </is>
      </c>
      <c r="B340" s="4" t="inlineStr">
        <is>
          <t>G121</t>
        </is>
      </c>
      <c r="C340" s="4" t="inlineStr">
        <is>
          <t>US5696189A</t>
        </is>
      </c>
      <c r="D340" s="4" t="inlineStr">
        <is>
          <t>Example 4</t>
        </is>
      </c>
      <c r="E340" s="4" t="inlineStr">
        <is>
          <t>dev(OOF)</t>
        </is>
      </c>
      <c r="F340" s="10" t="n">
        <v>15.07</v>
      </c>
      <c r="G340" s="10" t="n">
        <v>11.78093600481124</v>
      </c>
      <c r="H340" s="10" t="n">
        <v>4.470655720340288</v>
      </c>
      <c r="I340" s="10">
        <f>G340-1.96*H340</f>
        <v/>
      </c>
      <c r="J340" s="10">
        <f>G340+1.96*H340</f>
        <v/>
      </c>
      <c r="K340" s="10">
        <f>G340-F340</f>
        <v/>
      </c>
      <c r="L340" s="4">
        <f>IF(AND(F340&gt;=I340,F340&lt;=J340),1,0)</f>
        <v/>
      </c>
    </row>
    <row r="341">
      <c r="A341" s="4" t="inlineStr">
        <is>
          <t>tensile_MPa</t>
        </is>
      </c>
      <c r="B341" s="4" t="inlineStr">
        <is>
          <t>G170</t>
        </is>
      </c>
      <c r="C341" s="4" t="inlineStr">
        <is>
          <t>US20050107544A1</t>
        </is>
      </c>
      <c r="D341" s="4" t="inlineStr">
        <is>
          <t>Comparative Example B</t>
        </is>
      </c>
      <c r="E341" s="4" t="inlineStr">
        <is>
          <t>dev(OOF)</t>
        </is>
      </c>
      <c r="F341" s="10" t="n">
        <v>5.2</v>
      </c>
      <c r="G341" s="10" t="n">
        <v>6.970255622531468</v>
      </c>
      <c r="H341" s="10" t="n">
        <v>2.676758389368328</v>
      </c>
      <c r="I341" s="10">
        <f>G341-1.96*H341</f>
        <v/>
      </c>
      <c r="J341" s="10">
        <f>G341+1.96*H341</f>
        <v/>
      </c>
      <c r="K341" s="10">
        <f>G341-F341</f>
        <v/>
      </c>
      <c r="L341" s="4">
        <f>IF(AND(F341&gt;=I341,F341&lt;=J341),1,0)</f>
        <v/>
      </c>
    </row>
    <row r="342">
      <c r="A342" s="4" t="inlineStr">
        <is>
          <t>tensile_MPa</t>
        </is>
      </c>
      <c r="B342" s="4" t="inlineStr">
        <is>
          <t>G148</t>
        </is>
      </c>
      <c r="C342" s="4" t="inlineStr">
        <is>
          <t>US7247749B2</t>
        </is>
      </c>
      <c r="D342" s="4" t="inlineStr">
        <is>
          <t>Sample 24</t>
        </is>
      </c>
      <c r="E342" s="4" t="inlineStr">
        <is>
          <t>dev(OOF)</t>
        </is>
      </c>
      <c r="F342" s="10" t="n">
        <v>9.529999999999999</v>
      </c>
      <c r="G342" s="10" t="n">
        <v>11.47761579552376</v>
      </c>
      <c r="H342" s="10" t="n">
        <v>2.840320001908741</v>
      </c>
      <c r="I342" s="10">
        <f>G342-1.96*H342</f>
        <v/>
      </c>
      <c r="J342" s="10">
        <f>G342+1.96*H342</f>
        <v/>
      </c>
      <c r="K342" s="10">
        <f>G342-F342</f>
        <v/>
      </c>
      <c r="L342" s="4">
        <f>IF(AND(F342&gt;=I342,F342&lt;=J342),1,0)</f>
        <v/>
      </c>
    </row>
    <row r="343">
      <c r="A343" s="4" t="inlineStr">
        <is>
          <t>tensile_MPa</t>
        </is>
      </c>
      <c r="B343" s="4" t="inlineStr">
        <is>
          <t>G143</t>
        </is>
      </c>
      <c r="C343" s="4" t="inlineStr">
        <is>
          <t>US7247749B2</t>
        </is>
      </c>
      <c r="D343" s="4" t="inlineStr">
        <is>
          <t>Sample 19</t>
        </is>
      </c>
      <c r="E343" s="4" t="inlineStr">
        <is>
          <t>dev(OOF)</t>
        </is>
      </c>
      <c r="F343" s="10" t="n">
        <v>10.49</v>
      </c>
      <c r="G343" s="10" t="n">
        <v>12.69792288110189</v>
      </c>
      <c r="H343" s="10" t="n">
        <v>3.652138973233967</v>
      </c>
      <c r="I343" s="10">
        <f>G343-1.96*H343</f>
        <v/>
      </c>
      <c r="J343" s="10">
        <f>G343+1.96*H343</f>
        <v/>
      </c>
      <c r="K343" s="10">
        <f>G343-F343</f>
        <v/>
      </c>
      <c r="L343" s="4">
        <f>IF(AND(F343&gt;=I343,F343&lt;=J343),1,0)</f>
        <v/>
      </c>
    </row>
    <row r="344">
      <c r="A344" s="4" t="inlineStr">
        <is>
          <t>tensile_MPa</t>
        </is>
      </c>
      <c r="B344" s="4" t="inlineStr">
        <is>
          <t>G018</t>
        </is>
      </c>
      <c r="C344" s="4" t="inlineStr">
        <is>
          <t>US7678858B2</t>
        </is>
      </c>
      <c r="D344" s="4" t="inlineStr">
        <is>
          <t>Example 17</t>
        </is>
      </c>
      <c r="E344" s="4" t="inlineStr">
        <is>
          <t>dev(OOF)</t>
        </is>
      </c>
      <c r="F344" s="10" t="n">
        <v>17.26</v>
      </c>
      <c r="G344" s="10" t="n">
        <v>15.92516569401861</v>
      </c>
      <c r="H344" s="10" t="n">
        <v>2.493251774810945</v>
      </c>
      <c r="I344" s="10">
        <f>G344-1.96*H344</f>
        <v/>
      </c>
      <c r="J344" s="10">
        <f>G344+1.96*H344</f>
        <v/>
      </c>
      <c r="K344" s="10">
        <f>G344-F344</f>
        <v/>
      </c>
      <c r="L344" s="4">
        <f>IF(AND(F344&gt;=I344,F344&lt;=J344),1,0)</f>
        <v/>
      </c>
    </row>
    <row r="345">
      <c r="A345" s="4" t="inlineStr">
        <is>
          <t>tensile_MPa</t>
        </is>
      </c>
      <c r="B345" s="4" t="inlineStr">
        <is>
          <t>G302</t>
        </is>
      </c>
      <c r="C345" s="4" t="inlineStr">
        <is>
          <t>EP4249550A1</t>
        </is>
      </c>
      <c r="D345" s="4" t="inlineStr">
        <is>
          <t>Comparative Example 1</t>
        </is>
      </c>
      <c r="E345" s="4" t="inlineStr">
        <is>
          <t>dev(OOF)</t>
        </is>
      </c>
      <c r="F345" s="10" t="n">
        <v>14.7</v>
      </c>
      <c r="G345" s="10" t="n">
        <v>12.51286562936932</v>
      </c>
      <c r="H345" s="10" t="n">
        <v>3.388462631577996</v>
      </c>
      <c r="I345" s="10">
        <f>G345-1.96*H345</f>
        <v/>
      </c>
      <c r="J345" s="10">
        <f>G345+1.96*H345</f>
        <v/>
      </c>
      <c r="K345" s="10">
        <f>G345-F345</f>
        <v/>
      </c>
      <c r="L345" s="4">
        <f>IF(AND(F345&gt;=I345,F345&lt;=J345),1,0)</f>
        <v/>
      </c>
    </row>
    <row r="346">
      <c r="A346" s="4" t="inlineStr">
        <is>
          <t>tensile_MPa</t>
        </is>
      </c>
      <c r="B346" s="4" t="inlineStr">
        <is>
          <t>G171</t>
        </is>
      </c>
      <c r="C346" s="4" t="inlineStr">
        <is>
          <t>US20050107544A1</t>
        </is>
      </c>
      <c r="D346" s="4" t="inlineStr">
        <is>
          <t>Sample 6</t>
        </is>
      </c>
      <c r="E346" s="4" t="inlineStr">
        <is>
          <t>dev(OOF)</t>
        </is>
      </c>
      <c r="F346" s="10" t="n">
        <v>6.7</v>
      </c>
      <c r="G346" s="10" t="n">
        <v>7.170502885195366</v>
      </c>
      <c r="H346" s="10" t="n">
        <v>2.992333003714996</v>
      </c>
      <c r="I346" s="10">
        <f>G346-1.96*H346</f>
        <v/>
      </c>
      <c r="J346" s="10">
        <f>G346+1.96*H346</f>
        <v/>
      </c>
      <c r="K346" s="10">
        <f>G346-F346</f>
        <v/>
      </c>
      <c r="L346" s="4">
        <f>IF(AND(F346&gt;=I346,F346&lt;=J346),1,0)</f>
        <v/>
      </c>
    </row>
    <row r="347">
      <c r="A347" s="4" t="inlineStr">
        <is>
          <t>tensile_MPa</t>
        </is>
      </c>
      <c r="B347" s="4" t="inlineStr">
        <is>
          <t>G163</t>
        </is>
      </c>
      <c r="C347" s="4" t="inlineStr">
        <is>
          <t>US6956085B2</t>
        </is>
      </c>
      <c r="D347" s="4" t="inlineStr">
        <is>
          <t>Example 6</t>
        </is>
      </c>
      <c r="E347" s="4" t="inlineStr">
        <is>
          <t>dev(OOF)</t>
        </is>
      </c>
      <c r="F347" s="10" t="n">
        <v>15.03</v>
      </c>
      <c r="G347" s="10" t="n">
        <v>15.80912649621578</v>
      </c>
      <c r="H347" s="10" t="n">
        <v>3.089922786620725</v>
      </c>
      <c r="I347" s="10">
        <f>G347-1.96*H347</f>
        <v/>
      </c>
      <c r="J347" s="10">
        <f>G347+1.96*H347</f>
        <v/>
      </c>
      <c r="K347" s="10">
        <f>G347-F347</f>
        <v/>
      </c>
      <c r="L347" s="4">
        <f>IF(AND(F347&gt;=I347,F347&lt;=J347),1,0)</f>
        <v/>
      </c>
    </row>
    <row r="348">
      <c r="A348" s="4" t="inlineStr">
        <is>
          <t>tensile_MPa</t>
        </is>
      </c>
      <c r="B348" s="4" t="inlineStr">
        <is>
          <t>G113</t>
        </is>
      </c>
      <c r="C348" s="4" t="inlineStr">
        <is>
          <t>US6992143B2</t>
        </is>
      </c>
      <c r="D348" s="4" t="inlineStr">
        <is>
          <t>Comparative Example A</t>
        </is>
      </c>
      <c r="E348" s="4" t="inlineStr">
        <is>
          <t>dev(OOF)</t>
        </is>
      </c>
      <c r="F348" s="10" t="n">
        <v>12.9</v>
      </c>
      <c r="G348" s="10" t="n">
        <v>13.06281703473603</v>
      </c>
      <c r="H348" s="10" t="n">
        <v>2.93306305798257</v>
      </c>
      <c r="I348" s="10">
        <f>G348-1.96*H348</f>
        <v/>
      </c>
      <c r="J348" s="10">
        <f>G348+1.96*H348</f>
        <v/>
      </c>
      <c r="K348" s="10">
        <f>G348-F348</f>
        <v/>
      </c>
      <c r="L348" s="4">
        <f>IF(AND(F348&gt;=I348,F348&lt;=J348),1,0)</f>
        <v/>
      </c>
    </row>
    <row r="349">
      <c r="A349" s="4" t="inlineStr">
        <is>
          <t>tensile_MPa</t>
        </is>
      </c>
      <c r="B349" s="4" t="inlineStr">
        <is>
          <t>G247</t>
        </is>
      </c>
      <c r="C349" s="4" t="inlineStr">
        <is>
          <t>US12584054B2</t>
        </is>
      </c>
      <c r="D349" s="4" t="inlineStr">
        <is>
          <t>Example 4</t>
        </is>
      </c>
      <c r="E349" s="4" t="inlineStr">
        <is>
          <t>dev(OOF)</t>
        </is>
      </c>
      <c r="F349" s="10" t="n">
        <v>21</v>
      </c>
      <c r="G349" s="10" t="n">
        <v>15.75515119209461</v>
      </c>
      <c r="H349" s="10" t="n">
        <v>4.412533574801039</v>
      </c>
      <c r="I349" s="10">
        <f>G349-1.96*H349</f>
        <v/>
      </c>
      <c r="J349" s="10">
        <f>G349+1.96*H349</f>
        <v/>
      </c>
      <c r="K349" s="10">
        <f>G349-F349</f>
        <v/>
      </c>
      <c r="L349" s="4">
        <f>IF(AND(F349&gt;=I349,F349&lt;=J349),1,0)</f>
        <v/>
      </c>
    </row>
    <row r="350">
      <c r="A350" s="4" t="inlineStr">
        <is>
          <t>tensile_MPa</t>
        </is>
      </c>
      <c r="B350" s="4" t="inlineStr">
        <is>
          <t>G026</t>
        </is>
      </c>
      <c r="C350" s="4" t="inlineStr">
        <is>
          <t>US6803402B2</t>
        </is>
      </c>
      <c r="D350" s="4" t="inlineStr">
        <is>
          <t>Comparative Example 1</t>
        </is>
      </c>
      <c r="E350" s="4" t="inlineStr">
        <is>
          <t>dev(OOF)</t>
        </is>
      </c>
      <c r="F350" s="10" t="n">
        <v>18.04</v>
      </c>
      <c r="G350" s="10" t="n">
        <v>23.56378656892792</v>
      </c>
      <c r="H350" s="10" t="n">
        <v>2.529959634211708</v>
      </c>
      <c r="I350" s="10">
        <f>G350-1.96*H350</f>
        <v/>
      </c>
      <c r="J350" s="10">
        <f>G350+1.96*H350</f>
        <v/>
      </c>
      <c r="K350" s="10">
        <f>G350-F350</f>
        <v/>
      </c>
      <c r="L350" s="4">
        <f>IF(AND(F350&gt;=I350,F350&lt;=J350),1,0)</f>
        <v/>
      </c>
    </row>
    <row r="351">
      <c r="A351" s="4" t="inlineStr">
        <is>
          <t>tensile_MPa</t>
        </is>
      </c>
      <c r="B351" s="4" t="inlineStr">
        <is>
          <t>G267</t>
        </is>
      </c>
      <c r="C351" s="4" t="inlineStr">
        <is>
          <t>US20230174763A1</t>
        </is>
      </c>
      <c r="D351" s="4" t="inlineStr">
        <is>
          <t>Example 4</t>
        </is>
      </c>
      <c r="E351" s="4" t="inlineStr">
        <is>
          <t>dev(OOF)</t>
        </is>
      </c>
      <c r="F351" s="10" t="n">
        <v>23.5</v>
      </c>
      <c r="G351" s="10" t="n">
        <v>21.34453468407942</v>
      </c>
      <c r="H351" s="10" t="n">
        <v>3.645946643110424</v>
      </c>
      <c r="I351" s="10">
        <f>G351-1.96*H351</f>
        <v/>
      </c>
      <c r="J351" s="10">
        <f>G351+1.96*H351</f>
        <v/>
      </c>
      <c r="K351" s="10">
        <f>G351-F351</f>
        <v/>
      </c>
      <c r="L351" s="4">
        <f>IF(AND(F351&gt;=I351,F351&lt;=J351),1,0)</f>
        <v/>
      </c>
    </row>
    <row r="352">
      <c r="A352" s="4" t="inlineStr">
        <is>
          <t>tensile_MPa</t>
        </is>
      </c>
      <c r="B352" s="4" t="inlineStr">
        <is>
          <t>G017</t>
        </is>
      </c>
      <c r="C352" s="4" t="inlineStr">
        <is>
          <t>US7678858B2</t>
        </is>
      </c>
      <c r="D352" s="4" t="inlineStr">
        <is>
          <t>Example 16</t>
        </is>
      </c>
      <c r="E352" s="4" t="inlineStr">
        <is>
          <t>dev(OOF)</t>
        </is>
      </c>
      <c r="F352" s="10" t="n">
        <v>16.77</v>
      </c>
      <c r="G352" s="10" t="n">
        <v>14.91351634068508</v>
      </c>
      <c r="H352" s="10" t="n">
        <v>2.40850605694679</v>
      </c>
      <c r="I352" s="10">
        <f>G352-1.96*H352</f>
        <v/>
      </c>
      <c r="J352" s="10">
        <f>G352+1.96*H352</f>
        <v/>
      </c>
      <c r="K352" s="10">
        <f>G352-F352</f>
        <v/>
      </c>
      <c r="L352" s="4">
        <f>IF(AND(F352&gt;=I352,F352&lt;=J352),1,0)</f>
        <v/>
      </c>
    </row>
    <row r="353">
      <c r="A353" s="4" t="inlineStr">
        <is>
          <t>tensile_MPa</t>
        </is>
      </c>
      <c r="B353" s="4" t="inlineStr">
        <is>
          <t>G135</t>
        </is>
      </c>
      <c r="C353" s="4" t="inlineStr">
        <is>
          <t>US7247749B2</t>
        </is>
      </c>
      <c r="D353" s="4" t="inlineStr">
        <is>
          <t>Comparative Sample 11</t>
        </is>
      </c>
      <c r="E353" s="4" t="inlineStr">
        <is>
          <t>dev(OOF)</t>
        </is>
      </c>
      <c r="F353" s="10" t="n">
        <v>13.4</v>
      </c>
      <c r="G353" s="10" t="n">
        <v>13.69820581553757</v>
      </c>
      <c r="H353" s="10" t="n">
        <v>2.698192366894012</v>
      </c>
      <c r="I353" s="10">
        <f>G353-1.96*H353</f>
        <v/>
      </c>
      <c r="J353" s="10">
        <f>G353+1.96*H353</f>
        <v/>
      </c>
      <c r="K353" s="10">
        <f>G353-F353</f>
        <v/>
      </c>
      <c r="L353" s="4">
        <f>IF(AND(F353&gt;=I353,F353&lt;=J353),1,0)</f>
        <v/>
      </c>
    </row>
    <row r="354">
      <c r="A354" s="4" t="inlineStr">
        <is>
          <t>tensile_MPa</t>
        </is>
      </c>
      <c r="B354" s="4" t="inlineStr">
        <is>
          <t>G321</t>
        </is>
      </c>
      <c r="C354" s="4" t="inlineStr">
        <is>
          <t>KR101467101B1</t>
        </is>
      </c>
      <c r="D354" s="4" t="inlineStr">
        <is>
          <t>Table 1 compound FFKM B</t>
        </is>
      </c>
      <c r="E354" s="4" t="inlineStr">
        <is>
          <t>dev(OOF)</t>
        </is>
      </c>
      <c r="F354" s="10" t="n">
        <v>13.17</v>
      </c>
      <c r="G354" s="10" t="n">
        <v>8.734858873195368</v>
      </c>
      <c r="H354" s="10" t="n">
        <v>2.417564517883455</v>
      </c>
      <c r="I354" s="10">
        <f>G354-1.96*H354</f>
        <v/>
      </c>
      <c r="J354" s="10">
        <f>G354+1.96*H354</f>
        <v/>
      </c>
      <c r="K354" s="10">
        <f>G354-F354</f>
        <v/>
      </c>
      <c r="L354" s="4">
        <f>IF(AND(F354&gt;=I354,F354&lt;=J354),1,0)</f>
        <v/>
      </c>
    </row>
    <row r="355">
      <c r="A355" s="4" t="inlineStr">
        <is>
          <t>tensile_MPa</t>
        </is>
      </c>
      <c r="B355" s="4" t="inlineStr">
        <is>
          <t>G251</t>
        </is>
      </c>
      <c r="C355" s="4" t="inlineStr">
        <is>
          <t>US12584054B2</t>
        </is>
      </c>
      <c r="D355" s="4" t="inlineStr">
        <is>
          <t>Comparative Example 3</t>
        </is>
      </c>
      <c r="E355" s="4" t="inlineStr">
        <is>
          <t>dev(OOF)</t>
        </is>
      </c>
      <c r="F355" s="10" t="n">
        <v>24</v>
      </c>
      <c r="G355" s="10" t="n">
        <v>19.27422496540901</v>
      </c>
      <c r="H355" s="10" t="n">
        <v>3.032625365425452</v>
      </c>
      <c r="I355" s="10">
        <f>G355-1.96*H355</f>
        <v/>
      </c>
      <c r="J355" s="10">
        <f>G355+1.96*H355</f>
        <v/>
      </c>
      <c r="K355" s="10">
        <f>G355-F355</f>
        <v/>
      </c>
      <c r="L355" s="4">
        <f>IF(AND(F355&gt;=I355,F355&lt;=J355),1,0)</f>
        <v/>
      </c>
    </row>
    <row r="356">
      <c r="A356" s="4" t="inlineStr">
        <is>
          <t>tensile_MPa</t>
        </is>
      </c>
      <c r="B356" s="4" t="inlineStr">
        <is>
          <t>G008</t>
        </is>
      </c>
      <c r="C356" s="4" t="inlineStr">
        <is>
          <t>US7678858B2</t>
        </is>
      </c>
      <c r="D356" s="4" t="inlineStr">
        <is>
          <t>Example 8</t>
        </is>
      </c>
      <c r="E356" s="4" t="inlineStr">
        <is>
          <t>dev(OOF)</t>
        </is>
      </c>
      <c r="F356" s="10" t="n">
        <v>24.71</v>
      </c>
      <c r="G356" s="10" t="n">
        <v>22.31486840184368</v>
      </c>
      <c r="H356" s="10" t="n">
        <v>2.152391116258771</v>
      </c>
      <c r="I356" s="10">
        <f>G356-1.96*H356</f>
        <v/>
      </c>
      <c r="J356" s="10">
        <f>G356+1.96*H356</f>
        <v/>
      </c>
      <c r="K356" s="10">
        <f>G356-F356</f>
        <v/>
      </c>
      <c r="L356" s="4">
        <f>IF(AND(F356&gt;=I356,F356&lt;=J356),1,0)</f>
        <v/>
      </c>
    </row>
    <row r="357">
      <c r="A357" s="4" t="inlineStr">
        <is>
          <t>tensile_MPa</t>
        </is>
      </c>
      <c r="B357" s="4" t="inlineStr">
        <is>
          <t>G010</t>
        </is>
      </c>
      <c r="C357" s="4" t="inlineStr">
        <is>
          <t>US7678858B2</t>
        </is>
      </c>
      <c r="D357" s="4" t="inlineStr">
        <is>
          <t>Comparative Example 1</t>
        </is>
      </c>
      <c r="E357" s="4" t="inlineStr">
        <is>
          <t>dev(OOF)</t>
        </is>
      </c>
      <c r="F357" s="10" t="n">
        <v>23.83</v>
      </c>
      <c r="G357" s="10" t="n">
        <v>22.2719293773258</v>
      </c>
      <c r="H357" s="10" t="n">
        <v>2.673040200093763</v>
      </c>
      <c r="I357" s="10">
        <f>G357-1.96*H357</f>
        <v/>
      </c>
      <c r="J357" s="10">
        <f>G357+1.96*H357</f>
        <v/>
      </c>
      <c r="K357" s="10">
        <f>G357-F357</f>
        <v/>
      </c>
      <c r="L357" s="4">
        <f>IF(AND(F357&gt;=I357,F357&lt;=J357),1,0)</f>
        <v/>
      </c>
    </row>
    <row r="358">
      <c r="A358" s="4" t="inlineStr">
        <is>
          <t>tensile_MPa</t>
        </is>
      </c>
      <c r="B358" s="4" t="inlineStr">
        <is>
          <t>G119</t>
        </is>
      </c>
      <c r="C358" s="4" t="inlineStr">
        <is>
          <t>US5696189A</t>
        </is>
      </c>
      <c r="D358" s="4" t="inlineStr">
        <is>
          <t>Example 2</t>
        </is>
      </c>
      <c r="E358" s="4" t="inlineStr">
        <is>
          <t>dev(OOF)</t>
        </is>
      </c>
      <c r="F358" s="10" t="n">
        <v>9.51</v>
      </c>
      <c r="G358" s="10" t="n">
        <v>12.59377983870488</v>
      </c>
      <c r="H358" s="10" t="n">
        <v>3.70188946616437</v>
      </c>
      <c r="I358" s="10">
        <f>G358-1.96*H358</f>
        <v/>
      </c>
      <c r="J358" s="10">
        <f>G358+1.96*H358</f>
        <v/>
      </c>
      <c r="K358" s="10">
        <f>G358-F358</f>
        <v/>
      </c>
      <c r="L358" s="4">
        <f>IF(AND(F358&gt;=I358,F358&lt;=J358),1,0)</f>
        <v/>
      </c>
    </row>
    <row r="359">
      <c r="A359" s="4" t="inlineStr">
        <is>
          <t>tensile_MPa</t>
        </is>
      </c>
      <c r="B359" s="4" t="inlineStr">
        <is>
          <t>G151</t>
        </is>
      </c>
      <c r="C359" s="4" t="inlineStr">
        <is>
          <t>US7247749B2</t>
        </is>
      </c>
      <c r="D359" s="4" t="inlineStr">
        <is>
          <t>Control Sample 31</t>
        </is>
      </c>
      <c r="E359" s="4" t="inlineStr">
        <is>
          <t>dev(OOF)</t>
        </is>
      </c>
      <c r="F359" s="10" t="n">
        <v>21.86</v>
      </c>
      <c r="G359" s="10" t="n">
        <v>19.42200083919755</v>
      </c>
      <c r="H359" s="10" t="n">
        <v>3.341632642060337</v>
      </c>
      <c r="I359" s="10">
        <f>G359-1.96*H359</f>
        <v/>
      </c>
      <c r="J359" s="10">
        <f>G359+1.96*H359</f>
        <v/>
      </c>
      <c r="K359" s="10">
        <f>G359-F359</f>
        <v/>
      </c>
      <c r="L359" s="4">
        <f>IF(AND(F359&gt;=I359,F359&lt;=J359),1,0)</f>
        <v/>
      </c>
    </row>
    <row r="360">
      <c r="A360" s="4" t="inlineStr">
        <is>
          <t>tensile_MPa</t>
        </is>
      </c>
      <c r="B360" s="4" t="inlineStr">
        <is>
          <t>G160</t>
        </is>
      </c>
      <c r="C360" s="4" t="inlineStr">
        <is>
          <t>US6956085B2</t>
        </is>
      </c>
      <c r="D360" s="4" t="inlineStr">
        <is>
          <t>Example 3</t>
        </is>
      </c>
      <c r="E360" s="4" t="inlineStr">
        <is>
          <t>dev(OOF)</t>
        </is>
      </c>
      <c r="F360" s="10" t="n">
        <v>13.65</v>
      </c>
      <c r="G360" s="10" t="n">
        <v>14.83792404143228</v>
      </c>
      <c r="H360" s="10" t="n">
        <v>2.871275893991917</v>
      </c>
      <c r="I360" s="10">
        <f>G360-1.96*H360</f>
        <v/>
      </c>
      <c r="J360" s="10">
        <f>G360+1.96*H360</f>
        <v/>
      </c>
      <c r="K360" s="10">
        <f>G360-F360</f>
        <v/>
      </c>
      <c r="L360" s="4">
        <f>IF(AND(F360&gt;=I360,F360&lt;=J360),1,0)</f>
        <v/>
      </c>
    </row>
    <row r="361">
      <c r="A361" s="4" t="inlineStr">
        <is>
          <t>tensile_MPa</t>
        </is>
      </c>
      <c r="B361" s="4" t="inlineStr">
        <is>
          <t>G183</t>
        </is>
      </c>
      <c r="C361" s="4" t="inlineStr">
        <is>
          <t>US6211319B1</t>
        </is>
      </c>
      <c r="D361" s="4" t="inlineStr">
        <is>
          <t>Example 1</t>
        </is>
      </c>
      <c r="E361" s="4" t="inlineStr">
        <is>
          <t>dev(OOF)</t>
        </is>
      </c>
      <c r="F361" s="10" t="n">
        <v>23.2</v>
      </c>
      <c r="G361" s="10" t="n">
        <v>18.20615883973966</v>
      </c>
      <c r="H361" s="10" t="n">
        <v>3.089778703677069</v>
      </c>
      <c r="I361" s="10">
        <f>G361-1.96*H361</f>
        <v/>
      </c>
      <c r="J361" s="10">
        <f>G361+1.96*H361</f>
        <v/>
      </c>
      <c r="K361" s="10">
        <f>G361-F361</f>
        <v/>
      </c>
      <c r="L361" s="4">
        <f>IF(AND(F361&gt;=I361,F361&lt;=J361),1,0)</f>
        <v/>
      </c>
    </row>
    <row r="362">
      <c r="A362" s="4" t="inlineStr">
        <is>
          <t>tensile_MPa</t>
        </is>
      </c>
      <c r="B362" s="4" t="inlineStr">
        <is>
          <t>G089</t>
        </is>
      </c>
      <c r="C362" s="4" t="inlineStr">
        <is>
          <t>US8367776B2</t>
        </is>
      </c>
      <c r="D362" s="4" t="inlineStr">
        <is>
          <t>Example 7</t>
        </is>
      </c>
      <c r="E362" s="4" t="inlineStr">
        <is>
          <t>dev(OOF)</t>
        </is>
      </c>
      <c r="F362" s="10" t="n">
        <v>9.57</v>
      </c>
      <c r="G362" s="10" t="n">
        <v>6.883762311092166</v>
      </c>
      <c r="H362" s="10" t="n">
        <v>2.215342015670791</v>
      </c>
      <c r="I362" s="10">
        <f>G362-1.96*H362</f>
        <v/>
      </c>
      <c r="J362" s="10">
        <f>G362+1.96*H362</f>
        <v/>
      </c>
      <c r="K362" s="10">
        <f>G362-F362</f>
        <v/>
      </c>
      <c r="L362" s="4">
        <f>IF(AND(F362&gt;=I362,F362&lt;=J362),1,0)</f>
        <v/>
      </c>
    </row>
    <row r="363">
      <c r="A363" s="4" t="inlineStr">
        <is>
          <t>tensile_MPa</t>
        </is>
      </c>
      <c r="B363" s="4" t="inlineStr">
        <is>
          <t>G127</t>
        </is>
      </c>
      <c r="C363" s="4" t="inlineStr">
        <is>
          <t>US7247749B2</t>
        </is>
      </c>
      <c r="D363" s="4" t="inlineStr">
        <is>
          <t>Sample 3</t>
        </is>
      </c>
      <c r="E363" s="4" t="inlineStr">
        <is>
          <t>dev(OOF)</t>
        </is>
      </c>
      <c r="F363" s="10" t="n">
        <v>13.42</v>
      </c>
      <c r="G363" s="10" t="n">
        <v>11.54874560537727</v>
      </c>
      <c r="H363" s="10" t="n">
        <v>2.55997251686807</v>
      </c>
      <c r="I363" s="10">
        <f>G363-1.96*H363</f>
        <v/>
      </c>
      <c r="J363" s="10">
        <f>G363+1.96*H363</f>
        <v/>
      </c>
      <c r="K363" s="10">
        <f>G363-F363</f>
        <v/>
      </c>
      <c r="L363" s="4">
        <f>IF(AND(F363&gt;=I363,F363&lt;=J363),1,0)</f>
        <v/>
      </c>
    </row>
    <row r="364">
      <c r="A364" s="4" t="inlineStr">
        <is>
          <t>tensile_MPa</t>
        </is>
      </c>
      <c r="B364" s="4" t="inlineStr">
        <is>
          <t>G194</t>
        </is>
      </c>
      <c r="C364" s="4" t="inlineStr">
        <is>
          <t>US20160319102A1</t>
        </is>
      </c>
      <c r="D364" s="4" t="inlineStr">
        <is>
          <t>Example 5</t>
        </is>
      </c>
      <c r="E364" s="4" t="inlineStr">
        <is>
          <t>dev(OOF)</t>
        </is>
      </c>
      <c r="F364" s="10" t="n">
        <v>12.2</v>
      </c>
      <c r="G364" s="10" t="n">
        <v>12.40384388204536</v>
      </c>
      <c r="H364" s="10" t="n">
        <v>3.094606723334264</v>
      </c>
      <c r="I364" s="10">
        <f>G364-1.96*H364</f>
        <v/>
      </c>
      <c r="J364" s="10">
        <f>G364+1.96*H364</f>
        <v/>
      </c>
      <c r="K364" s="10">
        <f>G364-F364</f>
        <v/>
      </c>
      <c r="L364" s="4">
        <f>IF(AND(F364&gt;=I364,F364&lt;=J364),1,0)</f>
        <v/>
      </c>
    </row>
    <row r="365">
      <c r="A365" s="4" t="inlineStr">
        <is>
          <t>tensile_MPa</t>
        </is>
      </c>
      <c r="B365" s="4" t="inlineStr">
        <is>
          <t>G249</t>
        </is>
      </c>
      <c r="C365" s="4" t="inlineStr">
        <is>
          <t>US12584054B2</t>
        </is>
      </c>
      <c r="D365" s="4" t="inlineStr">
        <is>
          <t>Comparative Example 1</t>
        </is>
      </c>
      <c r="E365" s="4" t="inlineStr">
        <is>
          <t>dev(OOF)</t>
        </is>
      </c>
      <c r="F365" s="10" t="n">
        <v>8.9</v>
      </c>
      <c r="G365" s="10" t="n">
        <v>11.58101556990928</v>
      </c>
      <c r="H365" s="10" t="n">
        <v>3.010077015177492</v>
      </c>
      <c r="I365" s="10">
        <f>G365-1.96*H365</f>
        <v/>
      </c>
      <c r="J365" s="10">
        <f>G365+1.96*H365</f>
        <v/>
      </c>
      <c r="K365" s="10">
        <f>G365-F365</f>
        <v/>
      </c>
      <c r="L365" s="4">
        <f>IF(AND(F365&gt;=I365,F365&lt;=J365),1,0)</f>
        <v/>
      </c>
    </row>
    <row r="366">
      <c r="A366" s="4" t="inlineStr">
        <is>
          <t>tensile_MPa</t>
        </is>
      </c>
      <c r="B366" s="4" t="inlineStr">
        <is>
          <t>G164</t>
        </is>
      </c>
      <c r="C366" s="4" t="inlineStr">
        <is>
          <t>US20050107544A1</t>
        </is>
      </c>
      <c r="D366" s="4" t="inlineStr">
        <is>
          <t>Sample 1</t>
        </is>
      </c>
      <c r="E366" s="4" t="inlineStr">
        <is>
          <t>dev(OOF)</t>
        </is>
      </c>
      <c r="F366" s="10" t="n">
        <v>10.1</v>
      </c>
      <c r="G366" s="10" t="n">
        <v>7.920189644828041</v>
      </c>
      <c r="H366" s="10" t="n">
        <v>2.395179544442733</v>
      </c>
      <c r="I366" s="10">
        <f>G366-1.96*H366</f>
        <v/>
      </c>
      <c r="J366" s="10">
        <f>G366+1.96*H366</f>
        <v/>
      </c>
      <c r="K366" s="10">
        <f>G366-F366</f>
        <v/>
      </c>
      <c r="L366" s="4">
        <f>IF(AND(F366&gt;=I366,F366&lt;=J366),1,0)</f>
        <v/>
      </c>
    </row>
    <row r="367">
      <c r="A367" s="4" t="inlineStr">
        <is>
          <t>tensile_MPa</t>
        </is>
      </c>
      <c r="B367" s="4" t="inlineStr">
        <is>
          <t>G323</t>
        </is>
      </c>
      <c r="C367" s="4" t="inlineStr">
        <is>
          <t>KR101467101B1</t>
        </is>
      </c>
      <c r="D367" s="4" t="inlineStr">
        <is>
          <t>Table 2 sample 1</t>
        </is>
      </c>
      <c r="E367" s="4" t="inlineStr">
        <is>
          <t>dev(OOF)</t>
        </is>
      </c>
      <c r="F367" s="10" t="n">
        <v>7.92</v>
      </c>
      <c r="G367" s="10" t="n">
        <v>11.16193983171307</v>
      </c>
      <c r="H367" s="10" t="n">
        <v>2.600539043420657</v>
      </c>
      <c r="I367" s="10">
        <f>G367-1.96*H367</f>
        <v/>
      </c>
      <c r="J367" s="10">
        <f>G367+1.96*H367</f>
        <v/>
      </c>
      <c r="K367" s="10">
        <f>G367-F367</f>
        <v/>
      </c>
      <c r="L367" s="4">
        <f>IF(AND(F367&gt;=I367,F367&lt;=J367),1,0)</f>
        <v/>
      </c>
    </row>
    <row r="368">
      <c r="A368" s="4" t="inlineStr">
        <is>
          <t>tensile_MPa</t>
        </is>
      </c>
      <c r="B368" s="4" t="inlineStr">
        <is>
          <t>G096</t>
        </is>
      </c>
      <c r="C368" s="4" t="inlineStr">
        <is>
          <t>US8367776B2</t>
        </is>
      </c>
      <c r="D368" s="4" t="inlineStr">
        <is>
          <t>Example 14</t>
        </is>
      </c>
      <c r="E368" s="4" t="inlineStr">
        <is>
          <t>dev(OOF)</t>
        </is>
      </c>
      <c r="F368" s="10" t="n">
        <v>7.26</v>
      </c>
      <c r="G368" s="10" t="n">
        <v>7.571668683072941</v>
      </c>
      <c r="H368" s="10" t="n">
        <v>2.232304040854411</v>
      </c>
      <c r="I368" s="10">
        <f>G368-1.96*H368</f>
        <v/>
      </c>
      <c r="J368" s="10">
        <f>G368+1.96*H368</f>
        <v/>
      </c>
      <c r="K368" s="10">
        <f>G368-F368</f>
        <v/>
      </c>
      <c r="L368" s="4">
        <f>IF(AND(F368&gt;=I368,F368&lt;=J368),1,0)</f>
        <v/>
      </c>
    </row>
    <row r="369">
      <c r="A369" s="4" t="inlineStr">
        <is>
          <t>tensile_MPa</t>
        </is>
      </c>
      <c r="B369" s="4" t="inlineStr">
        <is>
          <t>G266</t>
        </is>
      </c>
      <c r="C369" s="4" t="inlineStr">
        <is>
          <t>US20230174763A1</t>
        </is>
      </c>
      <c r="D369" s="4" t="inlineStr">
        <is>
          <t>Example 3</t>
        </is>
      </c>
      <c r="E369" s="4" t="inlineStr">
        <is>
          <t>dev(OOF)</t>
        </is>
      </c>
      <c r="F369" s="10" t="n">
        <v>24.3</v>
      </c>
      <c r="G369" s="10" t="n">
        <v>18.72609753886493</v>
      </c>
      <c r="H369" s="10" t="n">
        <v>4.20773115559656</v>
      </c>
      <c r="I369" s="10">
        <f>G369-1.96*H369</f>
        <v/>
      </c>
      <c r="J369" s="10">
        <f>G369+1.96*H369</f>
        <v/>
      </c>
      <c r="K369" s="10">
        <f>G369-F369</f>
        <v/>
      </c>
      <c r="L369" s="4">
        <f>IF(AND(F369&gt;=I369,F369&lt;=J369),1,0)</f>
        <v/>
      </c>
    </row>
    <row r="370">
      <c r="A370" s="4" t="inlineStr">
        <is>
          <t>tensile_MPa</t>
        </is>
      </c>
      <c r="B370" s="4" t="inlineStr">
        <is>
          <t>G327</t>
        </is>
      </c>
      <c r="C370" s="4" t="inlineStr">
        <is>
          <t>KR101467101B1</t>
        </is>
      </c>
      <c r="D370" s="4" t="inlineStr">
        <is>
          <t>Table 2 sample 5</t>
        </is>
      </c>
      <c r="E370" s="4" t="inlineStr">
        <is>
          <t>dev(OOF)</t>
        </is>
      </c>
      <c r="F370" s="10" t="n">
        <v>9.949999999999999</v>
      </c>
      <c r="G370" s="10" t="n">
        <v>8.794496614485823</v>
      </c>
      <c r="H370" s="10" t="n">
        <v>2.742726781379663</v>
      </c>
      <c r="I370" s="10">
        <f>G370-1.96*H370</f>
        <v/>
      </c>
      <c r="J370" s="10">
        <f>G370+1.96*H370</f>
        <v/>
      </c>
      <c r="K370" s="10">
        <f>G370-F370</f>
        <v/>
      </c>
      <c r="L370" s="4">
        <f>IF(AND(F370&gt;=I370,F370&lt;=J370),1,0)</f>
        <v/>
      </c>
    </row>
    <row r="371">
      <c r="A371" s="4" t="inlineStr">
        <is>
          <t>tensile_MPa</t>
        </is>
      </c>
      <c r="B371" s="4" t="inlineStr">
        <is>
          <t>G308</t>
        </is>
      </c>
      <c r="C371" s="4" t="inlineStr">
        <is>
          <t>EP4249550A1</t>
        </is>
      </c>
      <c r="D371" s="4" t="inlineStr">
        <is>
          <t>Comparative Example 7</t>
        </is>
      </c>
      <c r="E371" s="4" t="inlineStr">
        <is>
          <t>dev(OOF)</t>
        </is>
      </c>
      <c r="F371" s="10" t="n">
        <v>13.8</v>
      </c>
      <c r="G371" s="10" t="n">
        <v>13.34624532600485</v>
      </c>
      <c r="H371" s="10" t="n">
        <v>3.295069296427131</v>
      </c>
      <c r="I371" s="10">
        <f>G371-1.96*H371</f>
        <v/>
      </c>
      <c r="J371" s="10">
        <f>G371+1.96*H371</f>
        <v/>
      </c>
      <c r="K371" s="10">
        <f>G371-F371</f>
        <v/>
      </c>
      <c r="L371" s="4">
        <f>IF(AND(F371&gt;=I371,F371&lt;=J371),1,0)</f>
        <v/>
      </c>
    </row>
    <row r="372">
      <c r="A372" s="4" t="inlineStr">
        <is>
          <t>tensile_MPa</t>
        </is>
      </c>
      <c r="B372" s="4" t="inlineStr">
        <is>
          <t>G095</t>
        </is>
      </c>
      <c r="C372" s="4" t="inlineStr">
        <is>
          <t>US8367776B2</t>
        </is>
      </c>
      <c r="D372" s="4" t="inlineStr">
        <is>
          <t>Example 13</t>
        </is>
      </c>
      <c r="E372" s="4" t="inlineStr">
        <is>
          <t>dev(OOF)</t>
        </is>
      </c>
      <c r="F372" s="10" t="n">
        <v>7.61</v>
      </c>
      <c r="G372" s="10" t="n">
        <v>7.571668683072941</v>
      </c>
      <c r="H372" s="10" t="n">
        <v>2.232304040854411</v>
      </c>
      <c r="I372" s="10">
        <f>G372-1.96*H372</f>
        <v/>
      </c>
      <c r="J372" s="10">
        <f>G372+1.96*H372</f>
        <v/>
      </c>
      <c r="K372" s="10">
        <f>G372-F372</f>
        <v/>
      </c>
      <c r="L372" s="4">
        <f>IF(AND(F372&gt;=I372,F372&lt;=J372),1,0)</f>
        <v/>
      </c>
    </row>
    <row r="373">
      <c r="A373" s="4" t="inlineStr">
        <is>
          <t>tensile_MPa</t>
        </is>
      </c>
      <c r="B373" s="4" t="inlineStr">
        <is>
          <t>G130</t>
        </is>
      </c>
      <c r="C373" s="4" t="inlineStr">
        <is>
          <t>US7247749B2</t>
        </is>
      </c>
      <c r="D373" s="4" t="inlineStr">
        <is>
          <t>Sample 6</t>
        </is>
      </c>
      <c r="E373" s="4" t="inlineStr">
        <is>
          <t>dev(OOF)</t>
        </is>
      </c>
      <c r="F373" s="10" t="n">
        <v>13.72</v>
      </c>
      <c r="G373" s="10" t="n">
        <v>12.81718439625948</v>
      </c>
      <c r="H373" s="10" t="n">
        <v>3.112475836752003</v>
      </c>
      <c r="I373" s="10">
        <f>G373-1.96*H373</f>
        <v/>
      </c>
      <c r="J373" s="10">
        <f>G373+1.96*H373</f>
        <v/>
      </c>
      <c r="K373" s="10">
        <f>G373-F373</f>
        <v/>
      </c>
      <c r="L373" s="4">
        <f>IF(AND(F373&gt;=I373,F373&lt;=J373),1,0)</f>
        <v/>
      </c>
    </row>
    <row r="374">
      <c r="A374" s="4" t="inlineStr">
        <is>
          <t>tensile_MPa</t>
        </is>
      </c>
      <c r="B374" s="4" t="inlineStr">
        <is>
          <t>G324</t>
        </is>
      </c>
      <c r="C374" s="4" t="inlineStr">
        <is>
          <t>KR101467101B1</t>
        </is>
      </c>
      <c r="D374" s="4" t="inlineStr">
        <is>
          <t>Table 2 sample 2</t>
        </is>
      </c>
      <c r="E374" s="4" t="inlineStr">
        <is>
          <t>dev(OOF)</t>
        </is>
      </c>
      <c r="F374" s="10" t="n">
        <v>9.32</v>
      </c>
      <c r="G374" s="10" t="n">
        <v>10.10955059111818</v>
      </c>
      <c r="H374" s="10" t="n">
        <v>2.683168644758822</v>
      </c>
      <c r="I374" s="10">
        <f>G374-1.96*H374</f>
        <v/>
      </c>
      <c r="J374" s="10">
        <f>G374+1.96*H374</f>
        <v/>
      </c>
      <c r="K374" s="10">
        <f>G374-F374</f>
        <v/>
      </c>
      <c r="L374" s="4">
        <f>IF(AND(F374&gt;=I374,F374&lt;=J374),1,0)</f>
        <v/>
      </c>
    </row>
    <row r="375">
      <c r="A375" s="4" t="inlineStr">
        <is>
          <t>tensile_MPa</t>
        </is>
      </c>
      <c r="B375" s="4" t="inlineStr">
        <is>
          <t>G108</t>
        </is>
      </c>
      <c r="C375" s="4" t="inlineStr">
        <is>
          <t>US6992143B2</t>
        </is>
      </c>
      <c r="D375" s="4" t="inlineStr">
        <is>
          <t>Control Example 2</t>
        </is>
      </c>
      <c r="E375" s="4" t="inlineStr">
        <is>
          <t>dev(OOF)</t>
        </is>
      </c>
      <c r="F375" s="10" t="n">
        <v>16.3</v>
      </c>
      <c r="G375" s="10" t="n">
        <v>15.12409896565617</v>
      </c>
      <c r="H375" s="10" t="n">
        <v>2.526078388465064</v>
      </c>
      <c r="I375" s="10">
        <f>G375-1.96*H375</f>
        <v/>
      </c>
      <c r="J375" s="10">
        <f>G375+1.96*H375</f>
        <v/>
      </c>
      <c r="K375" s="10">
        <f>G375-F375</f>
        <v/>
      </c>
      <c r="L375" s="4">
        <f>IF(AND(F375&gt;=I375,F375&lt;=J375),1,0)</f>
        <v/>
      </c>
    </row>
    <row r="376">
      <c r="A376" s="4" t="inlineStr">
        <is>
          <t>tensile_MPa</t>
        </is>
      </c>
      <c r="B376" s="4" t="inlineStr">
        <is>
          <t>G256</t>
        </is>
      </c>
      <c r="C376" s="4" t="inlineStr">
        <is>
          <t>US12584054B2</t>
        </is>
      </c>
      <c r="D376" s="4" t="inlineStr">
        <is>
          <t>Comparative Example 8</t>
        </is>
      </c>
      <c r="E376" s="4" t="inlineStr">
        <is>
          <t>dev(OOF)</t>
        </is>
      </c>
      <c r="F376" s="10" t="n">
        <v>17</v>
      </c>
      <c r="G376" s="10" t="n">
        <v>14.82725522770958</v>
      </c>
      <c r="H376" s="10" t="n">
        <v>3.627961006243934</v>
      </c>
      <c r="I376" s="10">
        <f>G376-1.96*H376</f>
        <v/>
      </c>
      <c r="J376" s="10">
        <f>G376+1.96*H376</f>
        <v/>
      </c>
      <c r="K376" s="10">
        <f>G376-F376</f>
        <v/>
      </c>
      <c r="L376" s="4">
        <f>IF(AND(F376&gt;=I376,F376&lt;=J376),1,0)</f>
        <v/>
      </c>
    </row>
    <row r="377">
      <c r="A377" s="4" t="inlineStr">
        <is>
          <t>tensile_MPa</t>
        </is>
      </c>
      <c r="B377" s="4" t="inlineStr">
        <is>
          <t>G165</t>
        </is>
      </c>
      <c r="C377" s="4" t="inlineStr">
        <is>
          <t>US20050107544A1</t>
        </is>
      </c>
      <c r="D377" s="4" t="inlineStr">
        <is>
          <t>Sample 2</t>
        </is>
      </c>
      <c r="E377" s="4" t="inlineStr">
        <is>
          <t>dev(OOF)</t>
        </is>
      </c>
      <c r="F377" s="10" t="n">
        <v>9.1</v>
      </c>
      <c r="G377" s="10" t="n">
        <v>9.233450005991486</v>
      </c>
      <c r="H377" s="10" t="n">
        <v>2.746098466655592</v>
      </c>
      <c r="I377" s="10">
        <f>G377-1.96*H377</f>
        <v/>
      </c>
      <c r="J377" s="10">
        <f>G377+1.96*H377</f>
        <v/>
      </c>
      <c r="K377" s="10">
        <f>G377-F377</f>
        <v/>
      </c>
      <c r="L377" s="4">
        <f>IF(AND(F377&gt;=I377,F377&lt;=J377),1,0)</f>
        <v/>
      </c>
    </row>
    <row r="378">
      <c r="A378" s="4" t="inlineStr">
        <is>
          <t>tensile_MPa</t>
        </is>
      </c>
      <c r="B378" s="4" t="inlineStr">
        <is>
          <t>G330</t>
        </is>
      </c>
      <c r="C378" s="4" t="inlineStr">
        <is>
          <t>KR101467101B1</t>
        </is>
      </c>
      <c r="D378" s="4" t="inlineStr">
        <is>
          <t>Comparative Example 1 (Table 3 sample 4)</t>
        </is>
      </c>
      <c r="E378" s="4" t="inlineStr">
        <is>
          <t>dev(OOF)</t>
        </is>
      </c>
      <c r="F378" s="10" t="n">
        <v>8.16</v>
      </c>
      <c r="G378" s="10" t="n">
        <v>10.70082555117177</v>
      </c>
      <c r="H378" s="10" t="n">
        <v>2.936078921882891</v>
      </c>
      <c r="I378" s="10">
        <f>G378-1.96*H378</f>
        <v/>
      </c>
      <c r="J378" s="10">
        <f>G378+1.96*H378</f>
        <v/>
      </c>
      <c r="K378" s="10">
        <f>G378-F378</f>
        <v/>
      </c>
      <c r="L378" s="4">
        <f>IF(AND(F378&gt;=I378,F378&lt;=J378),1,0)</f>
        <v/>
      </c>
    </row>
    <row r="379">
      <c r="A379" s="4" t="inlineStr">
        <is>
          <t>tensile_MPa</t>
        </is>
      </c>
      <c r="B379" s="4" t="inlineStr">
        <is>
          <t>G147</t>
        </is>
      </c>
      <c r="C379" s="4" t="inlineStr">
        <is>
          <t>US7247749B2</t>
        </is>
      </c>
      <c r="D379" s="4" t="inlineStr">
        <is>
          <t>Sample 23</t>
        </is>
      </c>
      <c r="E379" s="4" t="inlineStr">
        <is>
          <t>dev(OOF)</t>
        </is>
      </c>
      <c r="F379" s="10" t="n">
        <v>11.44</v>
      </c>
      <c r="G379" s="10" t="n">
        <v>12.83751633097924</v>
      </c>
      <c r="H379" s="10" t="n">
        <v>2.63726410419609</v>
      </c>
      <c r="I379" s="10">
        <f>G379-1.96*H379</f>
        <v/>
      </c>
      <c r="J379" s="10">
        <f>G379+1.96*H379</f>
        <v/>
      </c>
      <c r="K379" s="10">
        <f>G379-F379</f>
        <v/>
      </c>
      <c r="L379" s="4">
        <f>IF(AND(F379&gt;=I379,F379&lt;=J379),1,0)</f>
        <v/>
      </c>
    </row>
    <row r="380">
      <c r="A380" s="4" t="inlineStr">
        <is>
          <t>tensile_MPa</t>
        </is>
      </c>
      <c r="B380" s="4" t="inlineStr">
        <is>
          <t>G299</t>
        </is>
      </c>
      <c r="C380" s="4" t="inlineStr">
        <is>
          <t>EP4249550A1</t>
        </is>
      </c>
      <c r="D380" s="4" t="inlineStr">
        <is>
          <t>Example 11</t>
        </is>
      </c>
      <c r="E380" s="4" t="inlineStr">
        <is>
          <t>dev(OOF)</t>
        </is>
      </c>
      <c r="F380" s="10" t="n">
        <v>13.2</v>
      </c>
      <c r="G380" s="10" t="n">
        <v>12.22957845308128</v>
      </c>
      <c r="H380" s="10" t="n">
        <v>2.624404998644701</v>
      </c>
      <c r="I380" s="10">
        <f>G380-1.96*H380</f>
        <v/>
      </c>
      <c r="J380" s="10">
        <f>G380+1.96*H380</f>
        <v/>
      </c>
      <c r="K380" s="10">
        <f>G380-F380</f>
        <v/>
      </c>
      <c r="L380" s="4">
        <f>IF(AND(F380&gt;=I380,F380&lt;=J380),1,0)</f>
        <v/>
      </c>
    </row>
    <row r="381">
      <c r="A381" s="4" t="inlineStr">
        <is>
          <t>tensile_MPa</t>
        </is>
      </c>
      <c r="B381" s="4" t="inlineStr">
        <is>
          <t>G086</t>
        </is>
      </c>
      <c r="C381" s="4" t="inlineStr">
        <is>
          <t>US8367776B2</t>
        </is>
      </c>
      <c r="D381" s="4" t="inlineStr">
        <is>
          <t>Example 4</t>
        </is>
      </c>
      <c r="E381" s="4" t="inlineStr">
        <is>
          <t>dev(OOF)</t>
        </is>
      </c>
      <c r="F381" s="10" t="n">
        <v>6.51</v>
      </c>
      <c r="G381" s="10" t="n">
        <v>7.697945620925737</v>
      </c>
      <c r="H381" s="10" t="n">
        <v>2.467220754517736</v>
      </c>
      <c r="I381" s="10">
        <f>G381-1.96*H381</f>
        <v/>
      </c>
      <c r="J381" s="10">
        <f>G381+1.96*H381</f>
        <v/>
      </c>
      <c r="K381" s="10">
        <f>G381-F381</f>
        <v/>
      </c>
      <c r="L381" s="4">
        <f>IF(AND(F381&gt;=I381,F381&lt;=J381),1,0)</f>
        <v/>
      </c>
    </row>
    <row r="382">
      <c r="A382" s="4" t="inlineStr">
        <is>
          <t>tensile_MPa</t>
        </is>
      </c>
      <c r="B382" s="4" t="inlineStr">
        <is>
          <t>G115</t>
        </is>
      </c>
      <c r="C382" s="4" t="inlineStr">
        <is>
          <t>US6992143B2</t>
        </is>
      </c>
      <c r="D382" s="4" t="inlineStr">
        <is>
          <t>Comparative Example B</t>
        </is>
      </c>
      <c r="E382" s="4" t="inlineStr">
        <is>
          <t>dev(OOF)</t>
        </is>
      </c>
      <c r="F382" s="10" t="n">
        <v>7.5</v>
      </c>
      <c r="G382" s="10" t="n">
        <v>13.72966385029997</v>
      </c>
      <c r="H382" s="10" t="n">
        <v>4.094801669851924</v>
      </c>
      <c r="I382" s="10">
        <f>G382-1.96*H382</f>
        <v/>
      </c>
      <c r="J382" s="10">
        <f>G382+1.96*H382</f>
        <v/>
      </c>
      <c r="K382" s="10">
        <f>G382-F382</f>
        <v/>
      </c>
      <c r="L382" s="4">
        <f>IF(AND(F382&gt;=I382,F382&lt;=J382),1,0)</f>
        <v/>
      </c>
    </row>
    <row r="383">
      <c r="A383" s="4" t="inlineStr">
        <is>
          <t>tensile_MPa</t>
        </is>
      </c>
      <c r="B383" s="4" t="inlineStr">
        <is>
          <t>G263</t>
        </is>
      </c>
      <c r="C383" s="4" t="inlineStr">
        <is>
          <t>US12584054B2</t>
        </is>
      </c>
      <c r="D383" s="4" t="inlineStr">
        <is>
          <t>Comparative Example 12</t>
        </is>
      </c>
      <c r="E383" s="4" t="inlineStr">
        <is>
          <t>dev(OOF)</t>
        </is>
      </c>
      <c r="F383" s="10" t="n">
        <v>13.2</v>
      </c>
      <c r="G383" s="10" t="n">
        <v>16.51127683508681</v>
      </c>
      <c r="H383" s="10" t="n">
        <v>3.699701329237405</v>
      </c>
      <c r="I383" s="10">
        <f>G383-1.96*H383</f>
        <v/>
      </c>
      <c r="J383" s="10">
        <f>G383+1.96*H383</f>
        <v/>
      </c>
      <c r="K383" s="10">
        <f>G383-F383</f>
        <v/>
      </c>
      <c r="L383" s="4">
        <f>IF(AND(F383&gt;=I383,F383&lt;=J383),1,0)</f>
        <v/>
      </c>
    </row>
    <row r="384">
      <c r="A384" s="4" t="inlineStr">
        <is>
          <t>tensile_MPa</t>
        </is>
      </c>
      <c r="B384" s="4" t="inlineStr">
        <is>
          <t>G279</t>
        </is>
      </c>
      <c r="C384" s="4" t="inlineStr">
        <is>
          <t>US20230365800A1</t>
        </is>
      </c>
      <c r="D384" s="4" t="inlineStr">
        <is>
          <t>Example 3</t>
        </is>
      </c>
      <c r="E384" s="4" t="inlineStr">
        <is>
          <t>dev(OOF)</t>
        </is>
      </c>
      <c r="F384" s="10" t="n">
        <v>14.4</v>
      </c>
      <c r="G384" s="10" t="n">
        <v>10.63149934121196</v>
      </c>
      <c r="H384" s="10" t="n">
        <v>2.255111638952612</v>
      </c>
      <c r="I384" s="10">
        <f>G384-1.96*H384</f>
        <v/>
      </c>
      <c r="J384" s="10">
        <f>G384+1.96*H384</f>
        <v/>
      </c>
      <c r="K384" s="10">
        <f>G384-F384</f>
        <v/>
      </c>
      <c r="L384" s="4">
        <f>IF(AND(F384&gt;=I384,F384&lt;=J384),1,0)</f>
        <v/>
      </c>
    </row>
    <row r="385">
      <c r="A385" s="4" t="inlineStr">
        <is>
          <t>tensile_MPa</t>
        </is>
      </c>
      <c r="B385" s="4" t="inlineStr">
        <is>
          <t>G177</t>
        </is>
      </c>
      <c r="C385" s="4" t="inlineStr">
        <is>
          <t>US6281296B1</t>
        </is>
      </c>
      <c r="D385" s="4" t="inlineStr">
        <is>
          <t>Example 1</t>
        </is>
      </c>
      <c r="E385" s="4" t="inlineStr">
        <is>
          <t>dev(OOF)</t>
        </is>
      </c>
      <c r="F385" s="10" t="n">
        <v>16.1</v>
      </c>
      <c r="G385" s="10" t="n">
        <v>15.170416504609</v>
      </c>
      <c r="H385" s="10" t="n">
        <v>4.470649784930911</v>
      </c>
      <c r="I385" s="10">
        <f>G385-1.96*H385</f>
        <v/>
      </c>
      <c r="J385" s="10">
        <f>G385+1.96*H385</f>
        <v/>
      </c>
      <c r="K385" s="10">
        <f>G385-F385</f>
        <v/>
      </c>
      <c r="L385" s="4">
        <f>IF(AND(F385&gt;=I385,F385&lt;=J385),1,0)</f>
        <v/>
      </c>
    </row>
    <row r="386">
      <c r="A386" s="4" t="inlineStr">
        <is>
          <t>tensile_MPa</t>
        </is>
      </c>
      <c r="B386" s="4" t="inlineStr">
        <is>
          <t>G304</t>
        </is>
      </c>
      <c r="C386" s="4" t="inlineStr">
        <is>
          <t>EP4249550A1</t>
        </is>
      </c>
      <c r="D386" s="4" t="inlineStr">
        <is>
          <t>Comparative Example 3</t>
        </is>
      </c>
      <c r="E386" s="4" t="inlineStr">
        <is>
          <t>dev(OOF)</t>
        </is>
      </c>
      <c r="F386" s="10" t="n">
        <v>18.1</v>
      </c>
      <c r="G386" s="10" t="n">
        <v>18.39770441629021</v>
      </c>
      <c r="H386" s="10" t="n">
        <v>2.333844639899839</v>
      </c>
      <c r="I386" s="10">
        <f>G386-1.96*H386</f>
        <v/>
      </c>
      <c r="J386" s="10">
        <f>G386+1.96*H386</f>
        <v/>
      </c>
      <c r="K386" s="10">
        <f>G386-F386</f>
        <v/>
      </c>
      <c r="L386" s="4">
        <f>IF(AND(F386&gt;=I386,F386&lt;=J386),1,0)</f>
        <v/>
      </c>
    </row>
    <row r="387">
      <c r="A387" s="4" t="inlineStr">
        <is>
          <t>tensile_MPa</t>
        </is>
      </c>
      <c r="B387" s="4" t="inlineStr">
        <is>
          <t>G179</t>
        </is>
      </c>
      <c r="C387" s="4" t="inlineStr">
        <is>
          <t>US6281296B1</t>
        </is>
      </c>
      <c r="D387" s="4" t="inlineStr">
        <is>
          <t>Control A</t>
        </is>
      </c>
      <c r="E387" s="4" t="inlineStr">
        <is>
          <t>dev(OOF)</t>
        </is>
      </c>
      <c r="F387" s="10" t="n">
        <v>15.4</v>
      </c>
      <c r="G387" s="10" t="n">
        <v>15.34628580655439</v>
      </c>
      <c r="H387" s="10" t="n">
        <v>4.483065374974935</v>
      </c>
      <c r="I387" s="10">
        <f>G387-1.96*H387</f>
        <v/>
      </c>
      <c r="J387" s="10">
        <f>G387+1.96*H387</f>
        <v/>
      </c>
      <c r="K387" s="10">
        <f>G387-F387</f>
        <v/>
      </c>
      <c r="L387" s="4">
        <f>IF(AND(F387&gt;=I387,F387&lt;=J387),1,0)</f>
        <v/>
      </c>
    </row>
    <row r="388">
      <c r="A388" s="4" t="inlineStr">
        <is>
          <t>tensile_MPa</t>
        </is>
      </c>
      <c r="B388" s="4" t="inlineStr">
        <is>
          <t>G107</t>
        </is>
      </c>
      <c r="C388" s="4" t="inlineStr">
        <is>
          <t>US6992143B2</t>
        </is>
      </c>
      <c r="D388" s="4" t="inlineStr">
        <is>
          <t>Control Example 1</t>
        </is>
      </c>
      <c r="E388" s="4" t="inlineStr">
        <is>
          <t>dev(OOF)</t>
        </is>
      </c>
      <c r="F388" s="10" t="n">
        <v>16.7</v>
      </c>
      <c r="G388" s="10" t="n">
        <v>15.0272653490475</v>
      </c>
      <c r="H388" s="10" t="n">
        <v>2.654615887488322</v>
      </c>
      <c r="I388" s="10">
        <f>G388-1.96*H388</f>
        <v/>
      </c>
      <c r="J388" s="10">
        <f>G388+1.96*H388</f>
        <v/>
      </c>
      <c r="K388" s="10">
        <f>G388-F388</f>
        <v/>
      </c>
      <c r="L388" s="4">
        <f>IF(AND(F388&gt;=I388,F388&lt;=J388),1,0)</f>
        <v/>
      </c>
    </row>
    <row r="389">
      <c r="A389" s="4" t="inlineStr">
        <is>
          <t>tensile_MPa</t>
        </is>
      </c>
      <c r="B389" s="4" t="inlineStr">
        <is>
          <t>G292</t>
        </is>
      </c>
      <c r="C389" s="4" t="inlineStr">
        <is>
          <t>EP4249550A1</t>
        </is>
      </c>
      <c r="D389" s="4" t="inlineStr">
        <is>
          <t>Example 3</t>
        </is>
      </c>
      <c r="E389" s="4" t="inlineStr">
        <is>
          <t>dev(OOF)</t>
        </is>
      </c>
      <c r="F389" s="10" t="n">
        <v>18.3</v>
      </c>
      <c r="G389" s="10" t="n">
        <v>18.27167903863264</v>
      </c>
      <c r="H389" s="10" t="n">
        <v>2.551388168007791</v>
      </c>
      <c r="I389" s="10">
        <f>G389-1.96*H389</f>
        <v/>
      </c>
      <c r="J389" s="10">
        <f>G389+1.96*H389</f>
        <v/>
      </c>
      <c r="K389" s="10">
        <f>G389-F389</f>
        <v/>
      </c>
      <c r="L389" s="4">
        <f>IF(AND(F389&gt;=I389,F389&lt;=J389),1,0)</f>
        <v/>
      </c>
    </row>
    <row r="390">
      <c r="A390" s="4" t="inlineStr">
        <is>
          <t>tensile_MPa</t>
        </is>
      </c>
      <c r="B390" s="4" t="inlineStr">
        <is>
          <t>G023</t>
        </is>
      </c>
      <c r="C390" s="4" t="inlineStr">
        <is>
          <t>US7678858B2</t>
        </is>
      </c>
      <c r="D390" s="4" t="inlineStr">
        <is>
          <t>Comparative Example 3</t>
        </is>
      </c>
      <c r="E390" s="4" t="inlineStr">
        <is>
          <t>dev(OOF)</t>
        </is>
      </c>
      <c r="F390" s="10" t="n">
        <v>24.42</v>
      </c>
      <c r="G390" s="10" t="n">
        <v>19.0640798151524</v>
      </c>
      <c r="H390" s="10" t="n">
        <v>2.831339771683468</v>
      </c>
      <c r="I390" s="10">
        <f>G390-1.96*H390</f>
        <v/>
      </c>
      <c r="J390" s="10">
        <f>G390+1.96*H390</f>
        <v/>
      </c>
      <c r="K390" s="10">
        <f>G390-F390</f>
        <v/>
      </c>
      <c r="L390" s="4">
        <f>IF(AND(F390&gt;=I390,F390&lt;=J390),1,0)</f>
        <v/>
      </c>
    </row>
    <row r="391">
      <c r="A391" s="4" t="inlineStr">
        <is>
          <t>tensile_MPa</t>
        </is>
      </c>
      <c r="B391" s="4" t="inlineStr">
        <is>
          <t>G307</t>
        </is>
      </c>
      <c r="C391" s="4" t="inlineStr">
        <is>
          <t>EP4249550A1</t>
        </is>
      </c>
      <c r="D391" s="4" t="inlineStr">
        <is>
          <t>Comparative Example 6</t>
        </is>
      </c>
      <c r="E391" s="4" t="inlineStr">
        <is>
          <t>dev(OOF)</t>
        </is>
      </c>
      <c r="F391" s="10" t="n">
        <v>18.9</v>
      </c>
      <c r="G391" s="10" t="n">
        <v>16.27306092962885</v>
      </c>
      <c r="H391" s="10" t="n">
        <v>3.799172392625262</v>
      </c>
      <c r="I391" s="10">
        <f>G391-1.96*H391</f>
        <v/>
      </c>
      <c r="J391" s="10">
        <f>G391+1.96*H391</f>
        <v/>
      </c>
      <c r="K391" s="10">
        <f>G391-F391</f>
        <v/>
      </c>
      <c r="L391" s="4">
        <f>IF(AND(F391&gt;=I391,F391&lt;=J391),1,0)</f>
        <v/>
      </c>
    </row>
    <row r="392">
      <c r="A392" s="4" t="inlineStr">
        <is>
          <t>tensile_MPa</t>
        </is>
      </c>
      <c r="B392" s="4" t="inlineStr">
        <is>
          <t>G076</t>
        </is>
      </c>
      <c r="C392" s="4" t="inlineStr">
        <is>
          <t>US12091537B2</t>
        </is>
      </c>
      <c r="D392" s="4" t="inlineStr">
        <is>
          <t>Example 3</t>
        </is>
      </c>
      <c r="E392" s="4" t="inlineStr">
        <is>
          <t>dev(OOF)</t>
        </is>
      </c>
      <c r="F392" s="10" t="n">
        <v>19.3</v>
      </c>
      <c r="G392" s="10" t="n">
        <v>18.4644806767045</v>
      </c>
      <c r="H392" s="10" t="n">
        <v>2.190255099783382</v>
      </c>
      <c r="I392" s="10">
        <f>G392-1.96*H392</f>
        <v/>
      </c>
      <c r="J392" s="10">
        <f>G392+1.96*H392</f>
        <v/>
      </c>
      <c r="K392" s="10">
        <f>G392-F392</f>
        <v/>
      </c>
      <c r="L392" s="4">
        <f>IF(AND(F392&gt;=I392,F392&lt;=J392),1,0)</f>
        <v/>
      </c>
    </row>
    <row r="393">
      <c r="A393" s="4" t="inlineStr">
        <is>
          <t>tensile_MPa</t>
        </is>
      </c>
      <c r="B393" s="4" t="inlineStr">
        <is>
          <t>G328</t>
        </is>
      </c>
      <c r="C393" s="4" t="inlineStr">
        <is>
          <t>KR101467101B1</t>
        </is>
      </c>
      <c r="D393" s="4" t="inlineStr">
        <is>
          <t>Comparative Example 1 (Table 3 sample 2)</t>
        </is>
      </c>
      <c r="E393" s="4" t="inlineStr">
        <is>
          <t>dev(OOF)</t>
        </is>
      </c>
      <c r="F393" s="10" t="n">
        <v>9.359999999999999</v>
      </c>
      <c r="G393" s="10" t="n">
        <v>14.9834933882443</v>
      </c>
      <c r="H393" s="10" t="n">
        <v>3.787501831868818</v>
      </c>
      <c r="I393" s="10">
        <f>G393-1.96*H393</f>
        <v/>
      </c>
      <c r="J393" s="10">
        <f>G393+1.96*H393</f>
        <v/>
      </c>
      <c r="K393" s="10">
        <f>G393-F393</f>
        <v/>
      </c>
      <c r="L393" s="4">
        <f>IF(AND(F393&gt;=I393,F393&lt;=J393),1,0)</f>
        <v/>
      </c>
    </row>
    <row r="394">
      <c r="A394" s="4" t="inlineStr">
        <is>
          <t>tensile_MPa</t>
        </is>
      </c>
      <c r="B394" s="4" t="inlineStr">
        <is>
          <t>G198</t>
        </is>
      </c>
      <c r="C394" s="4" t="inlineStr">
        <is>
          <t>US20160319102A1</t>
        </is>
      </c>
      <c r="D394" s="4" t="inlineStr">
        <is>
          <t>Comparative Example 3</t>
        </is>
      </c>
      <c r="E394" s="4" t="inlineStr">
        <is>
          <t>dev(OOF)</t>
        </is>
      </c>
      <c r="F394" s="10" t="n">
        <v>15.9</v>
      </c>
      <c r="G394" s="10" t="n">
        <v>13.96327426494722</v>
      </c>
      <c r="H394" s="10" t="n">
        <v>3.171311348162185</v>
      </c>
      <c r="I394" s="10">
        <f>G394-1.96*H394</f>
        <v/>
      </c>
      <c r="J394" s="10">
        <f>G394+1.96*H394</f>
        <v/>
      </c>
      <c r="K394" s="10">
        <f>G394-F394</f>
        <v/>
      </c>
      <c r="L394" s="4">
        <f>IF(AND(F394&gt;=I394,F394&lt;=J394),1,0)</f>
        <v/>
      </c>
    </row>
    <row r="395">
      <c r="A395" s="4" t="inlineStr">
        <is>
          <t>tensile_MPa</t>
        </is>
      </c>
      <c r="B395" s="4" t="inlineStr">
        <is>
          <t>G285</t>
        </is>
      </c>
      <c r="C395" s="4" t="inlineStr">
        <is>
          <t>US20230365800A1</t>
        </is>
      </c>
      <c r="D395" s="4" t="inlineStr">
        <is>
          <t>Comparative Example 3</t>
        </is>
      </c>
      <c r="E395" s="4" t="inlineStr">
        <is>
          <t>dev(OOF)</t>
        </is>
      </c>
      <c r="F395" s="10" t="n">
        <v>7.2</v>
      </c>
      <c r="G395" s="10" t="n">
        <v>12.67434259260346</v>
      </c>
      <c r="H395" s="10" t="n">
        <v>2.120960491344131</v>
      </c>
      <c r="I395" s="10">
        <f>G395-1.96*H395</f>
        <v/>
      </c>
      <c r="J395" s="10">
        <f>G395+1.96*H395</f>
        <v/>
      </c>
      <c r="K395" s="10">
        <f>G395-F395</f>
        <v/>
      </c>
      <c r="L395" s="4">
        <f>IF(AND(F395&gt;=I395,F395&lt;=J395),1,0)</f>
        <v/>
      </c>
    </row>
    <row r="396">
      <c r="A396" s="4" t="inlineStr">
        <is>
          <t>tensile_MPa</t>
        </is>
      </c>
      <c r="B396" s="4" t="inlineStr">
        <is>
          <t>G190</t>
        </is>
      </c>
      <c r="C396" s="4" t="inlineStr">
        <is>
          <t>US20160319102A1</t>
        </is>
      </c>
      <c r="D396" s="4" t="inlineStr">
        <is>
          <t>Example 1</t>
        </is>
      </c>
      <c r="E396" s="4" t="inlineStr">
        <is>
          <t>dev(OOF)</t>
        </is>
      </c>
      <c r="F396" s="10" t="n">
        <v>12.6</v>
      </c>
      <c r="G396" s="10" t="n">
        <v>12.5140635255195</v>
      </c>
      <c r="H396" s="10" t="n">
        <v>3.083296286206613</v>
      </c>
      <c r="I396" s="10">
        <f>G396-1.96*H396</f>
        <v/>
      </c>
      <c r="J396" s="10">
        <f>G396+1.96*H396</f>
        <v/>
      </c>
      <c r="K396" s="10">
        <f>G396-F396</f>
        <v/>
      </c>
      <c r="L396" s="4">
        <f>IF(AND(F396&gt;=I396,F396&lt;=J396),1,0)</f>
        <v/>
      </c>
    </row>
    <row r="397">
      <c r="A397" s="4" t="inlineStr">
        <is>
          <t>tensile_MPa</t>
        </is>
      </c>
      <c r="B397" s="4" t="inlineStr">
        <is>
          <t>G007</t>
        </is>
      </c>
      <c r="C397" s="4" t="inlineStr">
        <is>
          <t>US7678858B2</t>
        </is>
      </c>
      <c r="D397" s="4" t="inlineStr">
        <is>
          <t>Example 7</t>
        </is>
      </c>
      <c r="E397" s="4" t="inlineStr">
        <is>
          <t>dev(OOF)</t>
        </is>
      </c>
      <c r="F397" s="10" t="n">
        <v>25.11</v>
      </c>
      <c r="G397" s="10" t="n">
        <v>22.31486840184368</v>
      </c>
      <c r="H397" s="10" t="n">
        <v>2.152391116258771</v>
      </c>
      <c r="I397" s="10">
        <f>G397-1.96*H397</f>
        <v/>
      </c>
      <c r="J397" s="10">
        <f>G397+1.96*H397</f>
        <v/>
      </c>
      <c r="K397" s="10">
        <f>G397-F397</f>
        <v/>
      </c>
      <c r="L397" s="4">
        <f>IF(AND(F397&gt;=I397,F397&lt;=J397),1,0)</f>
        <v/>
      </c>
    </row>
    <row r="398">
      <c r="A398" s="4" t="inlineStr">
        <is>
          <t>tensile_MPa</t>
        </is>
      </c>
      <c r="B398" s="4" t="inlineStr">
        <is>
          <t>G013</t>
        </is>
      </c>
      <c r="C398" s="4" t="inlineStr">
        <is>
          <t>US7678858B2</t>
        </is>
      </c>
      <c r="D398" s="4" t="inlineStr">
        <is>
          <t>Example 12</t>
        </is>
      </c>
      <c r="E398" s="4" t="inlineStr">
        <is>
          <t>dev(OOF)</t>
        </is>
      </c>
      <c r="F398" s="10" t="n">
        <v>22.06</v>
      </c>
      <c r="G398" s="10" t="n">
        <v>21.61468857736679</v>
      </c>
      <c r="H398" s="10" t="n">
        <v>3.357672423793548</v>
      </c>
      <c r="I398" s="10">
        <f>G398-1.96*H398</f>
        <v/>
      </c>
      <c r="J398" s="10">
        <f>G398+1.96*H398</f>
        <v/>
      </c>
      <c r="K398" s="10">
        <f>G398-F398</f>
        <v/>
      </c>
      <c r="L398" s="4">
        <f>IF(AND(F398&gt;=I398,F398&lt;=J398),1,0)</f>
        <v/>
      </c>
    </row>
    <row r="399">
      <c r="A399" s="4" t="inlineStr">
        <is>
          <t>tensile_MPa</t>
        </is>
      </c>
      <c r="B399" s="4" t="inlineStr">
        <is>
          <t>G016</t>
        </is>
      </c>
      <c r="C399" s="4" t="inlineStr">
        <is>
          <t>US7678858B2</t>
        </is>
      </c>
      <c r="D399" s="4" t="inlineStr">
        <is>
          <t>Example 15</t>
        </is>
      </c>
      <c r="E399" s="4" t="inlineStr">
        <is>
          <t>dev(OOF)</t>
        </is>
      </c>
      <c r="F399" s="10" t="n">
        <v>18.34</v>
      </c>
      <c r="G399" s="10" t="n">
        <v>22.31486840184368</v>
      </c>
      <c r="H399" s="10" t="n">
        <v>2.152391116258771</v>
      </c>
      <c r="I399" s="10">
        <f>G399-1.96*H399</f>
        <v/>
      </c>
      <c r="J399" s="10">
        <f>G399+1.96*H399</f>
        <v/>
      </c>
      <c r="K399" s="10">
        <f>G399-F399</f>
        <v/>
      </c>
      <c r="L399" s="4">
        <f>IF(AND(F399&gt;=I399,F399&lt;=J399),1,0)</f>
        <v/>
      </c>
    </row>
    <row r="400">
      <c r="A400" s="4" t="inlineStr">
        <is>
          <t>tensile_MPa</t>
        </is>
      </c>
      <c r="B400" s="4" t="inlineStr">
        <is>
          <t>G074</t>
        </is>
      </c>
      <c r="C400" s="4" t="inlineStr">
        <is>
          <t>US12091537B2</t>
        </is>
      </c>
      <c r="D400" s="4" t="inlineStr">
        <is>
          <t>Example 1</t>
        </is>
      </c>
      <c r="E400" s="4" t="inlineStr">
        <is>
          <t>dev(OOF)</t>
        </is>
      </c>
      <c r="F400" s="10" t="n">
        <v>19.6</v>
      </c>
      <c r="G400" s="10" t="n">
        <v>18.40479668122227</v>
      </c>
      <c r="H400" s="10" t="n">
        <v>2.413981713955557</v>
      </c>
      <c r="I400" s="10">
        <f>G400-1.96*H400</f>
        <v/>
      </c>
      <c r="J400" s="10">
        <f>G400+1.96*H400</f>
        <v/>
      </c>
      <c r="K400" s="10">
        <f>G400-F400</f>
        <v/>
      </c>
      <c r="L400" s="4">
        <f>IF(AND(F400&gt;=I400,F400&lt;=J400),1,0)</f>
        <v/>
      </c>
    </row>
    <row r="401">
      <c r="A401" s="4" t="inlineStr">
        <is>
          <t>tensile_MPa</t>
        </is>
      </c>
      <c r="B401" s="4" t="inlineStr">
        <is>
          <t>G045</t>
        </is>
      </c>
      <c r="C401" s="4" t="inlineStr">
        <is>
          <t>US8211964B2</t>
        </is>
      </c>
      <c r="D401" s="4" t="inlineStr">
        <is>
          <t>Example 4</t>
        </is>
      </c>
      <c r="E401" s="4" t="inlineStr">
        <is>
          <t>dev(OOF)</t>
        </is>
      </c>
      <c r="F401" s="10" t="n">
        <v>12.75</v>
      </c>
      <c r="G401" s="10" t="n">
        <v>12.25438009303556</v>
      </c>
      <c r="H401" s="10" t="n">
        <v>2.718951482201102</v>
      </c>
      <c r="I401" s="10">
        <f>G401-1.96*H401</f>
        <v/>
      </c>
      <c r="J401" s="10">
        <f>G401+1.96*H401</f>
        <v/>
      </c>
      <c r="K401" s="10">
        <f>G401-F401</f>
        <v/>
      </c>
      <c r="L401" s="4">
        <f>IF(AND(F401&gt;=I401,F401&lt;=J401),1,0)</f>
        <v/>
      </c>
    </row>
    <row r="402">
      <c r="A402" s="4" t="inlineStr">
        <is>
          <t>tensile_MPa</t>
        </is>
      </c>
      <c r="B402" s="4" t="inlineStr">
        <is>
          <t>G300</t>
        </is>
      </c>
      <c r="C402" s="4" t="inlineStr">
        <is>
          <t>EP4249550A1</t>
        </is>
      </c>
      <c r="D402" s="4" t="inlineStr">
        <is>
          <t>Example 12</t>
        </is>
      </c>
      <c r="E402" s="4" t="inlineStr">
        <is>
          <t>dev(OOF)</t>
        </is>
      </c>
      <c r="F402" s="10" t="n">
        <v>13.9</v>
      </c>
      <c r="G402" s="10" t="n">
        <v>14.1893610958888</v>
      </c>
      <c r="H402" s="10" t="n">
        <v>2.777544382962198</v>
      </c>
      <c r="I402" s="10">
        <f>G402-1.96*H402</f>
        <v/>
      </c>
      <c r="J402" s="10">
        <f>G402+1.96*H402</f>
        <v/>
      </c>
      <c r="K402" s="10">
        <f>G402-F402</f>
        <v/>
      </c>
      <c r="L402" s="4">
        <f>IF(AND(F402&gt;=I402,F402&lt;=J402),1,0)</f>
        <v/>
      </c>
    </row>
    <row r="403">
      <c r="A403" s="4" t="inlineStr">
        <is>
          <t>tensile_MPa</t>
        </is>
      </c>
      <c r="B403" s="4" t="inlineStr">
        <is>
          <t>G050</t>
        </is>
      </c>
      <c r="C403" s="4" t="inlineStr">
        <is>
          <t>US8211964B2</t>
        </is>
      </c>
      <c r="D403" s="4" t="inlineStr">
        <is>
          <t>Comparative Example 2</t>
        </is>
      </c>
      <c r="E403" s="4" t="inlineStr">
        <is>
          <t>dev(OOF)</t>
        </is>
      </c>
      <c r="F403" s="10" t="n">
        <v>17.06</v>
      </c>
      <c r="G403" s="10" t="n">
        <v>16.3584190409658</v>
      </c>
      <c r="H403" s="10" t="n">
        <v>2.772284677664611</v>
      </c>
      <c r="I403" s="10">
        <f>G403-1.96*H403</f>
        <v/>
      </c>
      <c r="J403" s="10">
        <f>G403+1.96*H403</f>
        <v/>
      </c>
      <c r="K403" s="10">
        <f>G403-F403</f>
        <v/>
      </c>
      <c r="L403" s="4">
        <f>IF(AND(F403&gt;=I403,F403&lt;=J403),1,0)</f>
        <v/>
      </c>
    </row>
    <row r="404">
      <c r="A404" s="4" t="inlineStr">
        <is>
          <t>tensile_MPa</t>
        </is>
      </c>
      <c r="B404" s="4" t="inlineStr">
        <is>
          <t>G097</t>
        </is>
      </c>
      <c r="C404" s="4" t="inlineStr">
        <is>
          <t>US7354974B2</t>
        </is>
      </c>
      <c r="D404" s="4" t="inlineStr">
        <is>
          <t>Example 1</t>
        </is>
      </c>
      <c r="E404" s="4" t="inlineStr">
        <is>
          <t>dev(OOF)</t>
        </is>
      </c>
      <c r="F404" s="10" t="n">
        <v>16.2</v>
      </c>
      <c r="G404" s="10" t="n">
        <v>18.30705159793659</v>
      </c>
      <c r="H404" s="10" t="n">
        <v>2.398894955253647</v>
      </c>
      <c r="I404" s="10">
        <f>G404-1.96*H404</f>
        <v/>
      </c>
      <c r="J404" s="10">
        <f>G404+1.96*H404</f>
        <v/>
      </c>
      <c r="K404" s="10">
        <f>G404-F404</f>
        <v/>
      </c>
      <c r="L404" s="4">
        <f>IF(AND(F404&gt;=I404,F404&lt;=J404),1,0)</f>
        <v/>
      </c>
    </row>
    <row r="405">
      <c r="A405" s="4" t="inlineStr">
        <is>
          <t>tensile_MPa</t>
        </is>
      </c>
      <c r="B405" s="4" t="inlineStr">
        <is>
          <t>G203</t>
        </is>
      </c>
      <c r="C405" s="4" t="inlineStr">
        <is>
          <t>US20160319102A1</t>
        </is>
      </c>
      <c r="D405" s="4" t="inlineStr">
        <is>
          <t>Comparative Example 9</t>
        </is>
      </c>
      <c r="E405" s="4" t="inlineStr">
        <is>
          <t>dev(OOF)</t>
        </is>
      </c>
      <c r="F405" s="10" t="n">
        <v>13.9</v>
      </c>
      <c r="G405" s="10" t="n">
        <v>14.96454076651004</v>
      </c>
      <c r="H405" s="10" t="n">
        <v>2.750696741758055</v>
      </c>
      <c r="I405" s="10">
        <f>G405-1.96*H405</f>
        <v/>
      </c>
      <c r="J405" s="10">
        <f>G405+1.96*H405</f>
        <v/>
      </c>
      <c r="K405" s="10">
        <f>G405-F405</f>
        <v/>
      </c>
      <c r="L405" s="4">
        <f>IF(AND(F405&gt;=I405,F405&lt;=J405),1,0)</f>
        <v/>
      </c>
    </row>
    <row r="406">
      <c r="A406" s="4" t="inlineStr">
        <is>
          <t>tensile_MPa</t>
        </is>
      </c>
      <c r="B406" s="4" t="inlineStr">
        <is>
          <t>G030</t>
        </is>
      </c>
      <c r="C406" s="4" t="inlineStr">
        <is>
          <t>US8173727B2</t>
        </is>
      </c>
      <c r="D406" s="4" t="inlineStr">
        <is>
          <t>Example 2</t>
        </is>
      </c>
      <c r="E406" s="4" t="inlineStr">
        <is>
          <t>dev(OOF)</t>
        </is>
      </c>
      <c r="F406" s="10" t="n">
        <v>16.67</v>
      </c>
      <c r="G406" s="10" t="n">
        <v>14.64364145194553</v>
      </c>
      <c r="H406" s="10" t="n">
        <v>2.395775820104982</v>
      </c>
      <c r="I406" s="10">
        <f>G406-1.96*H406</f>
        <v/>
      </c>
      <c r="J406" s="10">
        <f>G406+1.96*H406</f>
        <v/>
      </c>
      <c r="K406" s="10">
        <f>G406-F406</f>
        <v/>
      </c>
      <c r="L406" s="4">
        <f>IF(AND(F406&gt;=I406,F406&lt;=J406),1,0)</f>
        <v/>
      </c>
    </row>
    <row r="407">
      <c r="A407" s="4" t="inlineStr">
        <is>
          <t>tensile_MPa</t>
        </is>
      </c>
      <c r="B407" s="4" t="inlineStr">
        <is>
          <t>G246</t>
        </is>
      </c>
      <c r="C407" s="4" t="inlineStr">
        <is>
          <t>US12584054B2</t>
        </is>
      </c>
      <c r="D407" s="4" t="inlineStr">
        <is>
          <t>Example 3</t>
        </is>
      </c>
      <c r="E407" s="4" t="inlineStr">
        <is>
          <t>dev(OOF)</t>
        </is>
      </c>
      <c r="F407" s="10" t="n">
        <v>20</v>
      </c>
      <c r="G407" s="10" t="n">
        <v>15.24830650704052</v>
      </c>
      <c r="H407" s="10" t="n">
        <v>3.790379790320384</v>
      </c>
      <c r="I407" s="10">
        <f>G407-1.96*H407</f>
        <v/>
      </c>
      <c r="J407" s="10">
        <f>G407+1.96*H407</f>
        <v/>
      </c>
      <c r="K407" s="10">
        <f>G407-F407</f>
        <v/>
      </c>
      <c r="L407" s="4">
        <f>IF(AND(F407&gt;=I407,F407&lt;=J407),1,0)</f>
        <v/>
      </c>
    </row>
    <row r="408">
      <c r="A408" s="4" t="inlineStr">
        <is>
          <t>tensile_MPa</t>
        </is>
      </c>
      <c r="B408" s="4" t="inlineStr">
        <is>
          <t>G101</t>
        </is>
      </c>
      <c r="C408" s="4" t="inlineStr">
        <is>
          <t>US7354974B2</t>
        </is>
      </c>
      <c r="D408" s="4" t="inlineStr">
        <is>
          <t>Example 5</t>
        </is>
      </c>
      <c r="E408" s="4" t="inlineStr">
        <is>
          <t>dev(OOF)</t>
        </is>
      </c>
      <c r="F408" s="10" t="n">
        <v>27.6</v>
      </c>
      <c r="G408" s="10" t="n">
        <v>22.90008618664175</v>
      </c>
      <c r="H408" s="10" t="n">
        <v>2.898437927667514</v>
      </c>
      <c r="I408" s="10">
        <f>G408-1.96*H408</f>
        <v/>
      </c>
      <c r="J408" s="10">
        <f>G408+1.96*H408</f>
        <v/>
      </c>
      <c r="K408" s="10">
        <f>G408-F408</f>
        <v/>
      </c>
      <c r="L408" s="4">
        <f>IF(AND(F408&gt;=I408,F408&lt;=J408),1,0)</f>
        <v/>
      </c>
    </row>
    <row r="409">
      <c r="A409" s="4" t="inlineStr">
        <is>
          <t>tensile_MPa</t>
        </is>
      </c>
      <c r="B409" s="4" t="inlineStr">
        <is>
          <t>G244</t>
        </is>
      </c>
      <c r="C409" s="4" t="inlineStr">
        <is>
          <t>US12584054B2</t>
        </is>
      </c>
      <c r="D409" s="4" t="inlineStr">
        <is>
          <t>Example 1</t>
        </is>
      </c>
      <c r="E409" s="4" t="inlineStr">
        <is>
          <t>dev(OOF)</t>
        </is>
      </c>
      <c r="F409" s="10" t="n">
        <v>12</v>
      </c>
      <c r="G409" s="10" t="n">
        <v>11.57837102386438</v>
      </c>
      <c r="H409" s="10" t="n">
        <v>3.333260076889332</v>
      </c>
      <c r="I409" s="10">
        <f>G409-1.96*H409</f>
        <v/>
      </c>
      <c r="J409" s="10">
        <f>G409+1.96*H409</f>
        <v/>
      </c>
      <c r="K409" s="10">
        <f>G409-F409</f>
        <v/>
      </c>
      <c r="L409" s="4">
        <f>IF(AND(F409&gt;=I409,F409&lt;=J409),1,0)</f>
        <v/>
      </c>
    </row>
    <row r="410">
      <c r="A410" s="4" t="inlineStr">
        <is>
          <t>tensile_MPa</t>
        </is>
      </c>
      <c r="B410" s="4" t="inlineStr">
        <is>
          <t>G136</t>
        </is>
      </c>
      <c r="C410" s="4" t="inlineStr">
        <is>
          <t>US7247749B2</t>
        </is>
      </c>
      <c r="D410" s="4" t="inlineStr">
        <is>
          <t>Sample 12</t>
        </is>
      </c>
      <c r="E410" s="4" t="inlineStr">
        <is>
          <t>dev(OOF)</t>
        </is>
      </c>
      <c r="F410" s="10" t="n">
        <v>14.2</v>
      </c>
      <c r="G410" s="10" t="n">
        <v>13.75479993339778</v>
      </c>
      <c r="H410" s="10" t="n">
        <v>3.42039201165691</v>
      </c>
      <c r="I410" s="10">
        <f>G410-1.96*H410</f>
        <v/>
      </c>
      <c r="J410" s="10">
        <f>G410+1.96*H410</f>
        <v/>
      </c>
      <c r="K410" s="10">
        <f>G410-F410</f>
        <v/>
      </c>
      <c r="L410" s="4">
        <f>IF(AND(F410&gt;=I410,F410&lt;=J410),1,0)</f>
        <v/>
      </c>
    </row>
    <row r="411">
      <c r="A411" s="4" t="inlineStr">
        <is>
          <t>tensile_MPa</t>
        </is>
      </c>
      <c r="B411" s="4" t="inlineStr">
        <is>
          <t>G011</t>
        </is>
      </c>
      <c r="C411" s="4" t="inlineStr">
        <is>
          <t>US7678858B2</t>
        </is>
      </c>
      <c r="D411" s="4" t="inlineStr">
        <is>
          <t>Example 10</t>
        </is>
      </c>
      <c r="E411" s="4" t="inlineStr">
        <is>
          <t>dev(OOF)</t>
        </is>
      </c>
      <c r="F411" s="10" t="n">
        <v>16.18</v>
      </c>
      <c r="G411" s="10" t="n">
        <v>14.64364145194553</v>
      </c>
      <c r="H411" s="10" t="n">
        <v>2.395775820104982</v>
      </c>
      <c r="I411" s="10">
        <f>G411-1.96*H411</f>
        <v/>
      </c>
      <c r="J411" s="10">
        <f>G411+1.96*H411</f>
        <v/>
      </c>
      <c r="K411" s="10">
        <f>G411-F411</f>
        <v/>
      </c>
      <c r="L411" s="4">
        <f>IF(AND(F411&gt;=I411,F411&lt;=J411),1,0)</f>
        <v/>
      </c>
    </row>
    <row r="412">
      <c r="A412" s="4" t="inlineStr">
        <is>
          <t>tensile_MPa</t>
        </is>
      </c>
      <c r="B412" s="4" t="inlineStr">
        <is>
          <t>G031</t>
        </is>
      </c>
      <c r="C412" s="4" t="inlineStr">
        <is>
          <t>US8173727B2</t>
        </is>
      </c>
      <c r="D412" s="4" t="inlineStr">
        <is>
          <t>Example 3</t>
        </is>
      </c>
      <c r="E412" s="4" t="inlineStr">
        <is>
          <t>dev(OOF)</t>
        </is>
      </c>
      <c r="F412" s="10" t="n">
        <v>18.14</v>
      </c>
      <c r="G412" s="10" t="n">
        <v>14.64364145194553</v>
      </c>
      <c r="H412" s="10" t="n">
        <v>2.395775820104982</v>
      </c>
      <c r="I412" s="10">
        <f>G412-1.96*H412</f>
        <v/>
      </c>
      <c r="J412" s="10">
        <f>G412+1.96*H412</f>
        <v/>
      </c>
      <c r="K412" s="10">
        <f>G412-F412</f>
        <v/>
      </c>
      <c r="L412" s="4">
        <f>IF(AND(F412&gt;=I412,F412&lt;=J412),1,0)</f>
        <v/>
      </c>
    </row>
    <row r="413">
      <c r="A413" s="4" t="inlineStr">
        <is>
          <t>tensile_MPa</t>
        </is>
      </c>
      <c r="B413" s="4" t="inlineStr">
        <is>
          <t>G040</t>
        </is>
      </c>
      <c r="C413" s="4" t="inlineStr">
        <is>
          <t>US8173727B2</t>
        </is>
      </c>
      <c r="D413" s="4" t="inlineStr">
        <is>
          <t>Example 12</t>
        </is>
      </c>
      <c r="E413" s="4" t="inlineStr">
        <is>
          <t>dev(OOF)</t>
        </is>
      </c>
      <c r="F413" s="10" t="n">
        <v>19.52</v>
      </c>
      <c r="G413" s="10" t="n">
        <v>17.26955879774954</v>
      </c>
      <c r="H413" s="10" t="n">
        <v>2.598661394810594</v>
      </c>
      <c r="I413" s="10">
        <f>G413-1.96*H413</f>
        <v/>
      </c>
      <c r="J413" s="10">
        <f>G413+1.96*H413</f>
        <v/>
      </c>
      <c r="K413" s="10">
        <f>G413-F413</f>
        <v/>
      </c>
      <c r="L413" s="4">
        <f>IF(AND(F413&gt;=I413,F413&lt;=J413),1,0)</f>
        <v/>
      </c>
    </row>
    <row r="414">
      <c r="A414" s="4" t="inlineStr">
        <is>
          <t>tensile_MPa</t>
        </is>
      </c>
      <c r="B414" s="4" t="inlineStr">
        <is>
          <t>G104</t>
        </is>
      </c>
      <c r="C414" s="4" t="inlineStr">
        <is>
          <t>US7354974B2</t>
        </is>
      </c>
      <c r="D414" s="4" t="inlineStr">
        <is>
          <t>Control A</t>
        </is>
      </c>
      <c r="E414" s="4" t="inlineStr">
        <is>
          <t>dev(OOF)</t>
        </is>
      </c>
      <c r="F414" s="10" t="n">
        <v>10.6</v>
      </c>
      <c r="G414" s="10" t="n">
        <v>9.344882143060865</v>
      </c>
      <c r="H414" s="10" t="n">
        <v>2.813141265465725</v>
      </c>
      <c r="I414" s="10">
        <f>G414-1.96*H414</f>
        <v/>
      </c>
      <c r="J414" s="10">
        <f>G414+1.96*H414</f>
        <v/>
      </c>
      <c r="K414" s="10">
        <f>G414-F414</f>
        <v/>
      </c>
      <c r="L414" s="4">
        <f>IF(AND(F414&gt;=I414,F414&lt;=J414),1,0)</f>
        <v/>
      </c>
    </row>
    <row r="415">
      <c r="A415" s="4" t="inlineStr">
        <is>
          <t>tensile_MPa</t>
        </is>
      </c>
      <c r="B415" s="4" t="inlineStr">
        <is>
          <t>G039</t>
        </is>
      </c>
      <c r="C415" s="4" t="inlineStr">
        <is>
          <t>US8173727B2</t>
        </is>
      </c>
      <c r="D415" s="4" t="inlineStr">
        <is>
          <t>Example 11</t>
        </is>
      </c>
      <c r="E415" s="4" t="inlineStr">
        <is>
          <t>dev(OOF)</t>
        </is>
      </c>
      <c r="F415" s="10" t="n">
        <v>14.91</v>
      </c>
      <c r="G415" s="10" t="n">
        <v>15.89329923575682</v>
      </c>
      <c r="H415" s="10" t="n">
        <v>3.241168348201765</v>
      </c>
      <c r="I415" s="10">
        <f>G415-1.96*H415</f>
        <v/>
      </c>
      <c r="J415" s="10">
        <f>G415+1.96*H415</f>
        <v/>
      </c>
      <c r="K415" s="10">
        <f>G415-F415</f>
        <v/>
      </c>
      <c r="L415" s="4">
        <f>IF(AND(F415&gt;=I415,F415&lt;=J415),1,0)</f>
        <v/>
      </c>
    </row>
    <row r="416">
      <c r="A416" s="4" t="inlineStr">
        <is>
          <t>tensile_MPa</t>
        </is>
      </c>
      <c r="B416" s="4" t="inlineStr">
        <is>
          <t>G080</t>
        </is>
      </c>
      <c r="C416" s="4" t="inlineStr">
        <is>
          <t>US12091537B2</t>
        </is>
      </c>
      <c r="D416" s="4" t="inlineStr">
        <is>
          <t>Reference Example 1</t>
        </is>
      </c>
      <c r="E416" s="4" t="inlineStr">
        <is>
          <t>dev(OOF)</t>
        </is>
      </c>
      <c r="F416" s="10" t="n">
        <v>19.3</v>
      </c>
      <c r="G416" s="10" t="n">
        <v>19.14202304046562</v>
      </c>
      <c r="H416" s="10" t="n">
        <v>2.382723476260562</v>
      </c>
      <c r="I416" s="10">
        <f>G416-1.96*H416</f>
        <v/>
      </c>
      <c r="J416" s="10">
        <f>G416+1.96*H416</f>
        <v/>
      </c>
      <c r="K416" s="10">
        <f>G416-F416</f>
        <v/>
      </c>
      <c r="L416" s="4">
        <f>IF(AND(F416&gt;=I416,F416&lt;=J416),1,0)</f>
        <v/>
      </c>
    </row>
    <row r="417">
      <c r="A417" s="4" t="inlineStr">
        <is>
          <t>tensile_MPa</t>
        </is>
      </c>
      <c r="B417" s="4" t="inlineStr">
        <is>
          <t>G022</t>
        </is>
      </c>
      <c r="C417" s="4" t="inlineStr">
        <is>
          <t>US7678858B2</t>
        </is>
      </c>
      <c r="D417" s="4" t="inlineStr">
        <is>
          <t>Comparative Example 2</t>
        </is>
      </c>
      <c r="E417" s="4" t="inlineStr">
        <is>
          <t>dev(OOF)</t>
        </is>
      </c>
      <c r="F417" s="10" t="n">
        <v>15.49</v>
      </c>
      <c r="G417" s="10" t="n">
        <v>15.86212538821012</v>
      </c>
      <c r="H417" s="10" t="n">
        <v>2.32490681402833</v>
      </c>
      <c r="I417" s="10">
        <f>G417-1.96*H417</f>
        <v/>
      </c>
      <c r="J417" s="10">
        <f>G417+1.96*H417</f>
        <v/>
      </c>
      <c r="K417" s="10">
        <f>G417-F417</f>
        <v/>
      </c>
      <c r="L417" s="4">
        <f>IF(AND(F417&gt;=I417,F417&lt;=J417),1,0)</f>
        <v/>
      </c>
    </row>
    <row r="418">
      <c r="A418" s="4" t="inlineStr">
        <is>
          <t>tensile_MPa</t>
        </is>
      </c>
      <c r="B418" s="4" t="inlineStr">
        <is>
          <t>G174</t>
        </is>
      </c>
      <c r="C418" s="4" t="inlineStr">
        <is>
          <t>US6191208B1</t>
        </is>
      </c>
      <c r="D418" s="4" t="inlineStr">
        <is>
          <t>Comparative Example B</t>
        </is>
      </c>
      <c r="E418" s="4" t="inlineStr">
        <is>
          <t>dev(OOF)</t>
        </is>
      </c>
      <c r="F418" s="10" t="n">
        <v>15.4</v>
      </c>
      <c r="G418" s="10" t="n">
        <v>15.98027594048107</v>
      </c>
      <c r="H418" s="10" t="n">
        <v>3.958566957367522</v>
      </c>
      <c r="I418" s="10">
        <f>G418-1.96*H418</f>
        <v/>
      </c>
      <c r="J418" s="10">
        <f>G418+1.96*H418</f>
        <v/>
      </c>
      <c r="K418" s="10">
        <f>G418-F418</f>
        <v/>
      </c>
      <c r="L418" s="4">
        <f>IF(AND(F418&gt;=I418,F418&lt;=J418),1,0)</f>
        <v/>
      </c>
    </row>
    <row r="419">
      <c r="A419" s="4" t="inlineStr">
        <is>
          <t>tensile_MPa</t>
        </is>
      </c>
      <c r="B419" s="4" t="inlineStr">
        <is>
          <t>G284</t>
        </is>
      </c>
      <c r="C419" s="4" t="inlineStr">
        <is>
          <t>US20230365800A1</t>
        </is>
      </c>
      <c r="D419" s="4" t="inlineStr">
        <is>
          <t>Example 9</t>
        </is>
      </c>
      <c r="E419" s="4" t="inlineStr">
        <is>
          <t>dev(OOF)</t>
        </is>
      </c>
      <c r="F419" s="10" t="n">
        <v>11.9</v>
      </c>
      <c r="G419" s="10" t="n">
        <v>11.93585236553367</v>
      </c>
      <c r="H419" s="10" t="n">
        <v>2.097559114801121</v>
      </c>
      <c r="I419" s="10">
        <f>G419-1.96*H419</f>
        <v/>
      </c>
      <c r="J419" s="10">
        <f>G419+1.96*H419</f>
        <v/>
      </c>
      <c r="K419" s="10">
        <f>G419-F419</f>
        <v/>
      </c>
      <c r="L419" s="4">
        <f>IF(AND(F419&gt;=I419,F419&lt;=J419),1,0)</f>
        <v/>
      </c>
    </row>
    <row r="420">
      <c r="A420" s="4" t="inlineStr">
        <is>
          <t>tensile_MPa</t>
        </is>
      </c>
      <c r="B420" s="4" t="inlineStr">
        <is>
          <t>G103</t>
        </is>
      </c>
      <c r="C420" s="4" t="inlineStr">
        <is>
          <t>US7354974B2</t>
        </is>
      </c>
      <c r="D420" s="4" t="inlineStr">
        <is>
          <t>Example 7</t>
        </is>
      </c>
      <c r="E420" s="4" t="inlineStr">
        <is>
          <t>dev(OOF)</t>
        </is>
      </c>
      <c r="F420" s="10" t="n">
        <v>17.7</v>
      </c>
      <c r="G420" s="10" t="n">
        <v>17.87232111180649</v>
      </c>
      <c r="H420" s="10" t="n">
        <v>2.2253080401225</v>
      </c>
      <c r="I420" s="10">
        <f>G420-1.96*H420</f>
        <v/>
      </c>
      <c r="J420" s="10">
        <f>G420+1.96*H420</f>
        <v/>
      </c>
      <c r="K420" s="10">
        <f>G420-F420</f>
        <v/>
      </c>
      <c r="L420" s="4">
        <f>IF(AND(F420&gt;=I420,F420&lt;=J420),1,0)</f>
        <v/>
      </c>
    </row>
    <row r="421">
      <c r="A421" s="4" t="inlineStr">
        <is>
          <t>tensile_MPa</t>
        </is>
      </c>
      <c r="B421" s="4" t="inlineStr">
        <is>
          <t>G294</t>
        </is>
      </c>
      <c r="C421" s="4" t="inlineStr">
        <is>
          <t>EP4249550A1</t>
        </is>
      </c>
      <c r="D421" s="4" t="inlineStr">
        <is>
          <t>Example 5</t>
        </is>
      </c>
      <c r="E421" s="4" t="inlineStr">
        <is>
          <t>dev(OOF)</t>
        </is>
      </c>
      <c r="F421" s="10" t="n">
        <v>18.1</v>
      </c>
      <c r="G421" s="10" t="n">
        <v>17.42678346986069</v>
      </c>
      <c r="H421" s="10" t="n">
        <v>3.286931421188442</v>
      </c>
      <c r="I421" s="10">
        <f>G421-1.96*H421</f>
        <v/>
      </c>
      <c r="J421" s="10">
        <f>G421+1.96*H421</f>
        <v/>
      </c>
      <c r="K421" s="10">
        <f>G421-F421</f>
        <v/>
      </c>
      <c r="L421" s="4">
        <f>IF(AND(F421&gt;=I421,F421&lt;=J421),1,0)</f>
        <v/>
      </c>
    </row>
    <row r="422">
      <c r="A422" s="4" t="inlineStr">
        <is>
          <t>tensile_MPa</t>
        </is>
      </c>
      <c r="B422" s="4" t="inlineStr">
        <is>
          <t>G042</t>
        </is>
      </c>
      <c r="C422" s="4" t="inlineStr">
        <is>
          <t>US8173727B2</t>
        </is>
      </c>
      <c r="D422" s="4" t="inlineStr">
        <is>
          <t>Example 14</t>
        </is>
      </c>
      <c r="E422" s="4" t="inlineStr">
        <is>
          <t>dev(OOF)</t>
        </is>
      </c>
      <c r="F422" s="10" t="n">
        <v>15.79</v>
      </c>
      <c r="G422" s="10" t="n">
        <v>16.66834970987126</v>
      </c>
      <c r="H422" s="10" t="n">
        <v>4.752880567290005</v>
      </c>
      <c r="I422" s="10">
        <f>G422-1.96*H422</f>
        <v/>
      </c>
      <c r="J422" s="10">
        <f>G422+1.96*H422</f>
        <v/>
      </c>
      <c r="K422" s="10">
        <f>G422-F422</f>
        <v/>
      </c>
      <c r="L422" s="4">
        <f>IF(AND(F422&gt;=I422,F422&lt;=J422),1,0)</f>
        <v/>
      </c>
    </row>
    <row r="423">
      <c r="A423" s="4" t="inlineStr">
        <is>
          <t>tensile_MPa</t>
        </is>
      </c>
      <c r="B423" s="4" t="inlineStr">
        <is>
          <t>G100</t>
        </is>
      </c>
      <c r="C423" s="4" t="inlineStr">
        <is>
          <t>US7354974B2</t>
        </is>
      </c>
      <c r="D423" s="4" t="inlineStr">
        <is>
          <t>Example 4</t>
        </is>
      </c>
      <c r="E423" s="4" t="inlineStr">
        <is>
          <t>dev(OOF)</t>
        </is>
      </c>
      <c r="F423" s="10" t="n">
        <v>22</v>
      </c>
      <c r="G423" s="10" t="n">
        <v>21.6317944186331</v>
      </c>
      <c r="H423" s="10" t="n">
        <v>2.95954835067474</v>
      </c>
      <c r="I423" s="10">
        <f>G423-1.96*H423</f>
        <v/>
      </c>
      <c r="J423" s="10">
        <f>G423+1.96*H423</f>
        <v/>
      </c>
      <c r="K423" s="10">
        <f>G423-F423</f>
        <v/>
      </c>
      <c r="L423" s="4">
        <f>IF(AND(F423&gt;=I423,F423&lt;=J423),1,0)</f>
        <v/>
      </c>
    </row>
    <row r="424">
      <c r="A424" s="4" t="inlineStr">
        <is>
          <t>tensile_MPa</t>
        </is>
      </c>
      <c r="B424" s="4" t="inlineStr">
        <is>
          <t>G051</t>
        </is>
      </c>
      <c r="C424" s="4" t="inlineStr">
        <is>
          <t>US8211964B2</t>
        </is>
      </c>
      <c r="D424" s="4" t="inlineStr">
        <is>
          <t>Example 8</t>
        </is>
      </c>
      <c r="E424" s="4" t="inlineStr">
        <is>
          <t>dev(OOF)</t>
        </is>
      </c>
      <c r="F424" s="10" t="n">
        <v>18.63</v>
      </c>
      <c r="G424" s="10" t="n">
        <v>15.49842768761691</v>
      </c>
      <c r="H424" s="10" t="n">
        <v>4.116936212792693</v>
      </c>
      <c r="I424" s="10">
        <f>G424-1.96*H424</f>
        <v/>
      </c>
      <c r="J424" s="10">
        <f>G424+1.96*H424</f>
        <v/>
      </c>
      <c r="K424" s="10">
        <f>G424-F424</f>
        <v/>
      </c>
      <c r="L424" s="4">
        <f>IF(AND(F424&gt;=I424,F424&lt;=J424),1,0)</f>
        <v/>
      </c>
    </row>
    <row r="425">
      <c r="A425" s="4" t="inlineStr">
        <is>
          <t>tensile_MPa</t>
        </is>
      </c>
      <c r="B425" s="4" t="inlineStr">
        <is>
          <t>G195</t>
        </is>
      </c>
      <c r="C425" s="4" t="inlineStr">
        <is>
          <t>US20160319102A1</t>
        </is>
      </c>
      <c r="D425" s="4" t="inlineStr">
        <is>
          <t>Example 6</t>
        </is>
      </c>
      <c r="E425" s="4" t="inlineStr">
        <is>
          <t>dev(OOF)</t>
        </is>
      </c>
      <c r="F425" s="10" t="n">
        <v>13.4</v>
      </c>
      <c r="G425" s="10" t="n">
        <v>14.5730579970543</v>
      </c>
      <c r="H425" s="10" t="n">
        <v>2.846954761103856</v>
      </c>
      <c r="I425" s="10">
        <f>G425-1.96*H425</f>
        <v/>
      </c>
      <c r="J425" s="10">
        <f>G425+1.96*H425</f>
        <v/>
      </c>
      <c r="K425" s="10">
        <f>G425-F425</f>
        <v/>
      </c>
      <c r="L425" s="4">
        <f>IF(AND(F425&gt;=I425,F425&lt;=J425),1,0)</f>
        <v/>
      </c>
    </row>
    <row r="426">
      <c r="A426" s="4" t="inlineStr">
        <is>
          <t>tensile_MPa</t>
        </is>
      </c>
      <c r="B426" s="4" t="inlineStr">
        <is>
          <t>G087</t>
        </is>
      </c>
      <c r="C426" s="4" t="inlineStr">
        <is>
          <t>US8367776B2</t>
        </is>
      </c>
      <c r="D426" s="4" t="inlineStr">
        <is>
          <t>Example 5</t>
        </is>
      </c>
      <c r="E426" s="4" t="inlineStr">
        <is>
          <t>dev(OOF)</t>
        </is>
      </c>
      <c r="F426" s="10" t="n">
        <v>7.23</v>
      </c>
      <c r="G426" s="10" t="n">
        <v>7.434623059821219</v>
      </c>
      <c r="H426" s="10" t="n">
        <v>2.302989107813922</v>
      </c>
      <c r="I426" s="10">
        <f>G426-1.96*H426</f>
        <v/>
      </c>
      <c r="J426" s="10">
        <f>G426+1.96*H426</f>
        <v/>
      </c>
      <c r="K426" s="10">
        <f>G426-F426</f>
        <v/>
      </c>
      <c r="L426" s="4">
        <f>IF(AND(F426&gt;=I426,F426&lt;=J426),1,0)</f>
        <v/>
      </c>
    </row>
    <row r="427">
      <c r="A427" s="4" t="inlineStr">
        <is>
          <t>tensile_MPa</t>
        </is>
      </c>
      <c r="B427" s="4" t="inlineStr">
        <is>
          <t>G257</t>
        </is>
      </c>
      <c r="C427" s="4" t="inlineStr">
        <is>
          <t>US12584054B2</t>
        </is>
      </c>
      <c r="D427" s="4" t="inlineStr">
        <is>
          <t>Comparative Example 9</t>
        </is>
      </c>
      <c r="E427" s="4" t="inlineStr">
        <is>
          <t>dev(OOF)</t>
        </is>
      </c>
      <c r="F427" s="10" t="n">
        <v>16</v>
      </c>
      <c r="G427" s="10" t="n">
        <v>13.30837153263561</v>
      </c>
      <c r="H427" s="10" t="n">
        <v>2.612624673798658</v>
      </c>
      <c r="I427" s="10">
        <f>G427-1.96*H427</f>
        <v/>
      </c>
      <c r="J427" s="10">
        <f>G427+1.96*H427</f>
        <v/>
      </c>
      <c r="K427" s="10">
        <f>G427-F427</f>
        <v/>
      </c>
      <c r="L427" s="4">
        <f>IF(AND(F427&gt;=I427,F427&lt;=J427),1,0)</f>
        <v/>
      </c>
    </row>
    <row r="428">
      <c r="A428" s="4" t="inlineStr">
        <is>
          <t>tensile_MPa</t>
        </is>
      </c>
      <c r="B428" s="4" t="inlineStr">
        <is>
          <t>G141</t>
        </is>
      </c>
      <c r="C428" s="4" t="inlineStr">
        <is>
          <t>US7247749B2</t>
        </is>
      </c>
      <c r="D428" s="4" t="inlineStr">
        <is>
          <t>Sample 17</t>
        </is>
      </c>
      <c r="E428" s="4" t="inlineStr">
        <is>
          <t>dev(OOF)</t>
        </is>
      </c>
      <c r="F428" s="10" t="n">
        <v>6.63</v>
      </c>
      <c r="G428" s="10" t="n">
        <v>10.42605207375637</v>
      </c>
      <c r="H428" s="10" t="n">
        <v>2.871721718997196</v>
      </c>
      <c r="I428" s="10">
        <f>G428-1.96*H428</f>
        <v/>
      </c>
      <c r="J428" s="10">
        <f>G428+1.96*H428</f>
        <v/>
      </c>
      <c r="K428" s="10">
        <f>G428-F428</f>
        <v/>
      </c>
      <c r="L428" s="4">
        <f>IF(AND(F428&gt;=I428,F428&lt;=J428),1,0)</f>
        <v/>
      </c>
    </row>
    <row r="429">
      <c r="A429" s="4" t="inlineStr">
        <is>
          <t>tensile_MPa</t>
        </is>
      </c>
      <c r="B429" s="4" t="inlineStr">
        <is>
          <t>G034</t>
        </is>
      </c>
      <c r="C429" s="4" t="inlineStr">
        <is>
          <t>US8173727B2</t>
        </is>
      </c>
      <c r="D429" s="4" t="inlineStr">
        <is>
          <t>Example 6</t>
        </is>
      </c>
      <c r="E429" s="4" t="inlineStr">
        <is>
          <t>dev(OOF)</t>
        </is>
      </c>
      <c r="F429" s="10" t="n">
        <v>23.54</v>
      </c>
      <c r="G429" s="10" t="n">
        <v>22.30073560657333</v>
      </c>
      <c r="H429" s="10" t="n">
        <v>2.752649986965551</v>
      </c>
      <c r="I429" s="10">
        <f>G429-1.96*H429</f>
        <v/>
      </c>
      <c r="J429" s="10">
        <f>G429+1.96*H429</f>
        <v/>
      </c>
      <c r="K429" s="10">
        <f>G429-F429</f>
        <v/>
      </c>
      <c r="L429" s="4">
        <f>IF(AND(F429&gt;=I429,F429&lt;=J429),1,0)</f>
        <v/>
      </c>
    </row>
    <row r="430">
      <c r="A430" s="4" t="inlineStr">
        <is>
          <t>tensile_MPa</t>
        </is>
      </c>
      <c r="B430" s="4" t="inlineStr">
        <is>
          <t>G162</t>
        </is>
      </c>
      <c r="C430" s="4" t="inlineStr">
        <is>
          <t>US6956085B2</t>
        </is>
      </c>
      <c r="D430" s="4" t="inlineStr">
        <is>
          <t>Example 5</t>
        </is>
      </c>
      <c r="E430" s="4" t="inlineStr">
        <is>
          <t>dev(OOF)</t>
        </is>
      </c>
      <c r="F430" s="10" t="n">
        <v>18.39</v>
      </c>
      <c r="G430" s="10" t="n">
        <v>15.34590481943346</v>
      </c>
      <c r="H430" s="10" t="n">
        <v>3.066291462473665</v>
      </c>
      <c r="I430" s="10">
        <f>G430-1.96*H430</f>
        <v/>
      </c>
      <c r="J430" s="10">
        <f>G430+1.96*H430</f>
        <v/>
      </c>
      <c r="K430" s="10">
        <f>G430-F430</f>
        <v/>
      </c>
      <c r="L430" s="4">
        <f>IF(AND(F430&gt;=I430,F430&lt;=J430),1,0)</f>
        <v/>
      </c>
    </row>
    <row r="431">
      <c r="A431" s="4" t="inlineStr">
        <is>
          <t>tensile_MPa</t>
        </is>
      </c>
      <c r="B431" s="4" t="inlineStr">
        <is>
          <t>G044</t>
        </is>
      </c>
      <c r="C431" s="4" t="inlineStr">
        <is>
          <t>US8211964B2</t>
        </is>
      </c>
      <c r="D431" s="4" t="inlineStr">
        <is>
          <t>Example 3</t>
        </is>
      </c>
      <c r="E431" s="4" t="inlineStr">
        <is>
          <t>dev(OOF)</t>
        </is>
      </c>
      <c r="F431" s="10" t="n">
        <v>10</v>
      </c>
      <c r="G431" s="10" t="n">
        <v>9.289931901114764</v>
      </c>
      <c r="H431" s="10" t="n">
        <v>2.631091218308797</v>
      </c>
      <c r="I431" s="10">
        <f>G431-1.96*H431</f>
        <v/>
      </c>
      <c r="J431" s="10">
        <f>G431+1.96*H431</f>
        <v/>
      </c>
      <c r="K431" s="10">
        <f>G431-F431</f>
        <v/>
      </c>
      <c r="L431" s="4">
        <f>IF(AND(F431&gt;=I431,F431&lt;=J431),1,0)</f>
        <v/>
      </c>
    </row>
    <row r="432">
      <c r="A432" s="4" t="inlineStr">
        <is>
          <t>tensile_MPa</t>
        </is>
      </c>
      <c r="B432" s="4" t="inlineStr">
        <is>
          <t>G295</t>
        </is>
      </c>
      <c r="C432" s="4" t="inlineStr">
        <is>
          <t>EP4249550A1</t>
        </is>
      </c>
      <c r="D432" s="4" t="inlineStr">
        <is>
          <t>Example 6</t>
        </is>
      </c>
      <c r="E432" s="4" t="inlineStr">
        <is>
          <t>dev(OOF)</t>
        </is>
      </c>
      <c r="F432" s="10" t="n">
        <v>17.4</v>
      </c>
      <c r="G432" s="10" t="n">
        <v>15.38872875478192</v>
      </c>
      <c r="H432" s="10" t="n">
        <v>4.533974889760692</v>
      </c>
      <c r="I432" s="10">
        <f>G432-1.96*H432</f>
        <v/>
      </c>
      <c r="J432" s="10">
        <f>G432+1.96*H432</f>
        <v/>
      </c>
      <c r="K432" s="10">
        <f>G432-F432</f>
        <v/>
      </c>
      <c r="L432" s="4">
        <f>IF(AND(F432&gt;=I432,F432&lt;=J432),1,0)</f>
        <v/>
      </c>
    </row>
    <row r="433">
      <c r="A433" s="4" t="inlineStr">
        <is>
          <t>tensile_MPa</t>
        </is>
      </c>
      <c r="B433" s="4" t="inlineStr">
        <is>
          <t>G326</t>
        </is>
      </c>
      <c r="C433" s="4" t="inlineStr">
        <is>
          <t>KR101467101B1</t>
        </is>
      </c>
      <c r="D433" s="4" t="inlineStr">
        <is>
          <t>Example 1 (Table 2 sample 4)</t>
        </is>
      </c>
      <c r="E433" s="4" t="inlineStr">
        <is>
          <t>dev(OOF)</t>
        </is>
      </c>
      <c r="F433" s="10" t="n">
        <v>9.210000000000001</v>
      </c>
      <c r="G433" s="10" t="n">
        <v>9.678966497705147</v>
      </c>
      <c r="H433" s="10" t="n">
        <v>3.130352375964989</v>
      </c>
      <c r="I433" s="10">
        <f>G433-1.96*H433</f>
        <v/>
      </c>
      <c r="J433" s="10">
        <f>G433+1.96*H433</f>
        <v/>
      </c>
      <c r="K433" s="10">
        <f>G433-F433</f>
        <v/>
      </c>
      <c r="L433" s="4">
        <f>IF(AND(F433&gt;=I433,F433&lt;=J433),1,0)</f>
        <v/>
      </c>
    </row>
    <row r="434">
      <c r="A434" s="4" t="inlineStr">
        <is>
          <t>tensile_MPa</t>
        </is>
      </c>
      <c r="B434" s="4" t="inlineStr">
        <is>
          <t>G173</t>
        </is>
      </c>
      <c r="C434" s="4" t="inlineStr">
        <is>
          <t>US6191208B1</t>
        </is>
      </c>
      <c r="D434" s="4" t="inlineStr">
        <is>
          <t>Comparative Example A</t>
        </is>
      </c>
      <c r="E434" s="4" t="inlineStr">
        <is>
          <t>dev(OOF)</t>
        </is>
      </c>
      <c r="F434" s="10" t="n">
        <v>14.3</v>
      </c>
      <c r="G434" s="10" t="n">
        <v>12.97357652320921</v>
      </c>
      <c r="H434" s="10" t="n">
        <v>5.954149664818505</v>
      </c>
      <c r="I434" s="10">
        <f>G434-1.96*H434</f>
        <v/>
      </c>
      <c r="J434" s="10">
        <f>G434+1.96*H434</f>
        <v/>
      </c>
      <c r="K434" s="10">
        <f>G434-F434</f>
        <v/>
      </c>
      <c r="L434" s="4">
        <f>IF(AND(F434&gt;=I434,F434&lt;=J434),1,0)</f>
        <v/>
      </c>
    </row>
    <row r="435">
      <c r="A435" s="4" t="inlineStr">
        <is>
          <t>tensile_MPa</t>
        </is>
      </c>
      <c r="B435" s="4" t="inlineStr">
        <is>
          <t>G149</t>
        </is>
      </c>
      <c r="C435" s="4" t="inlineStr">
        <is>
          <t>US7247749B2</t>
        </is>
      </c>
      <c r="D435" s="4" t="inlineStr">
        <is>
          <t>Sample 25</t>
        </is>
      </c>
      <c r="E435" s="4" t="inlineStr">
        <is>
          <t>dev(OOF)</t>
        </is>
      </c>
      <c r="F435" s="10" t="n">
        <v>12.95</v>
      </c>
      <c r="G435" s="10" t="n">
        <v>11.54874560537731</v>
      </c>
      <c r="H435" s="10" t="n">
        <v>2.55997251686807</v>
      </c>
      <c r="I435" s="10">
        <f>G435-1.96*H435</f>
        <v/>
      </c>
      <c r="J435" s="10">
        <f>G435+1.96*H435</f>
        <v/>
      </c>
      <c r="K435" s="10">
        <f>G435-F435</f>
        <v/>
      </c>
      <c r="L435" s="4">
        <f>IF(AND(F435&gt;=I435,F435&lt;=J435),1,0)</f>
        <v/>
      </c>
    </row>
    <row r="436">
      <c r="A436" s="4" t="inlineStr">
        <is>
          <t>tensile_MPa</t>
        </is>
      </c>
      <c r="B436" s="4" t="inlineStr">
        <is>
          <t>G303</t>
        </is>
      </c>
      <c r="C436" s="4" t="inlineStr">
        <is>
          <t>EP4249550A1</t>
        </is>
      </c>
      <c r="D436" s="4" t="inlineStr">
        <is>
          <t>Comparative Example 2</t>
        </is>
      </c>
      <c r="E436" s="4" t="inlineStr">
        <is>
          <t>dev(OOF)</t>
        </is>
      </c>
      <c r="F436" s="10" t="n">
        <v>13.3</v>
      </c>
      <c r="G436" s="10" t="n">
        <v>13.5371217706167</v>
      </c>
      <c r="H436" s="10" t="n">
        <v>2.789919694972682</v>
      </c>
      <c r="I436" s="10">
        <f>G436-1.96*H436</f>
        <v/>
      </c>
      <c r="J436" s="10">
        <f>G436+1.96*H436</f>
        <v/>
      </c>
      <c r="K436" s="10">
        <f>G436-F436</f>
        <v/>
      </c>
      <c r="L436" s="4">
        <f>IF(AND(F436&gt;=I436,F436&lt;=J436),1,0)</f>
        <v/>
      </c>
    </row>
    <row r="437">
      <c r="A437" s="4" t="inlineStr">
        <is>
          <t>tensile_MPa</t>
        </is>
      </c>
      <c r="B437" s="4" t="inlineStr">
        <is>
          <t>G037</t>
        </is>
      </c>
      <c r="C437" s="4" t="inlineStr">
        <is>
          <t>US8173727B2</t>
        </is>
      </c>
      <c r="D437" s="4" t="inlineStr">
        <is>
          <t>Example 9</t>
        </is>
      </c>
      <c r="E437" s="4" t="inlineStr">
        <is>
          <t>dev(OOF)</t>
        </is>
      </c>
      <c r="F437" s="10" t="n">
        <v>14.42</v>
      </c>
      <c r="G437" s="10" t="n">
        <v>15.89329923575683</v>
      </c>
      <c r="H437" s="10" t="n">
        <v>3.241168348201765</v>
      </c>
      <c r="I437" s="10">
        <f>G437-1.96*H437</f>
        <v/>
      </c>
      <c r="J437" s="10">
        <f>G437+1.96*H437</f>
        <v/>
      </c>
      <c r="K437" s="10">
        <f>G437-F437</f>
        <v/>
      </c>
      <c r="L437" s="4">
        <f>IF(AND(F437&gt;=I437,F437&lt;=J437),1,0)</f>
        <v/>
      </c>
    </row>
    <row r="438">
      <c r="A438" s="4" t="inlineStr">
        <is>
          <t>tensile_MPa</t>
        </is>
      </c>
      <c r="B438" s="4" t="inlineStr">
        <is>
          <t>G020</t>
        </is>
      </c>
      <c r="C438" s="4" t="inlineStr">
        <is>
          <t>US7678858B2</t>
        </is>
      </c>
      <c r="D438" s="4" t="inlineStr">
        <is>
          <t>Example 19</t>
        </is>
      </c>
      <c r="E438" s="4" t="inlineStr">
        <is>
          <t>dev(OOF)</t>
        </is>
      </c>
      <c r="F438" s="10" t="n">
        <v>16.18</v>
      </c>
      <c r="G438" s="10" t="n">
        <v>16.37180566483826</v>
      </c>
      <c r="H438" s="10" t="n">
        <v>2.814044077068734</v>
      </c>
      <c r="I438" s="10">
        <f>G438-1.96*H438</f>
        <v/>
      </c>
      <c r="J438" s="10">
        <f>G438+1.96*H438</f>
        <v/>
      </c>
      <c r="K438" s="10">
        <f>G438-F438</f>
        <v/>
      </c>
      <c r="L438" s="4">
        <f>IF(AND(F438&gt;=I438,F438&lt;=J438),1,0)</f>
        <v/>
      </c>
    </row>
    <row r="439">
      <c r="A439" s="4" t="inlineStr">
        <is>
          <t>tensile_MPa</t>
        </is>
      </c>
      <c r="B439" s="4" t="inlineStr">
        <is>
          <t>G139</t>
        </is>
      </c>
      <c r="C439" s="4" t="inlineStr">
        <is>
          <t>US7247749B2</t>
        </is>
      </c>
      <c r="D439" s="4" t="inlineStr">
        <is>
          <t>Sample 15</t>
        </is>
      </c>
      <c r="E439" s="4" t="inlineStr">
        <is>
          <t>test</t>
        </is>
      </c>
      <c r="F439" s="10" t="n">
        <v>9.720000000000001</v>
      </c>
      <c r="G439" s="10" t="n">
        <v>9.580996767209552</v>
      </c>
      <c r="H439" s="10" t="n">
        <v>2.62081460524985</v>
      </c>
      <c r="I439" s="10">
        <f>G439-1.96*H439</f>
        <v/>
      </c>
      <c r="J439" s="10">
        <f>G439+1.96*H439</f>
        <v/>
      </c>
      <c r="K439" s="10">
        <f>G439-F439</f>
        <v/>
      </c>
      <c r="L439" s="4">
        <f>IF(AND(F439&gt;=I439,F439&lt;=J439),1,0)</f>
        <v/>
      </c>
    </row>
    <row r="440">
      <c r="A440" s="4" t="inlineStr">
        <is>
          <t>tensile_MPa</t>
        </is>
      </c>
      <c r="B440" s="4" t="inlineStr">
        <is>
          <t>G019</t>
        </is>
      </c>
      <c r="C440" s="4" t="inlineStr">
        <is>
          <t>US7678858B2</t>
        </is>
      </c>
      <c r="D440" s="4" t="inlineStr">
        <is>
          <t>Example 18</t>
        </is>
      </c>
      <c r="E440" s="4" t="inlineStr">
        <is>
          <t>test</t>
        </is>
      </c>
      <c r="F440" s="10" t="n">
        <v>16.67</v>
      </c>
      <c r="G440" s="10" t="n">
        <v>16.21573339398558</v>
      </c>
      <c r="H440" s="10" t="n">
        <v>2.374905151646874</v>
      </c>
      <c r="I440" s="10">
        <f>G440-1.96*H440</f>
        <v/>
      </c>
      <c r="J440" s="10">
        <f>G440+1.96*H440</f>
        <v/>
      </c>
      <c r="K440" s="10">
        <f>G440-F440</f>
        <v/>
      </c>
      <c r="L440" s="4">
        <f>IF(AND(F440&gt;=I440,F440&lt;=J440),1,0)</f>
        <v/>
      </c>
    </row>
    <row r="441">
      <c r="A441" s="4" t="inlineStr">
        <is>
          <t>tensile_MPa</t>
        </is>
      </c>
      <c r="B441" s="4" t="inlineStr">
        <is>
          <t>G091</t>
        </is>
      </c>
      <c r="C441" s="4" t="inlineStr">
        <is>
          <t>US8367776B2</t>
        </is>
      </c>
      <c r="D441" s="4" t="inlineStr">
        <is>
          <t>Example 9</t>
        </is>
      </c>
      <c r="E441" s="4" t="inlineStr">
        <is>
          <t>test</t>
        </is>
      </c>
      <c r="F441" s="10" t="n">
        <v>9.449999999999999</v>
      </c>
      <c r="G441" s="10" t="n">
        <v>7.587958836531929</v>
      </c>
      <c r="H441" s="10" t="n">
        <v>2.275295462738053</v>
      </c>
      <c r="I441" s="10">
        <f>G441-1.96*H441</f>
        <v/>
      </c>
      <c r="J441" s="10">
        <f>G441+1.96*H441</f>
        <v/>
      </c>
      <c r="K441" s="10">
        <f>G441-F441</f>
        <v/>
      </c>
      <c r="L441" s="4">
        <f>IF(AND(F441&gt;=I441,F441&lt;=J441),1,0)</f>
        <v/>
      </c>
    </row>
    <row r="442">
      <c r="A442" s="4" t="inlineStr">
        <is>
          <t>tensile_MPa</t>
        </is>
      </c>
      <c r="B442" s="4" t="inlineStr">
        <is>
          <t>G116</t>
        </is>
      </c>
      <c r="C442" s="4" t="inlineStr">
        <is>
          <t>US5696189A</t>
        </is>
      </c>
      <c r="D442" s="4" t="inlineStr">
        <is>
          <t>Comparative Example A</t>
        </is>
      </c>
      <c r="E442" s="4" t="inlineStr">
        <is>
          <t>test</t>
        </is>
      </c>
      <c r="F442" s="10" t="n">
        <v>14.34</v>
      </c>
      <c r="G442" s="10" t="n">
        <v>14.07505863654975</v>
      </c>
      <c r="H442" s="10" t="n">
        <v>2.880524190022474</v>
      </c>
      <c r="I442" s="10">
        <f>G442-1.96*H442</f>
        <v/>
      </c>
      <c r="J442" s="10">
        <f>G442+1.96*H442</f>
        <v/>
      </c>
      <c r="K442" s="10">
        <f>G442-F442</f>
        <v/>
      </c>
      <c r="L442" s="4">
        <f>IF(AND(F442&gt;=I442,F442&lt;=J442),1,0)</f>
        <v/>
      </c>
    </row>
    <row r="443">
      <c r="A443" s="4" t="inlineStr">
        <is>
          <t>tensile_MPa</t>
        </is>
      </c>
      <c r="B443" s="4" t="inlineStr">
        <is>
          <t>G114</t>
        </is>
      </c>
      <c r="C443" s="4" t="inlineStr">
        <is>
          <t>US6992143B2</t>
        </is>
      </c>
      <c r="D443" s="4" t="inlineStr">
        <is>
          <t>Example 4</t>
        </is>
      </c>
      <c r="E443" s="4" t="inlineStr">
        <is>
          <t>test</t>
        </is>
      </c>
      <c r="F443" s="10" t="n">
        <v>7</v>
      </c>
      <c r="G443" s="10" t="n">
        <v>8.988816905197671</v>
      </c>
      <c r="H443" s="10" t="n">
        <v>2.787214261173641</v>
      </c>
      <c r="I443" s="10">
        <f>G443-1.96*H443</f>
        <v/>
      </c>
      <c r="J443" s="10">
        <f>G443+1.96*H443</f>
        <v/>
      </c>
      <c r="K443" s="10">
        <f>G443-F443</f>
        <v/>
      </c>
      <c r="L443" s="4">
        <f>IF(AND(F443&gt;=I443,F443&lt;=J443),1,0)</f>
        <v/>
      </c>
    </row>
    <row r="444">
      <c r="A444" s="4" t="inlineStr">
        <is>
          <t>tensile_MPa</t>
        </is>
      </c>
      <c r="B444" s="4" t="inlineStr">
        <is>
          <t>G250</t>
        </is>
      </c>
      <c r="C444" s="4" t="inlineStr">
        <is>
          <t>US12584054B2</t>
        </is>
      </c>
      <c r="D444" s="4" t="inlineStr">
        <is>
          <t>Comparative Example 2</t>
        </is>
      </c>
      <c r="E444" s="4" t="inlineStr">
        <is>
          <t>test</t>
        </is>
      </c>
      <c r="F444" s="10" t="n">
        <v>15</v>
      </c>
      <c r="G444" s="10" t="n">
        <v>18.70091057645584</v>
      </c>
      <c r="H444" s="10" t="n">
        <v>2.44897237169175</v>
      </c>
      <c r="I444" s="10">
        <f>G444-1.96*H444</f>
        <v/>
      </c>
      <c r="J444" s="10">
        <f>G444+1.96*H444</f>
        <v/>
      </c>
      <c r="K444" s="10">
        <f>G444-F444</f>
        <v/>
      </c>
      <c r="L444" s="4">
        <f>IF(AND(F444&gt;=I444,F444&lt;=J444),1,0)</f>
        <v/>
      </c>
    </row>
    <row r="445">
      <c r="A445" s="4" t="inlineStr">
        <is>
          <t>tensile_MPa</t>
        </is>
      </c>
      <c r="B445" s="4" t="inlineStr">
        <is>
          <t>G287</t>
        </is>
      </c>
      <c r="C445" s="4" t="inlineStr">
        <is>
          <t>US20230365800A1</t>
        </is>
      </c>
      <c r="D445" s="4" t="inlineStr">
        <is>
          <t>Comparative Example 5</t>
        </is>
      </c>
      <c r="E445" s="4" t="inlineStr">
        <is>
          <t>test</t>
        </is>
      </c>
      <c r="F445" s="10" t="n">
        <v>9.5</v>
      </c>
      <c r="G445" s="10" t="n">
        <v>11.76046499604742</v>
      </c>
      <c r="H445" s="10" t="n">
        <v>2.212658785613697</v>
      </c>
      <c r="I445" s="10">
        <f>G445-1.96*H445</f>
        <v/>
      </c>
      <c r="J445" s="10">
        <f>G445+1.96*H445</f>
        <v/>
      </c>
      <c r="K445" s="10">
        <f>G445-F445</f>
        <v/>
      </c>
      <c r="L445" s="4">
        <f>IF(AND(F445&gt;=I445,F445&lt;=J445),1,0)</f>
        <v/>
      </c>
    </row>
    <row r="446">
      <c r="A446" s="4" t="inlineStr">
        <is>
          <t>tensile_MPa</t>
        </is>
      </c>
      <c r="B446" s="4" t="inlineStr">
        <is>
          <t>G204</t>
        </is>
      </c>
      <c r="C446" s="4" t="inlineStr">
        <is>
          <t>US20160319102A1</t>
        </is>
      </c>
      <c r="D446" s="4" t="inlineStr">
        <is>
          <t>Comparative Example 6</t>
        </is>
      </c>
      <c r="E446" s="4" t="inlineStr">
        <is>
          <t>test</t>
        </is>
      </c>
      <c r="F446" s="10" t="n">
        <v>11.3</v>
      </c>
      <c r="G446" s="10" t="n">
        <v>15.62522338270396</v>
      </c>
      <c r="H446" s="10" t="n">
        <v>3.864943855859688</v>
      </c>
      <c r="I446" s="10">
        <f>G446-1.96*H446</f>
        <v/>
      </c>
      <c r="J446" s="10">
        <f>G446+1.96*H446</f>
        <v/>
      </c>
      <c r="K446" s="10">
        <f>G446-F446</f>
        <v/>
      </c>
      <c r="L446" s="4">
        <f>IF(AND(F446&gt;=I446,F446&lt;=J446),1,0)</f>
        <v/>
      </c>
    </row>
    <row r="447">
      <c r="A447" s="4" t="inlineStr">
        <is>
          <t>tensile_MPa</t>
        </is>
      </c>
      <c r="B447" s="4" t="inlineStr">
        <is>
          <t>G025</t>
        </is>
      </c>
      <c r="C447" s="4" t="inlineStr">
        <is>
          <t>US6803402B2</t>
        </is>
      </c>
      <c r="D447" s="4" t="inlineStr">
        <is>
          <t>Example 2</t>
        </is>
      </c>
      <c r="E447" s="4" t="inlineStr">
        <is>
          <t>test</t>
        </is>
      </c>
      <c r="F447" s="10" t="n">
        <v>19.61</v>
      </c>
      <c r="G447" s="10" t="n">
        <v>21.33088577390409</v>
      </c>
      <c r="H447" s="10" t="n">
        <v>2.463029434059619</v>
      </c>
      <c r="I447" s="10">
        <f>G447-1.96*H447</f>
        <v/>
      </c>
      <c r="J447" s="10">
        <f>G447+1.96*H447</f>
        <v/>
      </c>
      <c r="K447" s="10">
        <f>G447-F447</f>
        <v/>
      </c>
      <c r="L447" s="4">
        <f>IF(AND(F447&gt;=I447,F447&lt;=J447),1,0)</f>
        <v/>
      </c>
    </row>
    <row r="448">
      <c r="A448" s="4" t="inlineStr">
        <is>
          <t>tensile_MPa</t>
        </is>
      </c>
      <c r="B448" s="4" t="inlineStr">
        <is>
          <t>G176</t>
        </is>
      </c>
      <c r="C448" s="4" t="inlineStr">
        <is>
          <t>US6191208B1</t>
        </is>
      </c>
      <c r="D448" s="4" t="inlineStr">
        <is>
          <t>Example 2</t>
        </is>
      </c>
      <c r="E448" s="4" t="inlineStr">
        <is>
          <t>test</t>
        </is>
      </c>
      <c r="F448" s="10" t="n">
        <v>15.2</v>
      </c>
      <c r="G448" s="10" t="n">
        <v>16.2669568927717</v>
      </c>
      <c r="H448" s="10" t="n">
        <v>3.113388441379361</v>
      </c>
      <c r="I448" s="10">
        <f>G448-1.96*H448</f>
        <v/>
      </c>
      <c r="J448" s="10">
        <f>G448+1.96*H448</f>
        <v/>
      </c>
      <c r="K448" s="10">
        <f>G448-F448</f>
        <v/>
      </c>
      <c r="L448" s="4">
        <f>IF(AND(F448&gt;=I448,F448&lt;=J448),1,0)</f>
        <v/>
      </c>
    </row>
    <row r="449">
      <c r="A449" s="4" t="inlineStr">
        <is>
          <t>tensile_MPa</t>
        </is>
      </c>
      <c r="B449" s="4" t="inlineStr">
        <is>
          <t>G329</t>
        </is>
      </c>
      <c r="C449" s="4" t="inlineStr">
        <is>
          <t>KR101467101B1</t>
        </is>
      </c>
      <c r="D449" s="4" t="inlineStr">
        <is>
          <t>Comparative Example 1 (Table 3 sample 3)</t>
        </is>
      </c>
      <c r="E449" s="4" t="inlineStr">
        <is>
          <t>test</t>
        </is>
      </c>
      <c r="F449" s="10" t="n">
        <v>9.17</v>
      </c>
      <c r="G449" s="10" t="n">
        <v>11.14659852029064</v>
      </c>
      <c r="H449" s="10" t="n">
        <v>2.743711240041597</v>
      </c>
      <c r="I449" s="10">
        <f>G449-1.96*H449</f>
        <v/>
      </c>
      <c r="J449" s="10">
        <f>G449+1.96*H449</f>
        <v/>
      </c>
      <c r="K449" s="10">
        <f>G449-F449</f>
        <v/>
      </c>
      <c r="L449" s="4">
        <f>IF(AND(F449&gt;=I449,F449&lt;=J449),1,0)</f>
        <v/>
      </c>
    </row>
    <row r="450">
      <c r="A450" s="4" t="inlineStr">
        <is>
          <t>tensile_MPa</t>
        </is>
      </c>
      <c r="B450" s="4" t="inlineStr">
        <is>
          <t>G012</t>
        </is>
      </c>
      <c r="C450" s="4" t="inlineStr">
        <is>
          <t>US7678858B2</t>
        </is>
      </c>
      <c r="D450" s="4" t="inlineStr">
        <is>
          <t>Example 11</t>
        </is>
      </c>
      <c r="E450" s="4" t="inlineStr">
        <is>
          <t>test</t>
        </is>
      </c>
      <c r="F450" s="10" t="n">
        <v>19.71</v>
      </c>
      <c r="G450" s="10" t="n">
        <v>21.7597973107444</v>
      </c>
      <c r="H450" s="10" t="n">
        <v>3.477912706715628</v>
      </c>
      <c r="I450" s="10">
        <f>G450-1.96*H450</f>
        <v/>
      </c>
      <c r="J450" s="10">
        <f>G450+1.96*H450</f>
        <v/>
      </c>
      <c r="K450" s="10">
        <f>G450-F450</f>
        <v/>
      </c>
      <c r="L450" s="4">
        <f>IF(AND(F450&gt;=I450,F450&lt;=J450),1,0)</f>
        <v/>
      </c>
    </row>
    <row r="451">
      <c r="A451" s="4" t="inlineStr">
        <is>
          <t>tensile_MPa</t>
        </is>
      </c>
      <c r="B451" s="4" t="inlineStr">
        <is>
          <t>G153</t>
        </is>
      </c>
      <c r="C451" s="4" t="inlineStr">
        <is>
          <t>US7247749B2</t>
        </is>
      </c>
      <c r="D451" s="4" t="inlineStr">
        <is>
          <t>Sample 33</t>
        </is>
      </c>
      <c r="E451" s="4" t="inlineStr">
        <is>
          <t>test</t>
        </is>
      </c>
      <c r="F451" s="10" t="n">
        <v>16.38</v>
      </c>
      <c r="G451" s="10" t="n">
        <v>17.20055424014922</v>
      </c>
      <c r="H451" s="10" t="n">
        <v>3.478521805262647</v>
      </c>
      <c r="I451" s="10">
        <f>G451-1.96*H451</f>
        <v/>
      </c>
      <c r="J451" s="10">
        <f>G451+1.96*H451</f>
        <v/>
      </c>
      <c r="K451" s="10">
        <f>G451-F451</f>
        <v/>
      </c>
      <c r="L451" s="4">
        <f>IF(AND(F451&gt;=I451,F451&lt;=J451),1,0)</f>
        <v/>
      </c>
    </row>
    <row r="452">
      <c r="A452" s="4" t="inlineStr">
        <is>
          <t>tensile_MPa</t>
        </is>
      </c>
      <c r="B452" s="4" t="inlineStr">
        <is>
          <t>G071</t>
        </is>
      </c>
      <c r="C452" s="4" t="inlineStr">
        <is>
          <t>US11072700B2</t>
        </is>
      </c>
      <c r="D452" s="4" t="inlineStr">
        <is>
          <t>Comparative Example 2</t>
        </is>
      </c>
      <c r="E452" s="4" t="inlineStr">
        <is>
          <t>test</t>
        </is>
      </c>
      <c r="F452" s="10" t="n">
        <v>10.4</v>
      </c>
      <c r="G452" s="10" t="n">
        <v>8.316236724074633</v>
      </c>
      <c r="H452" s="10" t="n">
        <v>2.448061006325894</v>
      </c>
      <c r="I452" s="10">
        <f>G452-1.96*H452</f>
        <v/>
      </c>
      <c r="J452" s="10">
        <f>G452+1.96*H452</f>
        <v/>
      </c>
      <c r="K452" s="10">
        <f>G452-F452</f>
        <v/>
      </c>
      <c r="L452" s="4">
        <f>IF(AND(F452&gt;=I452,F452&lt;=J452),1,0)</f>
        <v/>
      </c>
    </row>
    <row r="453">
      <c r="A453" s="4" t="inlineStr">
        <is>
          <t>tensile_MPa</t>
        </is>
      </c>
      <c r="B453" s="4" t="inlineStr">
        <is>
          <t>G269</t>
        </is>
      </c>
      <c r="C453" s="4" t="inlineStr">
        <is>
          <t>US20230174763A1</t>
        </is>
      </c>
      <c r="D453" s="4" t="inlineStr">
        <is>
          <t>Comparative Example 5</t>
        </is>
      </c>
      <c r="E453" s="4" t="inlineStr">
        <is>
          <t>test</t>
        </is>
      </c>
      <c r="F453" s="10" t="n">
        <v>15.1</v>
      </c>
      <c r="G453" s="10" t="n">
        <v>21.84276731647267</v>
      </c>
      <c r="H453" s="10" t="n">
        <v>2.635599130571501</v>
      </c>
      <c r="I453" s="10">
        <f>G453-1.96*H453</f>
        <v/>
      </c>
      <c r="J453" s="10">
        <f>G453+1.96*H453</f>
        <v/>
      </c>
      <c r="K453" s="10">
        <f>G453-F453</f>
        <v/>
      </c>
      <c r="L453" s="4">
        <f>IF(AND(F453&gt;=I453,F453&lt;=J453),1,0)</f>
        <v/>
      </c>
    </row>
    <row r="454">
      <c r="A454" s="4" t="inlineStr">
        <is>
          <t>tensile_MPa</t>
        </is>
      </c>
      <c r="B454" s="4" t="inlineStr">
        <is>
          <t>G029</t>
        </is>
      </c>
      <c r="C454" s="4" t="inlineStr">
        <is>
          <t>US8173727B2</t>
        </is>
      </c>
      <c r="D454" s="4" t="inlineStr">
        <is>
          <t>Example 1</t>
        </is>
      </c>
      <c r="E454" s="4" t="inlineStr">
        <is>
          <t>test</t>
        </is>
      </c>
      <c r="F454" s="10" t="n">
        <v>15.69</v>
      </c>
      <c r="G454" s="10" t="n">
        <v>15.82735189131106</v>
      </c>
      <c r="H454" s="10" t="n">
        <v>2.251544151323636</v>
      </c>
      <c r="I454" s="10">
        <f>G454-1.96*H454</f>
        <v/>
      </c>
      <c r="J454" s="10">
        <f>G454+1.96*H454</f>
        <v/>
      </c>
      <c r="K454" s="10">
        <f>G454-F454</f>
        <v/>
      </c>
      <c r="L454" s="4">
        <f>IF(AND(F454&gt;=I454,F454&lt;=J454),1,0)</f>
        <v/>
      </c>
    </row>
    <row r="455">
      <c r="A455" s="4" t="inlineStr">
        <is>
          <t>tensile_MPa</t>
        </is>
      </c>
      <c r="B455" s="4" t="inlineStr">
        <is>
          <t>G142</t>
        </is>
      </c>
      <c r="C455" s="4" t="inlineStr">
        <is>
          <t>US7247749B2</t>
        </is>
      </c>
      <c r="D455" s="4" t="inlineStr">
        <is>
          <t>Sample 18</t>
        </is>
      </c>
      <c r="E455" s="4" t="inlineStr">
        <is>
          <t>test</t>
        </is>
      </c>
      <c r="F455" s="10" t="n">
        <v>8.890000000000001</v>
      </c>
      <c r="G455" s="10" t="n">
        <v>10.60684670314458</v>
      </c>
      <c r="H455" s="10" t="n">
        <v>2.862357153494844</v>
      </c>
      <c r="I455" s="10">
        <f>G455-1.96*H455</f>
        <v/>
      </c>
      <c r="J455" s="10">
        <f>G455+1.96*H455</f>
        <v/>
      </c>
      <c r="K455" s="10">
        <f>G455-F455</f>
        <v/>
      </c>
      <c r="L455" s="4">
        <f>IF(AND(F455&gt;=I455,F455&lt;=J455),1,0)</f>
        <v/>
      </c>
    </row>
    <row r="456">
      <c r="A456" s="4" t="inlineStr">
        <is>
          <t>tensile_MPa</t>
        </is>
      </c>
      <c r="B456" s="4" t="inlineStr">
        <is>
          <t>G320</t>
        </is>
      </c>
      <c r="C456" s="4" t="inlineStr">
        <is>
          <t>KR101467101B1</t>
        </is>
      </c>
      <c r="D456" s="4" t="inlineStr">
        <is>
          <t>Table 1 compound FFKM A</t>
        </is>
      </c>
      <c r="E456" s="4" t="inlineStr">
        <is>
          <t>test</t>
        </is>
      </c>
      <c r="F456" s="10" t="n">
        <v>11.65</v>
      </c>
      <c r="G456" s="10" t="n">
        <v>10.13760089012334</v>
      </c>
      <c r="H456" s="10" t="n">
        <v>2.415061165569617</v>
      </c>
      <c r="I456" s="10">
        <f>G456-1.96*H456</f>
        <v/>
      </c>
      <c r="J456" s="10">
        <f>G456+1.96*H456</f>
        <v/>
      </c>
      <c r="K456" s="10">
        <f>G456-F456</f>
        <v/>
      </c>
      <c r="L456" s="4">
        <f>IF(AND(F456&gt;=I456,F456&lt;=J456),1,0)</f>
        <v/>
      </c>
    </row>
    <row r="457">
      <c r="A457" s="4" t="inlineStr">
        <is>
          <t>tensile_MPa</t>
        </is>
      </c>
      <c r="B457" s="4" t="inlineStr">
        <is>
          <t>G032</t>
        </is>
      </c>
      <c r="C457" s="4" t="inlineStr">
        <is>
          <t>US8173727B2</t>
        </is>
      </c>
      <c r="D457" s="4" t="inlineStr">
        <is>
          <t>Example 4</t>
        </is>
      </c>
      <c r="E457" s="4" t="inlineStr">
        <is>
          <t>test</t>
        </is>
      </c>
      <c r="F457" s="10" t="n">
        <v>19.12</v>
      </c>
      <c r="G457" s="10" t="n">
        <v>15.82735189131106</v>
      </c>
      <c r="H457" s="10" t="n">
        <v>2.251544151323636</v>
      </c>
      <c r="I457" s="10">
        <f>G457-1.96*H457</f>
        <v/>
      </c>
      <c r="J457" s="10">
        <f>G457+1.96*H457</f>
        <v/>
      </c>
      <c r="K457" s="10">
        <f>G457-F457</f>
        <v/>
      </c>
      <c r="L457" s="4">
        <f>IF(AND(F457&gt;=I457,F457&lt;=J457),1,0)</f>
        <v/>
      </c>
    </row>
    <row r="458">
      <c r="A458" s="4" t="inlineStr">
        <is>
          <t>tensile_MPa</t>
        </is>
      </c>
      <c r="B458" s="4" t="inlineStr">
        <is>
          <t>G132</t>
        </is>
      </c>
      <c r="C458" s="4" t="inlineStr">
        <is>
          <t>US7247749B2</t>
        </is>
      </c>
      <c r="D458" s="4" t="inlineStr">
        <is>
          <t>Sample 8</t>
        </is>
      </c>
      <c r="E458" s="4" t="inlineStr">
        <is>
          <t>test</t>
        </is>
      </c>
      <c r="F458" s="10" t="n">
        <v>12.94</v>
      </c>
      <c r="G458" s="10" t="n">
        <v>12.99997999574992</v>
      </c>
      <c r="H458" s="10" t="n">
        <v>3.392890136553019</v>
      </c>
      <c r="I458" s="10">
        <f>G458-1.96*H458</f>
        <v/>
      </c>
      <c r="J458" s="10">
        <f>G458+1.96*H458</f>
        <v/>
      </c>
      <c r="K458" s="10">
        <f>G458-F458</f>
        <v/>
      </c>
      <c r="L458" s="4">
        <f>IF(AND(F458&gt;=I458,F458&lt;=J458),1,0)</f>
        <v/>
      </c>
    </row>
    <row r="459">
      <c r="A459" s="4" t="inlineStr">
        <is>
          <t>tensile_MPa</t>
        </is>
      </c>
      <c r="B459" s="4" t="inlineStr">
        <is>
          <t>G048</t>
        </is>
      </c>
      <c r="C459" s="4" t="inlineStr">
        <is>
          <t>US8211964B2</t>
        </is>
      </c>
      <c r="D459" s="4" t="inlineStr">
        <is>
          <t>Comparative Example 1</t>
        </is>
      </c>
      <c r="E459" s="4" t="inlineStr">
        <is>
          <t>test</t>
        </is>
      </c>
      <c r="F459" s="10" t="n">
        <v>12.85</v>
      </c>
      <c r="G459" s="10" t="n">
        <v>13.2049111850602</v>
      </c>
      <c r="H459" s="10" t="n">
        <v>2.933287888673298</v>
      </c>
      <c r="I459" s="10">
        <f>G459-1.96*H459</f>
        <v/>
      </c>
      <c r="J459" s="10">
        <f>G459+1.96*H459</f>
        <v/>
      </c>
      <c r="K459" s="10">
        <f>G459-F459</f>
        <v/>
      </c>
      <c r="L459" s="4">
        <f>IF(AND(F459&gt;=I459,F459&lt;=J459),1,0)</f>
        <v/>
      </c>
    </row>
    <row r="460">
      <c r="A460" s="4" t="inlineStr">
        <is>
          <t>tensile_MPa</t>
        </is>
      </c>
      <c r="B460" s="4" t="inlineStr">
        <is>
          <t>G094</t>
        </is>
      </c>
      <c r="C460" s="4" t="inlineStr">
        <is>
          <t>US8367776B2</t>
        </is>
      </c>
      <c r="D460" s="4" t="inlineStr">
        <is>
          <t>Example 12</t>
        </is>
      </c>
      <c r="E460" s="4" t="inlineStr">
        <is>
          <t>test</t>
        </is>
      </c>
      <c r="F460" s="10" t="n">
        <v>6.16</v>
      </c>
      <c r="G460" s="10" t="n">
        <v>7.587958836531929</v>
      </c>
      <c r="H460" s="10" t="n">
        <v>2.275295462738053</v>
      </c>
      <c r="I460" s="10">
        <f>G460-1.96*H460</f>
        <v/>
      </c>
      <c r="J460" s="10">
        <f>G460+1.96*H460</f>
        <v/>
      </c>
      <c r="K460" s="10">
        <f>G460-F460</f>
        <v/>
      </c>
      <c r="L460" s="4">
        <f>IF(AND(F460&gt;=I460,F460&lt;=J460),1,0)</f>
        <v/>
      </c>
    </row>
    <row r="461">
      <c r="A461" s="4" t="inlineStr">
        <is>
          <t>tensile_MPa</t>
        </is>
      </c>
      <c r="B461" s="4" t="inlineStr">
        <is>
          <t>G276</t>
        </is>
      </c>
      <c r="C461" s="4" t="inlineStr">
        <is>
          <t>US20230174763A1</t>
        </is>
      </c>
      <c r="D461" s="4" t="inlineStr">
        <is>
          <t>Comparative Example 14</t>
        </is>
      </c>
      <c r="E461" s="4" t="inlineStr">
        <is>
          <t>test</t>
        </is>
      </c>
      <c r="F461" s="10" t="n">
        <v>15.1</v>
      </c>
      <c r="G461" s="10" t="n">
        <v>11.12266873644426</v>
      </c>
      <c r="H461" s="10" t="n">
        <v>4.497394393474229</v>
      </c>
      <c r="I461" s="10">
        <f>G461-1.96*H461</f>
        <v/>
      </c>
      <c r="J461" s="10">
        <f>G461+1.96*H461</f>
        <v/>
      </c>
      <c r="K461" s="10">
        <f>G461-F461</f>
        <v/>
      </c>
      <c r="L461" s="4">
        <f>IF(AND(F461&gt;=I461,F461&lt;=J461),1,0)</f>
        <v/>
      </c>
    </row>
    <row r="462">
      <c r="A462" s="4" t="inlineStr">
        <is>
          <t>tensile_MPa</t>
        </is>
      </c>
      <c r="B462" s="4" t="inlineStr">
        <is>
          <t>G006</t>
        </is>
      </c>
      <c r="C462" s="4" t="inlineStr">
        <is>
          <t>US7678858B2</t>
        </is>
      </c>
      <c r="D462" s="4" t="inlineStr">
        <is>
          <t>Example 6</t>
        </is>
      </c>
      <c r="E462" s="4" t="inlineStr">
        <is>
          <t>test</t>
        </is>
      </c>
      <c r="F462" s="10" t="n">
        <v>23.63</v>
      </c>
      <c r="G462" s="10" t="n">
        <v>22.43873932419915</v>
      </c>
      <c r="H462" s="10" t="n">
        <v>2.228586571179058</v>
      </c>
      <c r="I462" s="10">
        <f>G462-1.96*H462</f>
        <v/>
      </c>
      <c r="J462" s="10">
        <f>G462+1.96*H462</f>
        <v/>
      </c>
      <c r="K462" s="10">
        <f>G462-F462</f>
        <v/>
      </c>
      <c r="L462" s="4">
        <f>IF(AND(F462&gt;=I462,F462&lt;=J462),1,0)</f>
        <v/>
      </c>
    </row>
    <row r="463">
      <c r="A463" s="4" t="inlineStr">
        <is>
          <t>tensile_MPa</t>
        </is>
      </c>
      <c r="B463" s="4" t="inlineStr">
        <is>
          <t>G137</t>
        </is>
      </c>
      <c r="C463" s="4" t="inlineStr">
        <is>
          <t>US7247749B2</t>
        </is>
      </c>
      <c r="D463" s="4" t="inlineStr">
        <is>
          <t>Sample 13</t>
        </is>
      </c>
      <c r="E463" s="4" t="inlineStr">
        <is>
          <t>test</t>
        </is>
      </c>
      <c r="F463" s="10" t="n">
        <v>8.56</v>
      </c>
      <c r="G463" s="10" t="n">
        <v>9.507035114081145</v>
      </c>
      <c r="H463" s="10" t="n">
        <v>2.946519836787392</v>
      </c>
      <c r="I463" s="10">
        <f>G463-1.96*H463</f>
        <v/>
      </c>
      <c r="J463" s="10">
        <f>G463+1.96*H463</f>
        <v/>
      </c>
      <c r="K463" s="10">
        <f>G463-F463</f>
        <v/>
      </c>
      <c r="L463" s="4">
        <f>IF(AND(F463&gt;=I463,F463&lt;=J463),1,0)</f>
        <v/>
      </c>
    </row>
    <row r="464">
      <c r="A464" s="4" t="inlineStr">
        <is>
          <t>tensile_MPa</t>
        </is>
      </c>
      <c r="B464" s="4" t="inlineStr">
        <is>
          <t>G117</t>
        </is>
      </c>
      <c r="C464" s="4" t="inlineStr">
        <is>
          <t>US5696189A</t>
        </is>
      </c>
      <c r="D464" s="4" t="inlineStr">
        <is>
          <t>Comparative Example B</t>
        </is>
      </c>
      <c r="E464" s="4" t="inlineStr">
        <is>
          <t>test</t>
        </is>
      </c>
      <c r="F464" s="10" t="n">
        <v>10.34</v>
      </c>
      <c r="G464" s="10" t="n">
        <v>13.32430047762021</v>
      </c>
      <c r="H464" s="10" t="n">
        <v>4.661483284864899</v>
      </c>
      <c r="I464" s="10">
        <f>G464-1.96*H464</f>
        <v/>
      </c>
      <c r="J464" s="10">
        <f>G464+1.96*H464</f>
        <v/>
      </c>
      <c r="K464" s="10">
        <f>G464-F464</f>
        <v/>
      </c>
      <c r="L464" s="4">
        <f>IF(AND(F464&gt;=I464,F464&lt;=J464),1,0)</f>
        <v/>
      </c>
    </row>
    <row r="465">
      <c r="A465" s="4" t="inlineStr">
        <is>
          <t>tensile_MPa</t>
        </is>
      </c>
      <c r="B465" s="4" t="inlineStr">
        <is>
          <t>G298</t>
        </is>
      </c>
      <c r="C465" s="4" t="inlineStr">
        <is>
          <t>EP4249550A1</t>
        </is>
      </c>
      <c r="D465" s="4" t="inlineStr">
        <is>
          <t>Example 10</t>
        </is>
      </c>
      <c r="E465" s="4" t="inlineStr">
        <is>
          <t>test</t>
        </is>
      </c>
      <c r="F465" s="10" t="n">
        <v>17.1</v>
      </c>
      <c r="G465" s="10" t="n">
        <v>13.06486192098479</v>
      </c>
      <c r="H465" s="10" t="n">
        <v>2.505805470865087</v>
      </c>
      <c r="I465" s="10">
        <f>G465-1.96*H465</f>
        <v/>
      </c>
      <c r="J465" s="10">
        <f>G465+1.96*H465</f>
        <v/>
      </c>
      <c r="K465" s="10">
        <f>G465-F465</f>
        <v/>
      </c>
      <c r="L465" s="4">
        <f>IF(AND(F465&gt;=I465,F465&lt;=J465),1,0)</f>
        <v/>
      </c>
    </row>
    <row r="466">
      <c r="A466" s="4" t="inlineStr">
        <is>
          <t>tensile_MPa</t>
        </is>
      </c>
      <c r="B466" s="4" t="inlineStr">
        <is>
          <t>G111</t>
        </is>
      </c>
      <c r="C466" s="4" t="inlineStr">
        <is>
          <t>US6992143B2</t>
        </is>
      </c>
      <c r="D466" s="4" t="inlineStr">
        <is>
          <t>Example 2</t>
        </is>
      </c>
      <c r="E466" s="4" t="inlineStr">
        <is>
          <t>test</t>
        </is>
      </c>
      <c r="F466" s="10" t="n">
        <v>13.5</v>
      </c>
      <c r="G466" s="10" t="n">
        <v>11.79171030240069</v>
      </c>
      <c r="H466" s="10" t="n">
        <v>2.409885981344096</v>
      </c>
      <c r="I466" s="10">
        <f>G466-1.96*H466</f>
        <v/>
      </c>
      <c r="J466" s="10">
        <f>G466+1.96*H466</f>
        <v/>
      </c>
      <c r="K466" s="10">
        <f>G466-F466</f>
        <v/>
      </c>
      <c r="L466" s="4">
        <f>IF(AND(F466&gt;=I466,F466&lt;=J466),1,0)</f>
        <v/>
      </c>
    </row>
    <row r="467">
      <c r="A467" s="4" t="inlineStr">
        <is>
          <t>tensile_MPa</t>
        </is>
      </c>
      <c r="B467" s="4" t="inlineStr">
        <is>
          <t>G301</t>
        </is>
      </c>
      <c r="C467" s="4" t="inlineStr">
        <is>
          <t>EP4249550A1</t>
        </is>
      </c>
      <c r="D467" s="4" t="inlineStr">
        <is>
          <t>Example 13</t>
        </is>
      </c>
      <c r="E467" s="4" t="inlineStr">
        <is>
          <t>test</t>
        </is>
      </c>
      <c r="F467" s="10" t="n">
        <v>9.6</v>
      </c>
      <c r="G467" s="10" t="n">
        <v>13.06486192098479</v>
      </c>
      <c r="H467" s="10" t="n">
        <v>2.505805470865087</v>
      </c>
      <c r="I467" s="10">
        <f>G467-1.96*H467</f>
        <v/>
      </c>
      <c r="J467" s="10">
        <f>G467+1.96*H467</f>
        <v/>
      </c>
      <c r="K467" s="10">
        <f>G467-F467</f>
        <v/>
      </c>
      <c r="L467" s="4">
        <f>IF(AND(F467&gt;=I467,F467&lt;=J467),1,0)</f>
        <v/>
      </c>
    </row>
    <row r="468">
      <c r="A468" s="4" t="inlineStr">
        <is>
          <t>tensile_MPa</t>
        </is>
      </c>
      <c r="B468" s="4" t="inlineStr">
        <is>
          <t>G245</t>
        </is>
      </c>
      <c r="C468" s="4" t="inlineStr">
        <is>
          <t>US12584054B2</t>
        </is>
      </c>
      <c r="D468" s="4" t="inlineStr">
        <is>
          <t>Example 2</t>
        </is>
      </c>
      <c r="E468" s="4" t="inlineStr">
        <is>
          <t>test</t>
        </is>
      </c>
      <c r="F468" s="10" t="n">
        <v>15</v>
      </c>
      <c r="G468" s="10" t="n">
        <v>15.10454807400911</v>
      </c>
      <c r="H468" s="10" t="n">
        <v>2.37773881028703</v>
      </c>
      <c r="I468" s="10">
        <f>G468-1.96*H468</f>
        <v/>
      </c>
      <c r="J468" s="10">
        <f>G468+1.96*H468</f>
        <v/>
      </c>
      <c r="K468" s="10">
        <f>G468-F468</f>
        <v/>
      </c>
      <c r="L468" s="4">
        <f>IF(AND(F468&gt;=I468,F468&lt;=J468),1,0)</f>
        <v/>
      </c>
    </row>
    <row r="469">
      <c r="A469" s="4" t="inlineStr">
        <is>
          <t>tensile_MPa</t>
        </is>
      </c>
      <c r="B469" s="4" t="inlineStr">
        <is>
          <t>G155</t>
        </is>
      </c>
      <c r="C469" s="4" t="inlineStr">
        <is>
          <t>US7402630B2</t>
        </is>
      </c>
      <c r="D469" s="4" t="inlineStr">
        <is>
          <t>Example 7</t>
        </is>
      </c>
      <c r="E469" s="4" t="inlineStr">
        <is>
          <t>test</t>
        </is>
      </c>
      <c r="F469" s="10" t="n">
        <v>12.93</v>
      </c>
      <c r="G469" s="10" t="n">
        <v>14.55701722507094</v>
      </c>
      <c r="H469" s="10" t="n">
        <v>2.781404353048522</v>
      </c>
      <c r="I469" s="10">
        <f>G469-1.96*H469</f>
        <v/>
      </c>
      <c r="J469" s="10">
        <f>G469+1.96*H469</f>
        <v/>
      </c>
      <c r="K469" s="10">
        <f>G469-F469</f>
        <v/>
      </c>
      <c r="L469" s="4">
        <f>IF(AND(F469&gt;=I469,F469&lt;=J469),1,0)</f>
        <v/>
      </c>
    </row>
    <row r="470">
      <c r="A470" s="4" t="inlineStr">
        <is>
          <t>tensile_MPa</t>
        </is>
      </c>
      <c r="B470" s="4" t="inlineStr">
        <is>
          <t>G259</t>
        </is>
      </c>
      <c r="C470" s="4" t="inlineStr">
        <is>
          <t>US12584054B2</t>
        </is>
      </c>
      <c r="D470" s="4" t="inlineStr">
        <is>
          <t>Example 6</t>
        </is>
      </c>
      <c r="E470" s="4" t="inlineStr">
        <is>
          <t>test</t>
        </is>
      </c>
      <c r="F470" s="10" t="n">
        <v>21.5</v>
      </c>
      <c r="G470" s="10" t="n">
        <v>19.76778721011942</v>
      </c>
      <c r="H470" s="10" t="n">
        <v>3.637177213878255</v>
      </c>
      <c r="I470" s="10">
        <f>G470-1.96*H470</f>
        <v/>
      </c>
      <c r="J470" s="10">
        <f>G470+1.96*H470</f>
        <v/>
      </c>
      <c r="K470" s="10">
        <f>G470-F470</f>
        <v/>
      </c>
      <c r="L470" s="4">
        <f>IF(AND(F470&gt;=I470,F470&lt;=J470),1,0)</f>
        <v/>
      </c>
    </row>
    <row r="471">
      <c r="A471" s="4" t="inlineStr">
        <is>
          <t>tensile_MPa</t>
        </is>
      </c>
      <c r="B471" s="4" t="inlineStr">
        <is>
          <t>G296</t>
        </is>
      </c>
      <c r="C471" s="4" t="inlineStr">
        <is>
          <t>EP4249550A1</t>
        </is>
      </c>
      <c r="D471" s="4" t="inlineStr">
        <is>
          <t>Example 7</t>
        </is>
      </c>
      <c r="E471" s="4" t="inlineStr">
        <is>
          <t>test</t>
        </is>
      </c>
      <c r="F471" s="10" t="n">
        <v>17.5</v>
      </c>
      <c r="G471" s="10" t="n">
        <v>17.8240042599949</v>
      </c>
      <c r="H471" s="10" t="n">
        <v>2.658123959048132</v>
      </c>
      <c r="I471" s="10">
        <f>G471-1.96*H471</f>
        <v/>
      </c>
      <c r="J471" s="10">
        <f>G471+1.96*H471</f>
        <v/>
      </c>
      <c r="K471" s="10">
        <f>G471-F471</f>
        <v/>
      </c>
      <c r="L471" s="4">
        <f>IF(AND(F471&gt;=I471,F471&lt;=J471),1,0)</f>
        <v/>
      </c>
    </row>
    <row r="472">
      <c r="A472" s="4" t="inlineStr">
        <is>
          <t>tensile_MPa</t>
        </is>
      </c>
      <c r="B472" s="4" t="inlineStr">
        <is>
          <t>G068</t>
        </is>
      </c>
      <c r="C472" s="4" t="inlineStr">
        <is>
          <t>US11072700B2</t>
        </is>
      </c>
      <c r="D472" s="4" t="inlineStr">
        <is>
          <t>Example 1</t>
        </is>
      </c>
      <c r="E472" s="4" t="inlineStr">
        <is>
          <t>test</t>
        </is>
      </c>
      <c r="F472" s="10" t="n">
        <v>14.5</v>
      </c>
      <c r="G472" s="10" t="n">
        <v>9.786515549722932</v>
      </c>
      <c r="H472" s="10" t="n">
        <v>3.091881838728311</v>
      </c>
      <c r="I472" s="10">
        <f>G472-1.96*H472</f>
        <v/>
      </c>
      <c r="J472" s="10">
        <f>G472+1.96*H472</f>
        <v/>
      </c>
      <c r="K472" s="10">
        <f>G472-F472</f>
        <v/>
      </c>
      <c r="L472" s="4">
        <f>IF(AND(F472&gt;=I472,F472&lt;=J472),1,0)</f>
        <v/>
      </c>
    </row>
    <row r="473">
      <c r="A473" s="4" t="inlineStr">
        <is>
          <t>tensile_MPa</t>
        </is>
      </c>
      <c r="B473" s="4" t="inlineStr">
        <is>
          <t>G297</t>
        </is>
      </c>
      <c r="C473" s="4" t="inlineStr">
        <is>
          <t>EP4249550A1</t>
        </is>
      </c>
      <c r="D473" s="4" t="inlineStr">
        <is>
          <t>Example 8</t>
        </is>
      </c>
      <c r="E473" s="4" t="inlineStr">
        <is>
          <t>test</t>
        </is>
      </c>
      <c r="F473" s="10" t="n">
        <v>17.4</v>
      </c>
      <c r="G473" s="10" t="n">
        <v>16.59218049624225</v>
      </c>
      <c r="H473" s="10" t="n">
        <v>3.274226808070105</v>
      </c>
      <c r="I473" s="10">
        <f>G473-1.96*H473</f>
        <v/>
      </c>
      <c r="J473" s="10">
        <f>G473+1.96*H473</f>
        <v/>
      </c>
      <c r="K473" s="10">
        <f>G473-F473</f>
        <v/>
      </c>
      <c r="L473" s="4">
        <f>IF(AND(F473&gt;=I473,F473&lt;=J473),1,0)</f>
        <v/>
      </c>
    </row>
    <row r="474">
      <c r="A474" s="4" t="inlineStr">
        <is>
          <t>tensile_MPa</t>
        </is>
      </c>
      <c r="B474" s="4" t="inlineStr">
        <is>
          <t>G197</t>
        </is>
      </c>
      <c r="C474" s="4" t="inlineStr">
        <is>
          <t>US20160319102A1</t>
        </is>
      </c>
      <c r="D474" s="4" t="inlineStr">
        <is>
          <t>Comparative Example 2</t>
        </is>
      </c>
      <c r="E474" s="4" t="inlineStr">
        <is>
          <t>test</t>
        </is>
      </c>
      <c r="F474" s="10" t="n">
        <v>20</v>
      </c>
      <c r="G474" s="10" t="n">
        <v>15.44530806432836</v>
      </c>
      <c r="H474" s="10" t="n">
        <v>2.72339690552695</v>
      </c>
      <c r="I474" s="10">
        <f>G474-1.96*H474</f>
        <v/>
      </c>
      <c r="J474" s="10">
        <f>G474+1.96*H474</f>
        <v/>
      </c>
      <c r="K474" s="10">
        <f>G474-F474</f>
        <v/>
      </c>
      <c r="L474" s="4">
        <f>IF(AND(F474&gt;=I474,F474&lt;=J474),1,0)</f>
        <v/>
      </c>
    </row>
    <row r="475">
      <c r="A475" s="4" t="inlineStr">
        <is>
          <t>tensile_MPa</t>
        </is>
      </c>
      <c r="B475" s="4" t="inlineStr">
        <is>
          <t>G075</t>
        </is>
      </c>
      <c r="C475" s="4" t="inlineStr">
        <is>
          <t>US12091537B2</t>
        </is>
      </c>
      <c r="D475" s="4" t="inlineStr">
        <is>
          <t>Example 2</t>
        </is>
      </c>
      <c r="E475" s="4" t="inlineStr">
        <is>
          <t>test</t>
        </is>
      </c>
      <c r="F475" s="10" t="n">
        <v>19.1</v>
      </c>
      <c r="G475" s="10" t="n">
        <v>18.63381579279162</v>
      </c>
      <c r="H475" s="10" t="n">
        <v>2.258758016227913</v>
      </c>
      <c r="I475" s="10">
        <f>G475-1.96*H475</f>
        <v/>
      </c>
      <c r="J475" s="10">
        <f>G475+1.96*H475</f>
        <v/>
      </c>
      <c r="K475" s="10">
        <f>G475-F475</f>
        <v/>
      </c>
      <c r="L475" s="4">
        <f>IF(AND(F475&gt;=I475,F475&lt;=J475),1,0)</f>
        <v/>
      </c>
    </row>
    <row r="476">
      <c r="A476" s="4" t="inlineStr">
        <is>
          <t>tensile_MPa</t>
        </is>
      </c>
      <c r="B476" s="4" t="inlineStr">
        <is>
          <t>G168</t>
        </is>
      </c>
      <c r="C476" s="4" t="inlineStr">
        <is>
          <t>US20050107544A1</t>
        </is>
      </c>
      <c r="D476" s="4" t="inlineStr">
        <is>
          <t>Sample 5</t>
        </is>
      </c>
      <c r="E476" s="4" t="inlineStr">
        <is>
          <t>test</t>
        </is>
      </c>
      <c r="F476" s="10" t="n">
        <v>9.6</v>
      </c>
      <c r="G476" s="10" t="n">
        <v>10.08012823676393</v>
      </c>
      <c r="H476" s="10" t="n">
        <v>4.357733950417326</v>
      </c>
      <c r="I476" s="10">
        <f>G476-1.96*H476</f>
        <v/>
      </c>
      <c r="J476" s="10">
        <f>G476+1.96*H476</f>
        <v/>
      </c>
      <c r="K476" s="10">
        <f>G476-F476</f>
        <v/>
      </c>
      <c r="L476" s="4">
        <f>IF(AND(F476&gt;=I476,F476&lt;=J476),1,0)</f>
        <v/>
      </c>
    </row>
    <row r="477">
      <c r="A477" s="4" t="inlineStr">
        <is>
          <t>tensile_MPa</t>
        </is>
      </c>
      <c r="B477" s="4" t="inlineStr">
        <is>
          <t>G123</t>
        </is>
      </c>
      <c r="C477" s="4" t="inlineStr">
        <is>
          <t>US5696189A</t>
        </is>
      </c>
      <c r="D477" s="4" t="inlineStr">
        <is>
          <t>Example 6</t>
        </is>
      </c>
      <c r="E477" s="4" t="inlineStr">
        <is>
          <t>test</t>
        </is>
      </c>
      <c r="F477" s="10" t="n">
        <v>14.3</v>
      </c>
      <c r="G477" s="10" t="n">
        <v>16.11047783408275</v>
      </c>
      <c r="H477" s="10" t="n">
        <v>4.57370479368166</v>
      </c>
      <c r="I477" s="10">
        <f>G477-1.96*H477</f>
        <v/>
      </c>
      <c r="J477" s="10">
        <f>G477+1.96*H477</f>
        <v/>
      </c>
      <c r="K477" s="10">
        <f>G477-F477</f>
        <v/>
      </c>
      <c r="L477" s="4">
        <f>IF(AND(F477&gt;=I477,F477&lt;=J477),1,0)</f>
        <v/>
      </c>
    </row>
    <row r="478">
      <c r="A478" s="4" t="inlineStr">
        <is>
          <t>tensile_MPa</t>
        </is>
      </c>
      <c r="B478" s="4" t="inlineStr">
        <is>
          <t>G083</t>
        </is>
      </c>
      <c r="C478" s="4" t="inlineStr">
        <is>
          <t>US8367776B2</t>
        </is>
      </c>
      <c r="D478" s="4" t="inlineStr">
        <is>
          <t>Example 3</t>
        </is>
      </c>
      <c r="E478" s="4" t="inlineStr">
        <is>
          <t>test</t>
        </is>
      </c>
      <c r="F478" s="10" t="n">
        <v>16</v>
      </c>
      <c r="G478" s="10" t="n">
        <v>7.986500800576963</v>
      </c>
      <c r="H478" s="10" t="n">
        <v>2.374066026754463</v>
      </c>
      <c r="I478" s="10">
        <f>G478-1.96*H478</f>
        <v/>
      </c>
      <c r="J478" s="10">
        <f>G478+1.96*H478</f>
        <v/>
      </c>
      <c r="K478" s="10">
        <f>G478-F478</f>
        <v/>
      </c>
      <c r="L478" s="4">
        <f>IF(AND(F478&gt;=I478,F478&lt;=J478),1,0)</f>
        <v/>
      </c>
    </row>
    <row r="479">
      <c r="A479" s="4" t="inlineStr">
        <is>
          <t>tensile_MPa</t>
        </is>
      </c>
      <c r="B479" s="4" t="inlineStr">
        <is>
          <t>G002</t>
        </is>
      </c>
      <c r="C479" s="4" t="inlineStr">
        <is>
          <t>US7678858B2</t>
        </is>
      </c>
      <c r="D479" s="4" t="inlineStr">
        <is>
          <t>Example 2</t>
        </is>
      </c>
      <c r="E479" s="4" t="inlineStr">
        <is>
          <t>test</t>
        </is>
      </c>
      <c r="F479" s="10" t="n">
        <v>26.18</v>
      </c>
      <c r="G479" s="10" t="n">
        <v>22.43873932419915</v>
      </c>
      <c r="H479" s="10" t="n">
        <v>2.228586571179058</v>
      </c>
      <c r="I479" s="10">
        <f>G479-1.96*H479</f>
        <v/>
      </c>
      <c r="J479" s="10">
        <f>G479+1.96*H479</f>
        <v/>
      </c>
      <c r="K479" s="10">
        <f>G479-F479</f>
        <v/>
      </c>
      <c r="L479" s="4">
        <f>IF(AND(F479&gt;=I479,F479&lt;=J479),1,0)</f>
        <v/>
      </c>
    </row>
    <row r="480">
      <c r="A480" s="4" t="inlineStr">
        <is>
          <t>tensile_MPa</t>
        </is>
      </c>
      <c r="B480" s="4" t="inlineStr">
        <is>
          <t>G105</t>
        </is>
      </c>
      <c r="C480" s="4" t="inlineStr">
        <is>
          <t>US7354974B2</t>
        </is>
      </c>
      <c r="D480" s="4" t="inlineStr">
        <is>
          <t>Control B</t>
        </is>
      </c>
      <c r="E480" s="4" t="inlineStr">
        <is>
          <t>test</t>
        </is>
      </c>
      <c r="F480" s="10" t="n">
        <v>17.3</v>
      </c>
      <c r="G480" s="10" t="n">
        <v>17.95711687983701</v>
      </c>
      <c r="H480" s="10" t="n">
        <v>2.762106391798962</v>
      </c>
      <c r="I480" s="10">
        <f>G480-1.96*H480</f>
        <v/>
      </c>
      <c r="J480" s="10">
        <f>G480+1.96*H480</f>
        <v/>
      </c>
      <c r="K480" s="10">
        <f>G480-F480</f>
        <v/>
      </c>
      <c r="L480" s="4">
        <f>IF(AND(F480&gt;=I480,F480&lt;=J480),1,0)</f>
        <v/>
      </c>
    </row>
    <row r="481">
      <c r="A481" s="4" t="inlineStr">
        <is>
          <t>tensile_MPa</t>
        </is>
      </c>
      <c r="B481" s="4" t="inlineStr">
        <is>
          <t>G161</t>
        </is>
      </c>
      <c r="C481" s="4" t="inlineStr">
        <is>
          <t>US6956085B2</t>
        </is>
      </c>
      <c r="D481" s="4" t="inlineStr">
        <is>
          <t>Example 4</t>
        </is>
      </c>
      <c r="E481" s="4" t="inlineStr">
        <is>
          <t>test</t>
        </is>
      </c>
      <c r="F481" s="10" t="n">
        <v>15.79</v>
      </c>
      <c r="G481" s="10" t="n">
        <v>15.06094800120642</v>
      </c>
      <c r="H481" s="10" t="n">
        <v>2.634943443826685</v>
      </c>
      <c r="I481" s="10">
        <f>G481-1.96*H481</f>
        <v/>
      </c>
      <c r="J481" s="10">
        <f>G481+1.96*H481</f>
        <v/>
      </c>
      <c r="K481" s="10">
        <f>G481-F481</f>
        <v/>
      </c>
      <c r="L481" s="4">
        <f>IF(AND(F481&gt;=I481,F481&lt;=J481),1,0)</f>
        <v/>
      </c>
    </row>
    <row r="482">
      <c r="A482" s="4" t="inlineStr">
        <is>
          <t>tensile_MPa</t>
        </is>
      </c>
      <c r="B482" s="4" t="inlineStr">
        <is>
          <t>G290</t>
        </is>
      </c>
      <c r="C482" s="4" t="inlineStr">
        <is>
          <t>EP4249550A1</t>
        </is>
      </c>
      <c r="D482" s="4" t="inlineStr">
        <is>
          <t>Example 1</t>
        </is>
      </c>
      <c r="E482" s="4" t="inlineStr">
        <is>
          <t>test</t>
        </is>
      </c>
      <c r="F482" s="10" t="n">
        <v>16.3</v>
      </c>
      <c r="G482" s="10" t="n">
        <v>18.33679523679263</v>
      </c>
      <c r="H482" s="10" t="n">
        <v>2.383678425849292</v>
      </c>
      <c r="I482" s="10">
        <f>G482-1.96*H482</f>
        <v/>
      </c>
      <c r="J482" s="10">
        <f>G482+1.96*H482</f>
        <v/>
      </c>
      <c r="K482" s="10">
        <f>G482-F482</f>
        <v/>
      </c>
      <c r="L482" s="4">
        <f>IF(AND(F482&gt;=I482,F482&lt;=J482),1,0)</f>
        <v/>
      </c>
    </row>
    <row r="483">
      <c r="A483" s="4" t="inlineStr">
        <is>
          <t>tensile_MPa</t>
        </is>
      </c>
      <c r="B483" s="4" t="inlineStr">
        <is>
          <t>G038</t>
        </is>
      </c>
      <c r="C483" s="4" t="inlineStr">
        <is>
          <t>US8173727B2</t>
        </is>
      </c>
      <c r="D483" s="4" t="inlineStr">
        <is>
          <t>Example 10</t>
        </is>
      </c>
      <c r="E483" s="4" t="inlineStr">
        <is>
          <t>test</t>
        </is>
      </c>
      <c r="F483" s="10" t="n">
        <v>12.85</v>
      </c>
      <c r="G483" s="10" t="n">
        <v>14.9968960563003</v>
      </c>
      <c r="H483" s="10" t="n">
        <v>2.465730263604569</v>
      </c>
      <c r="I483" s="10">
        <f>G483-1.96*H483</f>
        <v/>
      </c>
      <c r="J483" s="10">
        <f>G483+1.96*H483</f>
        <v/>
      </c>
      <c r="K483" s="10">
        <f>G483-F483</f>
        <v/>
      </c>
      <c r="L483" s="4">
        <f>IF(AND(F483&gt;=I483,F483&lt;=J483),1,0)</f>
        <v/>
      </c>
    </row>
    <row r="484">
      <c r="A484" s="4" t="inlineStr">
        <is>
          <t>tensile_MPa</t>
        </is>
      </c>
      <c r="B484" s="4" t="inlineStr">
        <is>
          <t>G268</t>
        </is>
      </c>
      <c r="C484" s="4" t="inlineStr">
        <is>
          <t>US20230174763A1</t>
        </is>
      </c>
      <c r="D484" s="4" t="inlineStr">
        <is>
          <t>Example 5</t>
        </is>
      </c>
      <c r="E484" s="4" t="inlineStr">
        <is>
          <t>test</t>
        </is>
      </c>
      <c r="F484" s="10" t="n">
        <v>22.4</v>
      </c>
      <c r="G484" s="10" t="n">
        <v>23.19399055237266</v>
      </c>
      <c r="H484" s="10" t="n">
        <v>3.743635182715978</v>
      </c>
      <c r="I484" s="10">
        <f>G484-1.96*H484</f>
        <v/>
      </c>
      <c r="J484" s="10">
        <f>G484+1.96*H484</f>
        <v/>
      </c>
      <c r="K484" s="10">
        <f>G484-F484</f>
        <v/>
      </c>
      <c r="L484" s="4">
        <f>IF(AND(F484&gt;=I484,F484&lt;=J484),1,0)</f>
        <v/>
      </c>
    </row>
    <row r="485">
      <c r="A485" s="4" t="inlineStr">
        <is>
          <t>tensile_MPa</t>
        </is>
      </c>
      <c r="B485" s="4" t="inlineStr">
        <is>
          <t>G070</t>
        </is>
      </c>
      <c r="C485" s="4" t="inlineStr">
        <is>
          <t>US11072700B2</t>
        </is>
      </c>
      <c r="D485" s="4" t="inlineStr">
        <is>
          <t>Comparative Example 1</t>
        </is>
      </c>
      <c r="E485" s="4" t="inlineStr">
        <is>
          <t>test</t>
        </is>
      </c>
      <c r="F485" s="10" t="n">
        <v>13.5</v>
      </c>
      <c r="G485" s="10" t="n">
        <v>9.760096692229055</v>
      </c>
      <c r="H485" s="10" t="n">
        <v>2.580582695528061</v>
      </c>
      <c r="I485" s="10">
        <f>G485-1.96*H485</f>
        <v/>
      </c>
      <c r="J485" s="10">
        <f>G485+1.96*H485</f>
        <v/>
      </c>
      <c r="K485" s="10">
        <f>G485-F485</f>
        <v/>
      </c>
      <c r="L485" s="4">
        <f>IF(AND(F485&gt;=I485,F485&lt;=J485),1,0)</f>
        <v/>
      </c>
    </row>
    <row r="486">
      <c r="A486" s="4" t="inlineStr">
        <is>
          <t>tensile_MPa</t>
        </is>
      </c>
      <c r="B486" s="4" t="inlineStr">
        <is>
          <t>G288</t>
        </is>
      </c>
      <c r="C486" s="4" t="inlineStr">
        <is>
          <t>US20230365800A1</t>
        </is>
      </c>
      <c r="D486" s="4" t="inlineStr">
        <is>
          <t>Example 10</t>
        </is>
      </c>
      <c r="E486" s="4" t="inlineStr">
        <is>
          <t>test</t>
        </is>
      </c>
      <c r="F486" s="10" t="n">
        <v>10.2</v>
      </c>
      <c r="G486" s="10" t="n">
        <v>11.76046499604742</v>
      </c>
      <c r="H486" s="10" t="n">
        <v>2.212658785613697</v>
      </c>
      <c r="I486" s="10">
        <f>G486-1.96*H486</f>
        <v/>
      </c>
      <c r="J486" s="10">
        <f>G486+1.96*H486</f>
        <v/>
      </c>
      <c r="K486" s="10">
        <f>G486-F486</f>
        <v/>
      </c>
      <c r="L486" s="4">
        <f>IF(AND(F486&gt;=I486,F486&lt;=J486),1,0)</f>
        <v/>
      </c>
    </row>
    <row r="487">
      <c r="A487" s="4" t="inlineStr">
        <is>
          <t>tensile_MPa</t>
        </is>
      </c>
      <c r="B487" s="4" t="inlineStr">
        <is>
          <t>G124</t>
        </is>
      </c>
      <c r="C487" s="4" t="inlineStr">
        <is>
          <t>US5696189A</t>
        </is>
      </c>
      <c r="D487" s="4" t="inlineStr">
        <is>
          <t>Example 7</t>
        </is>
      </c>
      <c r="E487" s="4" t="inlineStr">
        <is>
          <t>test</t>
        </is>
      </c>
      <c r="F487" s="10" t="n">
        <v>12.34</v>
      </c>
      <c r="G487" s="10" t="n">
        <v>15.98995834475466</v>
      </c>
      <c r="H487" s="10" t="n">
        <v>5.768203577411018</v>
      </c>
      <c r="I487" s="10">
        <f>G487-1.96*H487</f>
        <v/>
      </c>
      <c r="J487" s="10">
        <f>G487+1.96*H487</f>
        <v/>
      </c>
      <c r="K487" s="10">
        <f>G487-F487</f>
        <v/>
      </c>
      <c r="L487" s="4">
        <f>IF(AND(F487&gt;=I487,F487&lt;=J487),1,0)</f>
        <v/>
      </c>
    </row>
    <row r="488">
      <c r="A488" s="4" t="inlineStr">
        <is>
          <t>tensile_MPa</t>
        </is>
      </c>
      <c r="B488" s="4" t="inlineStr">
        <is>
          <t>G258</t>
        </is>
      </c>
      <c r="C488" s="4" t="inlineStr">
        <is>
          <t>US12584054B2</t>
        </is>
      </c>
      <c r="D488" s="4" t="inlineStr">
        <is>
          <t>Comparative Example 13</t>
        </is>
      </c>
      <c r="E488" s="4" t="inlineStr">
        <is>
          <t>test</t>
        </is>
      </c>
      <c r="F488" s="10" t="n">
        <v>9.5</v>
      </c>
      <c r="G488" s="10" t="n">
        <v>15.10454807400911</v>
      </c>
      <c r="H488" s="10" t="n">
        <v>2.37773881028703</v>
      </c>
      <c r="I488" s="10">
        <f>G488-1.96*H488</f>
        <v/>
      </c>
      <c r="J488" s="10">
        <f>G488+1.96*H488</f>
        <v/>
      </c>
      <c r="K488" s="10">
        <f>G488-F488</f>
        <v/>
      </c>
      <c r="L488" s="4">
        <f>IF(AND(F488&gt;=I488,F488&lt;=J488),1,0)</f>
        <v/>
      </c>
    </row>
    <row r="489">
      <c r="A489" s="4" t="inlineStr">
        <is>
          <t>tensile_MPa</t>
        </is>
      </c>
      <c r="B489" s="4" t="inlineStr">
        <is>
          <t>G004</t>
        </is>
      </c>
      <c r="C489" s="4" t="inlineStr">
        <is>
          <t>US7678858B2</t>
        </is>
      </c>
      <c r="D489" s="4" t="inlineStr">
        <is>
          <t>Example 4</t>
        </is>
      </c>
      <c r="E489" s="4" t="inlineStr">
        <is>
          <t>test</t>
        </is>
      </c>
      <c r="F489" s="10" t="n">
        <v>23.54</v>
      </c>
      <c r="G489" s="10" t="n">
        <v>22.43873932419915</v>
      </c>
      <c r="H489" s="10" t="n">
        <v>2.228586571179058</v>
      </c>
      <c r="I489" s="10">
        <f>G489-1.96*H489</f>
        <v/>
      </c>
      <c r="J489" s="10">
        <f>G489+1.96*H489</f>
        <v/>
      </c>
      <c r="K489" s="10">
        <f>G489-F489</f>
        <v/>
      </c>
      <c r="L489" s="4">
        <f>IF(AND(F489&gt;=I489,F489&lt;=J489),1,0)</f>
        <v/>
      </c>
    </row>
    <row r="490">
      <c r="A490" s="4" t="inlineStr">
        <is>
          <t>tensile_MPa</t>
        </is>
      </c>
      <c r="B490" s="4" t="inlineStr">
        <is>
          <t>G277</t>
        </is>
      </c>
      <c r="C490" s="4" t="inlineStr">
        <is>
          <t>US20230365800A1</t>
        </is>
      </c>
      <c r="D490" s="4" t="inlineStr">
        <is>
          <t>Example 1</t>
        </is>
      </c>
      <c r="E490" s="4" t="inlineStr">
        <is>
          <t>test</t>
        </is>
      </c>
      <c r="F490" s="10" t="n">
        <v>14.4</v>
      </c>
      <c r="G490" s="10" t="n">
        <v>11.76046499604742</v>
      </c>
      <c r="H490" s="10" t="n">
        <v>2.212658785613697</v>
      </c>
      <c r="I490" s="10">
        <f>G490-1.96*H490</f>
        <v/>
      </c>
      <c r="J490" s="10">
        <f>G490+1.96*H490</f>
        <v/>
      </c>
      <c r="K490" s="10">
        <f>G490-F490</f>
        <v/>
      </c>
      <c r="L490" s="4">
        <f>IF(AND(F490&gt;=I490,F490&lt;=J490),1,0)</f>
        <v/>
      </c>
    </row>
    <row r="491">
      <c r="A491" s="4" t="inlineStr">
        <is>
          <t>tensile_MPa</t>
        </is>
      </c>
      <c r="B491" s="4" t="inlineStr">
        <is>
          <t>G085</t>
        </is>
      </c>
      <c r="C491" s="4" t="inlineStr">
        <is>
          <t>US8367776B2</t>
        </is>
      </c>
      <c r="D491" s="4" t="inlineStr">
        <is>
          <t>Comparative Example 2</t>
        </is>
      </c>
      <c r="E491" s="4" t="inlineStr">
        <is>
          <t>test</t>
        </is>
      </c>
      <c r="F491" s="10" t="n">
        <v>20.8</v>
      </c>
      <c r="G491" s="10" t="n">
        <v>7.986500800576963</v>
      </c>
      <c r="H491" s="10" t="n">
        <v>2.374066026754463</v>
      </c>
      <c r="I491" s="10">
        <f>G491-1.96*H491</f>
        <v/>
      </c>
      <c r="J491" s="10">
        <f>G491+1.96*H491</f>
        <v/>
      </c>
      <c r="K491" s="10">
        <f>G491-F491</f>
        <v/>
      </c>
      <c r="L491" s="4">
        <f>IF(AND(F491&gt;=I491,F491&lt;=J491),1,0)</f>
        <v/>
      </c>
    </row>
    <row r="492">
      <c r="A492" s="4" t="inlineStr">
        <is>
          <t>elongation_pct</t>
        </is>
      </c>
      <c r="B492" s="4" t="inlineStr">
        <is>
          <t>G015</t>
        </is>
      </c>
      <c r="C492" s="4" t="inlineStr">
        <is>
          <t>US7678858B2</t>
        </is>
      </c>
      <c r="D492" s="4" t="inlineStr">
        <is>
          <t>Example 14</t>
        </is>
      </c>
      <c r="E492" s="4" t="inlineStr">
        <is>
          <t>dev(OOF)</t>
        </is>
      </c>
      <c r="F492" s="10" t="n">
        <v>170</v>
      </c>
      <c r="G492" s="10" t="n">
        <v>162.9051272205424</v>
      </c>
      <c r="H492" s="10" t="n">
        <v>17.30677721403723</v>
      </c>
      <c r="I492" s="10">
        <f>G492-1.96*H492</f>
        <v/>
      </c>
      <c r="J492" s="10">
        <f>G492+1.96*H492</f>
        <v/>
      </c>
      <c r="K492" s="10">
        <f>G492-F492</f>
        <v/>
      </c>
      <c r="L492" s="4">
        <f>IF(AND(F492&gt;=I492,F492&lt;=J492),1,0)</f>
        <v/>
      </c>
    </row>
    <row r="493">
      <c r="A493" s="4" t="inlineStr">
        <is>
          <t>elongation_pct</t>
        </is>
      </c>
      <c r="B493" s="4" t="inlineStr">
        <is>
          <t>G129</t>
        </is>
      </c>
      <c r="C493" s="4" t="inlineStr">
        <is>
          <t>US7247749B2</t>
        </is>
      </c>
      <c r="D493" s="4" t="inlineStr">
        <is>
          <t>Sample 5</t>
        </is>
      </c>
      <c r="E493" s="4" t="inlineStr">
        <is>
          <t>dev(OOF)</t>
        </is>
      </c>
      <c r="F493" s="10" t="n">
        <v>162</v>
      </c>
      <c r="G493" s="10" t="n">
        <v>182.4472967234809</v>
      </c>
      <c r="H493" s="10" t="n">
        <v>43.59490226190628</v>
      </c>
      <c r="I493" s="10">
        <f>G493-1.96*H493</f>
        <v/>
      </c>
      <c r="J493" s="10">
        <f>G493+1.96*H493</f>
        <v/>
      </c>
      <c r="K493" s="10">
        <f>G493-F493</f>
        <v/>
      </c>
      <c r="L493" s="4">
        <f>IF(AND(F493&gt;=I493,F493&lt;=J493),1,0)</f>
        <v/>
      </c>
    </row>
    <row r="494">
      <c r="A494" s="4" t="inlineStr">
        <is>
          <t>elongation_pct</t>
        </is>
      </c>
      <c r="B494" s="4" t="inlineStr">
        <is>
          <t>G047</t>
        </is>
      </c>
      <c r="C494" s="4" t="inlineStr">
        <is>
          <t>US8211964B2</t>
        </is>
      </c>
      <c r="D494" s="4" t="inlineStr">
        <is>
          <t>Example 6</t>
        </is>
      </c>
      <c r="E494" s="4" t="inlineStr">
        <is>
          <t>dev(OOF)</t>
        </is>
      </c>
      <c r="F494" s="10" t="n">
        <v>234</v>
      </c>
      <c r="G494" s="10" t="n">
        <v>243.7038948817381</v>
      </c>
      <c r="H494" s="10" t="n">
        <v>39.54761336884763</v>
      </c>
      <c r="I494" s="10">
        <f>G494-1.96*H494</f>
        <v/>
      </c>
      <c r="J494" s="10">
        <f>G494+1.96*H494</f>
        <v/>
      </c>
      <c r="K494" s="10">
        <f>G494-F494</f>
        <v/>
      </c>
      <c r="L494" s="4">
        <f>IF(AND(F494&gt;=I494,F494&lt;=J494),1,0)</f>
        <v/>
      </c>
    </row>
    <row r="495">
      <c r="A495" s="4" t="inlineStr">
        <is>
          <t>elongation_pct</t>
        </is>
      </c>
      <c r="B495" s="4" t="inlineStr">
        <is>
          <t>G245</t>
        </is>
      </c>
      <c r="C495" s="4" t="inlineStr">
        <is>
          <t>US12584054B2</t>
        </is>
      </c>
      <c r="D495" s="4" t="inlineStr">
        <is>
          <t>Example 2</t>
        </is>
      </c>
      <c r="E495" s="4" t="inlineStr">
        <is>
          <t>dev(OOF)</t>
        </is>
      </c>
      <c r="F495" s="10" t="n">
        <v>210</v>
      </c>
      <c r="G495" s="10" t="n">
        <v>237.8651883050707</v>
      </c>
      <c r="H495" s="10" t="n">
        <v>33.49681290265499</v>
      </c>
      <c r="I495" s="10">
        <f>G495-1.96*H495</f>
        <v/>
      </c>
      <c r="J495" s="10">
        <f>G495+1.96*H495</f>
        <v/>
      </c>
      <c r="K495" s="10">
        <f>G495-F495</f>
        <v/>
      </c>
      <c r="L495" s="4">
        <f>IF(AND(F495&gt;=I495,F495&lt;=J495),1,0)</f>
        <v/>
      </c>
    </row>
    <row r="496">
      <c r="A496" s="4" t="inlineStr">
        <is>
          <t>elongation_pct</t>
        </is>
      </c>
      <c r="B496" s="4" t="inlineStr">
        <is>
          <t>G167</t>
        </is>
      </c>
      <c r="C496" s="4" t="inlineStr">
        <is>
          <t>US20050107544A1</t>
        </is>
      </c>
      <c r="D496" s="4" t="inlineStr">
        <is>
          <t>Sample 4</t>
        </is>
      </c>
      <c r="E496" s="4" t="inlineStr">
        <is>
          <t>dev(OOF)</t>
        </is>
      </c>
      <c r="F496" s="10" t="n">
        <v>185</v>
      </c>
      <c r="G496" s="10" t="n">
        <v>197.4131535604692</v>
      </c>
      <c r="H496" s="10" t="n">
        <v>37.39460545621862</v>
      </c>
      <c r="I496" s="10">
        <f>G496-1.96*H496</f>
        <v/>
      </c>
      <c r="J496" s="10">
        <f>G496+1.96*H496</f>
        <v/>
      </c>
      <c r="K496" s="10">
        <f>G496-F496</f>
        <v/>
      </c>
      <c r="L496" s="4">
        <f>IF(AND(F496&gt;=I496,F496&lt;=J496),1,0)</f>
        <v/>
      </c>
    </row>
    <row r="497">
      <c r="A497" s="4" t="inlineStr">
        <is>
          <t>elongation_pct</t>
        </is>
      </c>
      <c r="B497" s="4" t="inlineStr">
        <is>
          <t>G092</t>
        </is>
      </c>
      <c r="C497" s="4" t="inlineStr">
        <is>
          <t>US8367776B2</t>
        </is>
      </c>
      <c r="D497" s="4" t="inlineStr">
        <is>
          <t>Example 10</t>
        </is>
      </c>
      <c r="E497" s="4" t="inlineStr">
        <is>
          <t>dev(OOF)</t>
        </is>
      </c>
      <c r="F497" s="10" t="n">
        <v>270</v>
      </c>
      <c r="G497" s="10" t="n">
        <v>265.351718377186</v>
      </c>
      <c r="H497" s="10" t="n">
        <v>33.60768237118695</v>
      </c>
      <c r="I497" s="10">
        <f>G497-1.96*H497</f>
        <v/>
      </c>
      <c r="J497" s="10">
        <f>G497+1.96*H497</f>
        <v/>
      </c>
      <c r="K497" s="10">
        <f>G497-F497</f>
        <v/>
      </c>
      <c r="L497" s="4">
        <f>IF(AND(F497&gt;=I497,F497&lt;=J497),1,0)</f>
        <v/>
      </c>
    </row>
    <row r="498">
      <c r="A498" s="4" t="inlineStr">
        <is>
          <t>elongation_pct</t>
        </is>
      </c>
      <c r="B498" s="4" t="inlineStr">
        <is>
          <t>G152</t>
        </is>
      </c>
      <c r="C498" s="4" t="inlineStr">
        <is>
          <t>US7247749B2</t>
        </is>
      </c>
      <c r="D498" s="4" t="inlineStr">
        <is>
          <t>Sample 32</t>
        </is>
      </c>
      <c r="E498" s="4" t="inlineStr">
        <is>
          <t>dev(OOF)</t>
        </is>
      </c>
      <c r="F498" s="10" t="n">
        <v>121</v>
      </c>
      <c r="G498" s="10" t="n">
        <v>128.2470824466736</v>
      </c>
      <c r="H498" s="10" t="n">
        <v>17.71137135716229</v>
      </c>
      <c r="I498" s="10">
        <f>G498-1.96*H498</f>
        <v/>
      </c>
      <c r="J498" s="10">
        <f>G498+1.96*H498</f>
        <v/>
      </c>
      <c r="K498" s="10">
        <f>G498-F498</f>
        <v/>
      </c>
      <c r="L498" s="4">
        <f>IF(AND(F498&gt;=I498,F498&lt;=J498),1,0)</f>
        <v/>
      </c>
    </row>
    <row r="499">
      <c r="A499" s="4" t="inlineStr">
        <is>
          <t>elongation_pct</t>
        </is>
      </c>
      <c r="B499" s="4" t="inlineStr">
        <is>
          <t>G331</t>
        </is>
      </c>
      <c r="C499" s="4" t="inlineStr">
        <is>
          <t>KR101467101B1</t>
        </is>
      </c>
      <c r="D499" s="4" t="inlineStr">
        <is>
          <t>Example 2</t>
        </is>
      </c>
      <c r="E499" s="4" t="inlineStr">
        <is>
          <t>dev(OOF)</t>
        </is>
      </c>
      <c r="F499" s="10" t="n">
        <v>214.1</v>
      </c>
      <c r="G499" s="10" t="n">
        <v>199.9665649142241</v>
      </c>
      <c r="H499" s="10" t="n">
        <v>37.76942179981553</v>
      </c>
      <c r="I499" s="10">
        <f>G499-1.96*H499</f>
        <v/>
      </c>
      <c r="J499" s="10">
        <f>G499+1.96*H499</f>
        <v/>
      </c>
      <c r="K499" s="10">
        <f>G499-F499</f>
        <v/>
      </c>
      <c r="L499" s="4">
        <f>IF(AND(F499&gt;=I499,F499&lt;=J499),1,0)</f>
        <v/>
      </c>
    </row>
    <row r="500">
      <c r="A500" s="4" t="inlineStr">
        <is>
          <t>elongation_pct</t>
        </is>
      </c>
      <c r="B500" s="4" t="inlineStr">
        <is>
          <t>G049</t>
        </is>
      </c>
      <c r="C500" s="4" t="inlineStr">
        <is>
          <t>US8211964B2</t>
        </is>
      </c>
      <c r="D500" s="4" t="inlineStr">
        <is>
          <t>Example 7</t>
        </is>
      </c>
      <c r="E500" s="4" t="inlineStr">
        <is>
          <t>dev(OOF)</t>
        </is>
      </c>
      <c r="F500" s="10" t="n">
        <v>310</v>
      </c>
      <c r="G500" s="10" t="n">
        <v>273.1131255880748</v>
      </c>
      <c r="H500" s="10" t="n">
        <v>44.37829467012561</v>
      </c>
      <c r="I500" s="10">
        <f>G500-1.96*H500</f>
        <v/>
      </c>
      <c r="J500" s="10">
        <f>G500+1.96*H500</f>
        <v/>
      </c>
      <c r="K500" s="10">
        <f>G500-F500</f>
        <v/>
      </c>
      <c r="L500" s="4">
        <f>IF(AND(F500&gt;=I500,F500&lt;=J500),1,0)</f>
        <v/>
      </c>
    </row>
    <row r="501">
      <c r="A501" s="4" t="inlineStr">
        <is>
          <t>elongation_pct</t>
        </is>
      </c>
      <c r="B501" s="4" t="inlineStr">
        <is>
          <t>G321</t>
        </is>
      </c>
      <c r="C501" s="4" t="inlineStr">
        <is>
          <t>KR101467101B1</t>
        </is>
      </c>
      <c r="D501" s="4" t="inlineStr">
        <is>
          <t>Table 1 compound FFKM B</t>
        </is>
      </c>
      <c r="E501" s="4" t="inlineStr">
        <is>
          <t>dev(OOF)</t>
        </is>
      </c>
      <c r="F501" s="10" t="n">
        <v>155</v>
      </c>
      <c r="G501" s="10" t="n">
        <v>245.3786119276617</v>
      </c>
      <c r="H501" s="10" t="n">
        <v>29.57283918590789</v>
      </c>
      <c r="I501" s="10">
        <f>G501-1.96*H501</f>
        <v/>
      </c>
      <c r="J501" s="10">
        <f>G501+1.96*H501</f>
        <v/>
      </c>
      <c r="K501" s="10">
        <f>G501-F501</f>
        <v/>
      </c>
      <c r="L501" s="4">
        <f>IF(AND(F501&gt;=I501,F501&lt;=J501),1,0)</f>
        <v/>
      </c>
    </row>
    <row r="502">
      <c r="A502" s="4" t="inlineStr">
        <is>
          <t>elongation_pct</t>
        </is>
      </c>
      <c r="B502" s="4" t="inlineStr">
        <is>
          <t>G027</t>
        </is>
      </c>
      <c r="C502" s="4" t="inlineStr">
        <is>
          <t>US6803402B2</t>
        </is>
      </c>
      <c r="D502" s="4" t="inlineStr">
        <is>
          <t>Comparative Example 2</t>
        </is>
      </c>
      <c r="E502" s="4" t="inlineStr">
        <is>
          <t>dev(OOF)</t>
        </is>
      </c>
      <c r="F502" s="10" t="n">
        <v>155</v>
      </c>
      <c r="G502" s="10" t="n">
        <v>160.8677587350588</v>
      </c>
      <c r="H502" s="10" t="n">
        <v>20.24831966841093</v>
      </c>
      <c r="I502" s="10">
        <f>G502-1.96*H502</f>
        <v/>
      </c>
      <c r="J502" s="10">
        <f>G502+1.96*H502</f>
        <v/>
      </c>
      <c r="K502" s="10">
        <f>G502-F502</f>
        <v/>
      </c>
      <c r="L502" s="4">
        <f>IF(AND(F502&gt;=I502,F502&lt;=J502),1,0)</f>
        <v/>
      </c>
    </row>
    <row r="503">
      <c r="A503" s="4" t="inlineStr">
        <is>
          <t>elongation_pct</t>
        </is>
      </c>
      <c r="B503" s="4" t="inlineStr">
        <is>
          <t>G196</t>
        </is>
      </c>
      <c r="C503" s="4" t="inlineStr">
        <is>
          <t>US20160319102A1</t>
        </is>
      </c>
      <c r="D503" s="4" t="inlineStr">
        <is>
          <t>Comparative Example 1</t>
        </is>
      </c>
      <c r="E503" s="4" t="inlineStr">
        <is>
          <t>dev(OOF)</t>
        </is>
      </c>
      <c r="F503" s="10" t="n">
        <v>210</v>
      </c>
      <c r="G503" s="10" t="n">
        <v>247.1490628482889</v>
      </c>
      <c r="H503" s="10" t="n">
        <v>48.06964136696575</v>
      </c>
      <c r="I503" s="10">
        <f>G503-1.96*H503</f>
        <v/>
      </c>
      <c r="J503" s="10">
        <f>G503+1.96*H503</f>
        <v/>
      </c>
      <c r="K503" s="10">
        <f>G503-F503</f>
        <v/>
      </c>
      <c r="L503" s="4">
        <f>IF(AND(F503&gt;=I503,F503&lt;=J503),1,0)</f>
        <v/>
      </c>
    </row>
    <row r="504">
      <c r="A504" s="4" t="inlineStr">
        <is>
          <t>elongation_pct</t>
        </is>
      </c>
      <c r="B504" s="4" t="inlineStr">
        <is>
          <t>G157</t>
        </is>
      </c>
      <c r="C504" s="4" t="inlineStr">
        <is>
          <t>US7402630B2</t>
        </is>
      </c>
      <c r="D504" s="4" t="inlineStr">
        <is>
          <t>Comparative Example A</t>
        </is>
      </c>
      <c r="E504" s="4" t="inlineStr">
        <is>
          <t>dev(OOF)</t>
        </is>
      </c>
      <c r="F504" s="10" t="n">
        <v>170</v>
      </c>
      <c r="G504" s="10" t="n">
        <v>192.8711805590674</v>
      </c>
      <c r="H504" s="10" t="n">
        <v>43.48061261988226</v>
      </c>
      <c r="I504" s="10">
        <f>G504-1.96*H504</f>
        <v/>
      </c>
      <c r="J504" s="10">
        <f>G504+1.96*H504</f>
        <v/>
      </c>
      <c r="K504" s="10">
        <f>G504-F504</f>
        <v/>
      </c>
      <c r="L504" s="4">
        <f>IF(AND(F504&gt;=I504,F504&lt;=J504),1,0)</f>
        <v/>
      </c>
    </row>
    <row r="505">
      <c r="A505" s="4" t="inlineStr">
        <is>
          <t>elongation_pct</t>
        </is>
      </c>
      <c r="B505" s="4" t="inlineStr">
        <is>
          <t>G096</t>
        </is>
      </c>
      <c r="C505" s="4" t="inlineStr">
        <is>
          <t>US8367776B2</t>
        </is>
      </c>
      <c r="D505" s="4" t="inlineStr">
        <is>
          <t>Example 14</t>
        </is>
      </c>
      <c r="E505" s="4" t="inlineStr">
        <is>
          <t>dev(OOF)</t>
        </is>
      </c>
      <c r="F505" s="10" t="n">
        <v>261</v>
      </c>
      <c r="G505" s="10" t="n">
        <v>261.9263055730224</v>
      </c>
      <c r="H505" s="10" t="n">
        <v>32.42361018480763</v>
      </c>
      <c r="I505" s="10">
        <f>G505-1.96*H505</f>
        <v/>
      </c>
      <c r="J505" s="10">
        <f>G505+1.96*H505</f>
        <v/>
      </c>
      <c r="K505" s="10">
        <f>G505-F505</f>
        <v/>
      </c>
      <c r="L505" s="4">
        <f>IF(AND(F505&gt;=I505,F505&lt;=J505),1,0)</f>
        <v/>
      </c>
    </row>
    <row r="506">
      <c r="A506" s="4" t="inlineStr">
        <is>
          <t>elongation_pct</t>
        </is>
      </c>
      <c r="B506" s="4" t="inlineStr">
        <is>
          <t>G032</t>
        </is>
      </c>
      <c r="C506" s="4" t="inlineStr">
        <is>
          <t>US8173727B2</t>
        </is>
      </c>
      <c r="D506" s="4" t="inlineStr">
        <is>
          <t>Example 4</t>
        </is>
      </c>
      <c r="E506" s="4" t="inlineStr">
        <is>
          <t>dev(OOF)</t>
        </is>
      </c>
      <c r="F506" s="10" t="n">
        <v>120</v>
      </c>
      <c r="G506" s="10" t="n">
        <v>151.0893577713668</v>
      </c>
      <c r="H506" s="10" t="n">
        <v>20.90485868534741</v>
      </c>
      <c r="I506" s="10">
        <f>G506-1.96*H506</f>
        <v/>
      </c>
      <c r="J506" s="10">
        <f>G506+1.96*H506</f>
        <v/>
      </c>
      <c r="K506" s="10">
        <f>G506-F506</f>
        <v/>
      </c>
      <c r="L506" s="4">
        <f>IF(AND(F506&gt;=I506,F506&lt;=J506),1,0)</f>
        <v/>
      </c>
    </row>
    <row r="507">
      <c r="A507" s="4" t="inlineStr">
        <is>
          <t>elongation_pct</t>
        </is>
      </c>
      <c r="B507" s="4" t="inlineStr">
        <is>
          <t>G110</t>
        </is>
      </c>
      <c r="C507" s="4" t="inlineStr">
        <is>
          <t>US6992143B2</t>
        </is>
      </c>
      <c r="D507" s="4" t="inlineStr">
        <is>
          <t>Example 1</t>
        </is>
      </c>
      <c r="E507" s="4" t="inlineStr">
        <is>
          <t>dev(OOF)</t>
        </is>
      </c>
      <c r="F507" s="10" t="n">
        <v>161</v>
      </c>
      <c r="G507" s="10" t="n">
        <v>185.300584979124</v>
      </c>
      <c r="H507" s="10" t="n">
        <v>21.92428462844921</v>
      </c>
      <c r="I507" s="10">
        <f>G507-1.96*H507</f>
        <v/>
      </c>
      <c r="J507" s="10">
        <f>G507+1.96*H507</f>
        <v/>
      </c>
      <c r="K507" s="10">
        <f>G507-F507</f>
        <v/>
      </c>
      <c r="L507" s="4">
        <f>IF(AND(F507&gt;=I507,F507&lt;=J507),1,0)</f>
        <v/>
      </c>
    </row>
    <row r="508">
      <c r="A508" s="4" t="inlineStr">
        <is>
          <t>elongation_pct</t>
        </is>
      </c>
      <c r="B508" s="4" t="inlineStr">
        <is>
          <t>G023</t>
        </is>
      </c>
      <c r="C508" s="4" t="inlineStr">
        <is>
          <t>US7678858B2</t>
        </is>
      </c>
      <c r="D508" s="4" t="inlineStr">
        <is>
          <t>Comparative Example 3</t>
        </is>
      </c>
      <c r="E508" s="4" t="inlineStr">
        <is>
          <t>dev(OOF)</t>
        </is>
      </c>
      <c r="F508" s="10" t="n">
        <v>200</v>
      </c>
      <c r="G508" s="10" t="n">
        <v>166.7066874374828</v>
      </c>
      <c r="H508" s="10" t="n">
        <v>20.67440126395935</v>
      </c>
      <c r="I508" s="10">
        <f>G508-1.96*H508</f>
        <v/>
      </c>
      <c r="J508" s="10">
        <f>G508+1.96*H508</f>
        <v/>
      </c>
      <c r="K508" s="10">
        <f>G508-F508</f>
        <v/>
      </c>
      <c r="L508" s="4">
        <f>IF(AND(F508&gt;=I508,F508&lt;=J508),1,0)</f>
        <v/>
      </c>
    </row>
    <row r="509">
      <c r="A509" s="4" t="inlineStr">
        <is>
          <t>elongation_pct</t>
        </is>
      </c>
      <c r="B509" s="4" t="inlineStr">
        <is>
          <t>G326</t>
        </is>
      </c>
      <c r="C509" s="4" t="inlineStr">
        <is>
          <t>KR101467101B1</t>
        </is>
      </c>
      <c r="D509" s="4" t="inlineStr">
        <is>
          <t>Example 1 (Table 2 sample 4)</t>
        </is>
      </c>
      <c r="E509" s="4" t="inlineStr">
        <is>
          <t>dev(OOF)</t>
        </is>
      </c>
      <c r="F509" s="10" t="n">
        <v>226.9</v>
      </c>
      <c r="G509" s="10" t="n">
        <v>207.1704336824366</v>
      </c>
      <c r="H509" s="10" t="n">
        <v>31.4153990660612</v>
      </c>
      <c r="I509" s="10">
        <f>G509-1.96*H509</f>
        <v/>
      </c>
      <c r="J509" s="10">
        <f>G509+1.96*H509</f>
        <v/>
      </c>
      <c r="K509" s="10">
        <f>G509-F509</f>
        <v/>
      </c>
      <c r="L509" s="4">
        <f>IF(AND(F509&gt;=I509,F509&lt;=J509),1,0)</f>
        <v/>
      </c>
    </row>
    <row r="510">
      <c r="A510" s="4" t="inlineStr">
        <is>
          <t>elongation_pct</t>
        </is>
      </c>
      <c r="B510" s="4" t="inlineStr">
        <is>
          <t>G012</t>
        </is>
      </c>
      <c r="C510" s="4" t="inlineStr">
        <is>
          <t>US7678858B2</t>
        </is>
      </c>
      <c r="D510" s="4" t="inlineStr">
        <is>
          <t>Example 11</t>
        </is>
      </c>
      <c r="E510" s="4" t="inlineStr">
        <is>
          <t>dev(OOF)</t>
        </is>
      </c>
      <c r="F510" s="10" t="n">
        <v>140</v>
      </c>
      <c r="G510" s="10" t="n">
        <v>159.5719141411221</v>
      </c>
      <c r="H510" s="10" t="n">
        <v>31.82487727765648</v>
      </c>
      <c r="I510" s="10">
        <f>G510-1.96*H510</f>
        <v/>
      </c>
      <c r="J510" s="10">
        <f>G510+1.96*H510</f>
        <v/>
      </c>
      <c r="K510" s="10">
        <f>G510-F510</f>
        <v/>
      </c>
      <c r="L510" s="4">
        <f>IF(AND(F510&gt;=I510,F510&lt;=J510),1,0)</f>
        <v/>
      </c>
    </row>
    <row r="511">
      <c r="A511" s="4" t="inlineStr">
        <is>
          <t>elongation_pct</t>
        </is>
      </c>
      <c r="B511" s="4" t="inlineStr">
        <is>
          <t>G103</t>
        </is>
      </c>
      <c r="C511" s="4" t="inlineStr">
        <is>
          <t>US7354974B2</t>
        </is>
      </c>
      <c r="D511" s="4" t="inlineStr">
        <is>
          <t>Example 7</t>
        </is>
      </c>
      <c r="E511" s="4" t="inlineStr">
        <is>
          <t>dev(OOF)</t>
        </is>
      </c>
      <c r="F511" s="10" t="n">
        <v>330</v>
      </c>
      <c r="G511" s="10" t="n">
        <v>311.2844939638844</v>
      </c>
      <c r="H511" s="10" t="n">
        <v>48.45273166436783</v>
      </c>
      <c r="I511" s="10">
        <f>G511-1.96*H511</f>
        <v/>
      </c>
      <c r="J511" s="10">
        <f>G511+1.96*H511</f>
        <v/>
      </c>
      <c r="K511" s="10">
        <f>G511-F511</f>
        <v/>
      </c>
      <c r="L511" s="4">
        <f>IF(AND(F511&gt;=I511,F511&lt;=J511),1,0)</f>
        <v/>
      </c>
    </row>
    <row r="512">
      <c r="A512" s="4" t="inlineStr">
        <is>
          <t>elongation_pct</t>
        </is>
      </c>
      <c r="B512" s="4" t="inlineStr">
        <is>
          <t>G305</t>
        </is>
      </c>
      <c r="C512" s="4" t="inlineStr">
        <is>
          <t>EP4249550A1</t>
        </is>
      </c>
      <c r="D512" s="4" t="inlineStr">
        <is>
          <t>Comparative Example 4</t>
        </is>
      </c>
      <c r="E512" s="4" t="inlineStr">
        <is>
          <t>dev(OOF)</t>
        </is>
      </c>
      <c r="F512" s="10" t="n">
        <v>170</v>
      </c>
      <c r="G512" s="10" t="n">
        <v>193.8136597576184</v>
      </c>
      <c r="H512" s="10" t="n">
        <v>21.34013389638142</v>
      </c>
      <c r="I512" s="10">
        <f>G512-1.96*H512</f>
        <v/>
      </c>
      <c r="J512" s="10">
        <f>G512+1.96*H512</f>
        <v/>
      </c>
      <c r="K512" s="10">
        <f>G512-F512</f>
        <v/>
      </c>
      <c r="L512" s="4">
        <f>IF(AND(F512&gt;=I512,F512&lt;=J512),1,0)</f>
        <v/>
      </c>
    </row>
    <row r="513">
      <c r="A513" s="4" t="inlineStr">
        <is>
          <t>elongation_pct</t>
        </is>
      </c>
      <c r="B513" s="4" t="inlineStr">
        <is>
          <t>G044</t>
        </is>
      </c>
      <c r="C513" s="4" t="inlineStr">
        <is>
          <t>US8211964B2</t>
        </is>
      </c>
      <c r="D513" s="4" t="inlineStr">
        <is>
          <t>Example 3</t>
        </is>
      </c>
      <c r="E513" s="4" t="inlineStr">
        <is>
          <t>dev(OOF)</t>
        </is>
      </c>
      <c r="F513" s="10" t="n">
        <v>265</v>
      </c>
      <c r="G513" s="10" t="n">
        <v>266.5305658334779</v>
      </c>
      <c r="H513" s="10" t="n">
        <v>49.78042770736404</v>
      </c>
      <c r="I513" s="10">
        <f>G513-1.96*H513</f>
        <v/>
      </c>
      <c r="J513" s="10">
        <f>G513+1.96*H513</f>
        <v/>
      </c>
      <c r="K513" s="10">
        <f>G513-F513</f>
        <v/>
      </c>
      <c r="L513" s="4">
        <f>IF(AND(F513&gt;=I513,F513&lt;=J513),1,0)</f>
        <v/>
      </c>
    </row>
    <row r="514">
      <c r="A514" s="4" t="inlineStr">
        <is>
          <t>elongation_pct</t>
        </is>
      </c>
      <c r="B514" s="4" t="inlineStr">
        <is>
          <t>G153</t>
        </is>
      </c>
      <c r="C514" s="4" t="inlineStr">
        <is>
          <t>US7247749B2</t>
        </is>
      </c>
      <c r="D514" s="4" t="inlineStr">
        <is>
          <t>Sample 33</t>
        </is>
      </c>
      <c r="E514" s="4" t="inlineStr">
        <is>
          <t>dev(OOF)</t>
        </is>
      </c>
      <c r="F514" s="10" t="n">
        <v>117</v>
      </c>
      <c r="G514" s="10" t="n">
        <v>127.0510568559724</v>
      </c>
      <c r="H514" s="10" t="n">
        <v>19.11696826795477</v>
      </c>
      <c r="I514" s="10">
        <f>G514-1.96*H514</f>
        <v/>
      </c>
      <c r="J514" s="10">
        <f>G514+1.96*H514</f>
        <v/>
      </c>
      <c r="K514" s="10">
        <f>G514-F514</f>
        <v/>
      </c>
      <c r="L514" s="4">
        <f>IF(AND(F514&gt;=I514,F514&lt;=J514),1,0)</f>
        <v/>
      </c>
    </row>
    <row r="515">
      <c r="A515" s="4" t="inlineStr">
        <is>
          <t>elongation_pct</t>
        </is>
      </c>
      <c r="B515" s="4" t="inlineStr">
        <is>
          <t>G126</t>
        </is>
      </c>
      <c r="C515" s="4" t="inlineStr">
        <is>
          <t>US7247749B2</t>
        </is>
      </c>
      <c r="D515" s="4" t="inlineStr">
        <is>
          <t>Sample 2</t>
        </is>
      </c>
      <c r="E515" s="4" t="inlineStr">
        <is>
          <t>dev(OOF)</t>
        </is>
      </c>
      <c r="F515" s="10" t="n">
        <v>171</v>
      </c>
      <c r="G515" s="10" t="n">
        <v>147.8923464903751</v>
      </c>
      <c r="H515" s="10" t="n">
        <v>24.95946929044737</v>
      </c>
      <c r="I515" s="10">
        <f>G515-1.96*H515</f>
        <v/>
      </c>
      <c r="J515" s="10">
        <f>G515+1.96*H515</f>
        <v/>
      </c>
      <c r="K515" s="10">
        <f>G515-F515</f>
        <v/>
      </c>
      <c r="L515" s="4">
        <f>IF(AND(F515&gt;=I515,F515&lt;=J515),1,0)</f>
        <v/>
      </c>
    </row>
    <row r="516">
      <c r="A516" s="4" t="inlineStr">
        <is>
          <t>elongation_pct</t>
        </is>
      </c>
      <c r="B516" s="4" t="inlineStr">
        <is>
          <t>G296</t>
        </is>
      </c>
      <c r="C516" s="4" t="inlineStr">
        <is>
          <t>EP4249550A1</t>
        </is>
      </c>
      <c r="D516" s="4" t="inlineStr">
        <is>
          <t>Example 7</t>
        </is>
      </c>
      <c r="E516" s="4" t="inlineStr">
        <is>
          <t>dev(OOF)</t>
        </is>
      </c>
      <c r="F516" s="10" t="n">
        <v>180</v>
      </c>
      <c r="G516" s="10" t="n">
        <v>200.7796399547489</v>
      </c>
      <c r="H516" s="10" t="n">
        <v>28.06451498600152</v>
      </c>
      <c r="I516" s="10">
        <f>G516-1.96*H516</f>
        <v/>
      </c>
      <c r="J516" s="10">
        <f>G516+1.96*H516</f>
        <v/>
      </c>
      <c r="K516" s="10">
        <f>G516-F516</f>
        <v/>
      </c>
      <c r="L516" s="4">
        <f>IF(AND(F516&gt;=I516,F516&lt;=J516),1,0)</f>
        <v/>
      </c>
    </row>
    <row r="517">
      <c r="A517" s="4" t="inlineStr">
        <is>
          <t>elongation_pct</t>
        </is>
      </c>
      <c r="B517" s="4" t="inlineStr">
        <is>
          <t>G250</t>
        </is>
      </c>
      <c r="C517" s="4" t="inlineStr">
        <is>
          <t>US12584054B2</t>
        </is>
      </c>
      <c r="D517" s="4" t="inlineStr">
        <is>
          <t>Comparative Example 2</t>
        </is>
      </c>
      <c r="E517" s="4" t="inlineStr">
        <is>
          <t>dev(OOF)</t>
        </is>
      </c>
      <c r="F517" s="10" t="n">
        <v>210</v>
      </c>
      <c r="G517" s="10" t="n">
        <v>234.1366527056756</v>
      </c>
      <c r="H517" s="10" t="n">
        <v>28.00039224655792</v>
      </c>
      <c r="I517" s="10">
        <f>G517-1.96*H517</f>
        <v/>
      </c>
      <c r="J517" s="10">
        <f>G517+1.96*H517</f>
        <v/>
      </c>
      <c r="K517" s="10">
        <f>G517-F517</f>
        <v/>
      </c>
      <c r="L517" s="4">
        <f>IF(AND(F517&gt;=I517,F517&lt;=J517),1,0)</f>
        <v/>
      </c>
    </row>
    <row r="518">
      <c r="A518" s="4" t="inlineStr">
        <is>
          <t>elongation_pct</t>
        </is>
      </c>
      <c r="B518" s="4" t="inlineStr">
        <is>
          <t>G318</t>
        </is>
      </c>
      <c r="C518" s="4" t="inlineStr">
        <is>
          <t>KR102400335B1</t>
        </is>
      </c>
      <c r="D518" s="4" t="inlineStr">
        <is>
          <t>Example 4</t>
        </is>
      </c>
      <c r="E518" s="4" t="inlineStr">
        <is>
          <t>dev(OOF)</t>
        </is>
      </c>
      <c r="F518" s="10" t="n">
        <v>209</v>
      </c>
      <c r="G518" s="10" t="n">
        <v>198.0394735255911</v>
      </c>
      <c r="H518" s="10" t="n">
        <v>46.78618686333877</v>
      </c>
      <c r="I518" s="10">
        <f>G518-1.96*H518</f>
        <v/>
      </c>
      <c r="J518" s="10">
        <f>G518+1.96*H518</f>
        <v/>
      </c>
      <c r="K518" s="10">
        <f>G518-F518</f>
        <v/>
      </c>
      <c r="L518" s="4">
        <f>IF(AND(F518&gt;=I518,F518&lt;=J518),1,0)</f>
        <v/>
      </c>
    </row>
    <row r="519">
      <c r="A519" s="4" t="inlineStr">
        <is>
          <t>elongation_pct</t>
        </is>
      </c>
      <c r="B519" s="4" t="inlineStr">
        <is>
          <t>G085</t>
        </is>
      </c>
      <c r="C519" s="4" t="inlineStr">
        <is>
          <t>US8367776B2</t>
        </is>
      </c>
      <c r="D519" s="4" t="inlineStr">
        <is>
          <t>Comparative Example 2</t>
        </is>
      </c>
      <c r="E519" s="4" t="inlineStr">
        <is>
          <t>dev(OOF)</t>
        </is>
      </c>
      <c r="F519" s="10" t="n">
        <v>225</v>
      </c>
      <c r="G519" s="10" t="n">
        <v>275.605545262026</v>
      </c>
      <c r="H519" s="10" t="n">
        <v>30.86288781946997</v>
      </c>
      <c r="I519" s="10">
        <f>G519-1.96*H519</f>
        <v/>
      </c>
      <c r="J519" s="10">
        <f>G519+1.96*H519</f>
        <v/>
      </c>
      <c r="K519" s="10">
        <f>G519-F519</f>
        <v/>
      </c>
      <c r="L519" s="4">
        <f>IF(AND(F519&gt;=I519,F519&lt;=J519),1,0)</f>
        <v/>
      </c>
    </row>
    <row r="520">
      <c r="A520" s="4" t="inlineStr">
        <is>
          <t>elongation_pct</t>
        </is>
      </c>
      <c r="B520" s="4" t="inlineStr">
        <is>
          <t>G075</t>
        </is>
      </c>
      <c r="C520" s="4" t="inlineStr">
        <is>
          <t>US12091537B2</t>
        </is>
      </c>
      <c r="D520" s="4" t="inlineStr">
        <is>
          <t>Example 2</t>
        </is>
      </c>
      <c r="E520" s="4" t="inlineStr">
        <is>
          <t>dev(OOF)</t>
        </is>
      </c>
      <c r="F520" s="10" t="n">
        <v>210</v>
      </c>
      <c r="G520" s="10" t="n">
        <v>189.874367228994</v>
      </c>
      <c r="H520" s="10" t="n">
        <v>32.04138194380529</v>
      </c>
      <c r="I520" s="10">
        <f>G520-1.96*H520</f>
        <v/>
      </c>
      <c r="J520" s="10">
        <f>G520+1.96*H520</f>
        <v/>
      </c>
      <c r="K520" s="10">
        <f>G520-F520</f>
        <v/>
      </c>
      <c r="L520" s="4">
        <f>IF(AND(F520&gt;=I520,F520&lt;=J520),1,0)</f>
        <v/>
      </c>
    </row>
    <row r="521">
      <c r="A521" s="4" t="inlineStr">
        <is>
          <t>elongation_pct</t>
        </is>
      </c>
      <c r="B521" s="4" t="inlineStr">
        <is>
          <t>G095</t>
        </is>
      </c>
      <c r="C521" s="4" t="inlineStr">
        <is>
          <t>US8367776B2</t>
        </is>
      </c>
      <c r="D521" s="4" t="inlineStr">
        <is>
          <t>Example 13</t>
        </is>
      </c>
      <c r="E521" s="4" t="inlineStr">
        <is>
          <t>dev(OOF)</t>
        </is>
      </c>
      <c r="F521" s="10" t="n">
        <v>256</v>
      </c>
      <c r="G521" s="10" t="n">
        <v>261.9263055730224</v>
      </c>
      <c r="H521" s="10" t="n">
        <v>32.42361018480763</v>
      </c>
      <c r="I521" s="10">
        <f>G521-1.96*H521</f>
        <v/>
      </c>
      <c r="J521" s="10">
        <f>G521+1.96*H521</f>
        <v/>
      </c>
      <c r="K521" s="10">
        <f>G521-F521</f>
        <v/>
      </c>
      <c r="L521" s="4">
        <f>IF(AND(F521&gt;=I521,F521&lt;=J521),1,0)</f>
        <v/>
      </c>
    </row>
    <row r="522">
      <c r="A522" s="4" t="inlineStr">
        <is>
          <t>elongation_pct</t>
        </is>
      </c>
      <c r="B522" s="4" t="inlineStr">
        <is>
          <t>G127</t>
        </is>
      </c>
      <c r="C522" s="4" t="inlineStr">
        <is>
          <t>US7247749B2</t>
        </is>
      </c>
      <c r="D522" s="4" t="inlineStr">
        <is>
          <t>Sample 3</t>
        </is>
      </c>
      <c r="E522" s="4" t="inlineStr">
        <is>
          <t>dev(OOF)</t>
        </is>
      </c>
      <c r="F522" s="10" t="n">
        <v>179</v>
      </c>
      <c r="G522" s="10" t="n">
        <v>176.379295889705</v>
      </c>
      <c r="H522" s="10" t="n">
        <v>24.94352497133424</v>
      </c>
      <c r="I522" s="10">
        <f>G522-1.96*H522</f>
        <v/>
      </c>
      <c r="J522" s="10">
        <f>G522+1.96*H522</f>
        <v/>
      </c>
      <c r="K522" s="10">
        <f>G522-F522</f>
        <v/>
      </c>
      <c r="L522" s="4">
        <f>IF(AND(F522&gt;=I522,F522&lt;=J522),1,0)</f>
        <v/>
      </c>
    </row>
    <row r="523">
      <c r="A523" s="4" t="inlineStr">
        <is>
          <t>elongation_pct</t>
        </is>
      </c>
      <c r="B523" s="4" t="inlineStr">
        <is>
          <t>G274</t>
        </is>
      </c>
      <c r="C523" s="4" t="inlineStr">
        <is>
          <t>US20230174763A1</t>
        </is>
      </c>
      <c r="D523" s="4" t="inlineStr">
        <is>
          <t>Comparative Example 12</t>
        </is>
      </c>
      <c r="E523" s="4" t="inlineStr">
        <is>
          <t>dev(OOF)</t>
        </is>
      </c>
      <c r="F523" s="10" t="n">
        <v>290</v>
      </c>
      <c r="G523" s="10" t="n">
        <v>255.534613775198</v>
      </c>
      <c r="H523" s="10" t="n">
        <v>52.89995100643907</v>
      </c>
      <c r="I523" s="10">
        <f>G523-1.96*H523</f>
        <v/>
      </c>
      <c r="J523" s="10">
        <f>G523+1.96*H523</f>
        <v/>
      </c>
      <c r="K523" s="10">
        <f>G523-F523</f>
        <v/>
      </c>
      <c r="L523" s="4">
        <f>IF(AND(F523&gt;=I523,F523&lt;=J523),1,0)</f>
        <v/>
      </c>
    </row>
    <row r="524">
      <c r="A524" s="4" t="inlineStr">
        <is>
          <t>elongation_pct</t>
        </is>
      </c>
      <c r="B524" s="4" t="inlineStr">
        <is>
          <t>G071</t>
        </is>
      </c>
      <c r="C524" s="4" t="inlineStr">
        <is>
          <t>US11072700B2</t>
        </is>
      </c>
      <c r="D524" s="4" t="inlineStr">
        <is>
          <t>Comparative Example 2</t>
        </is>
      </c>
      <c r="E524" s="4" t="inlineStr">
        <is>
          <t>dev(OOF)</t>
        </is>
      </c>
      <c r="F524" s="10" t="n">
        <v>270</v>
      </c>
      <c r="G524" s="10" t="n">
        <v>250.3867723498407</v>
      </c>
      <c r="H524" s="10" t="n">
        <v>38.73215376502633</v>
      </c>
      <c r="I524" s="10">
        <f>G524-1.96*H524</f>
        <v/>
      </c>
      <c r="J524" s="10">
        <f>G524+1.96*H524</f>
        <v/>
      </c>
      <c r="K524" s="10">
        <f>G524-F524</f>
        <v/>
      </c>
      <c r="L524" s="4">
        <f>IF(AND(F524&gt;=I524,F524&lt;=J524),1,0)</f>
        <v/>
      </c>
    </row>
    <row r="525">
      <c r="A525" s="4" t="inlineStr">
        <is>
          <t>elongation_pct</t>
        </is>
      </c>
      <c r="B525" s="4" t="inlineStr">
        <is>
          <t>G114</t>
        </is>
      </c>
      <c r="C525" s="4" t="inlineStr">
        <is>
          <t>US6992143B2</t>
        </is>
      </c>
      <c r="D525" s="4" t="inlineStr">
        <is>
          <t>Example 4</t>
        </is>
      </c>
      <c r="E525" s="4" t="inlineStr">
        <is>
          <t>dev(OOF)</t>
        </is>
      </c>
      <c r="F525" s="10" t="n">
        <v>204</v>
      </c>
      <c r="G525" s="10" t="n">
        <v>215.8460530539013</v>
      </c>
      <c r="H525" s="10" t="n">
        <v>32.69018308683345</v>
      </c>
      <c r="I525" s="10">
        <f>G525-1.96*H525</f>
        <v/>
      </c>
      <c r="J525" s="10">
        <f>G525+1.96*H525</f>
        <v/>
      </c>
      <c r="K525" s="10">
        <f>G525-F525</f>
        <v/>
      </c>
      <c r="L525" s="4">
        <f>IF(AND(F525&gt;=I525,F525&lt;=J525),1,0)</f>
        <v/>
      </c>
    </row>
    <row r="526">
      <c r="A526" s="4" t="inlineStr">
        <is>
          <t>elongation_pct</t>
        </is>
      </c>
      <c r="B526" s="4" t="inlineStr">
        <is>
          <t>G026</t>
        </is>
      </c>
      <c r="C526" s="4" t="inlineStr">
        <is>
          <t>US6803402B2</t>
        </is>
      </c>
      <c r="D526" s="4" t="inlineStr">
        <is>
          <t>Comparative Example 1</t>
        </is>
      </c>
      <c r="E526" s="4" t="inlineStr">
        <is>
          <t>dev(OOF)</t>
        </is>
      </c>
      <c r="F526" s="10" t="n">
        <v>160</v>
      </c>
      <c r="G526" s="10" t="n">
        <v>166.9417135457137</v>
      </c>
      <c r="H526" s="10" t="n">
        <v>24.26376475386474</v>
      </c>
      <c r="I526" s="10">
        <f>G526-1.96*H526</f>
        <v/>
      </c>
      <c r="J526" s="10">
        <f>G526+1.96*H526</f>
        <v/>
      </c>
      <c r="K526" s="10">
        <f>G526-F526</f>
        <v/>
      </c>
      <c r="L526" s="4">
        <f>IF(AND(F526&gt;=I526,F526&lt;=J526),1,0)</f>
        <v/>
      </c>
    </row>
    <row r="527">
      <c r="A527" s="4" t="inlineStr">
        <is>
          <t>elongation_pct</t>
        </is>
      </c>
      <c r="B527" s="4" t="inlineStr">
        <is>
          <t>G179</t>
        </is>
      </c>
      <c r="C527" s="4" t="inlineStr">
        <is>
          <t>US6281296B1</t>
        </is>
      </c>
      <c r="D527" s="4" t="inlineStr">
        <is>
          <t>Control A</t>
        </is>
      </c>
      <c r="E527" s="4" t="inlineStr">
        <is>
          <t>dev(OOF)</t>
        </is>
      </c>
      <c r="F527" s="10" t="n">
        <v>287</v>
      </c>
      <c r="G527" s="10" t="n">
        <v>227.3775108435214</v>
      </c>
      <c r="H527" s="10" t="n">
        <v>40.31851475732431</v>
      </c>
      <c r="I527" s="10">
        <f>G527-1.96*H527</f>
        <v/>
      </c>
      <c r="J527" s="10">
        <f>G527+1.96*H527</f>
        <v/>
      </c>
      <c r="K527" s="10">
        <f>G527-F527</f>
        <v/>
      </c>
      <c r="L527" s="4">
        <f>IF(AND(F527&gt;=I527,F527&lt;=J527),1,0)</f>
        <v/>
      </c>
    </row>
    <row r="528">
      <c r="A528" s="4" t="inlineStr">
        <is>
          <t>elongation_pct</t>
        </is>
      </c>
      <c r="B528" s="4" t="inlineStr">
        <is>
          <t>G010</t>
        </is>
      </c>
      <c r="C528" s="4" t="inlineStr">
        <is>
          <t>US7678858B2</t>
        </is>
      </c>
      <c r="D528" s="4" t="inlineStr">
        <is>
          <t>Comparative Example 1</t>
        </is>
      </c>
      <c r="E528" s="4" t="inlineStr">
        <is>
          <t>dev(OOF)</t>
        </is>
      </c>
      <c r="F528" s="10" t="n">
        <v>160</v>
      </c>
      <c r="G528" s="10" t="n">
        <v>166.0507491213892</v>
      </c>
      <c r="H528" s="10" t="n">
        <v>23.9160850467537</v>
      </c>
      <c r="I528" s="10">
        <f>G528-1.96*H528</f>
        <v/>
      </c>
      <c r="J528" s="10">
        <f>G528+1.96*H528</f>
        <v/>
      </c>
      <c r="K528" s="10">
        <f>G528-F528</f>
        <v/>
      </c>
      <c r="L528" s="4">
        <f>IF(AND(F528&gt;=I528,F528&lt;=J528),1,0)</f>
        <v/>
      </c>
    </row>
    <row r="529">
      <c r="A529" s="4" t="inlineStr">
        <is>
          <t>elongation_pct</t>
        </is>
      </c>
      <c r="B529" s="4" t="inlineStr">
        <is>
          <t>G014</t>
        </is>
      </c>
      <c r="C529" s="4" t="inlineStr">
        <is>
          <t>US7678858B2</t>
        </is>
      </c>
      <c r="D529" s="4" t="inlineStr">
        <is>
          <t>Example 13</t>
        </is>
      </c>
      <c r="E529" s="4" t="inlineStr">
        <is>
          <t>dev(OOF)</t>
        </is>
      </c>
      <c r="F529" s="10" t="n">
        <v>150</v>
      </c>
      <c r="G529" s="10" t="n">
        <v>165.3929100537394</v>
      </c>
      <c r="H529" s="10" t="n">
        <v>22.49978599439527</v>
      </c>
      <c r="I529" s="10">
        <f>G529-1.96*H529</f>
        <v/>
      </c>
      <c r="J529" s="10">
        <f>G529+1.96*H529</f>
        <v/>
      </c>
      <c r="K529" s="10">
        <f>G529-F529</f>
        <v/>
      </c>
      <c r="L529" s="4">
        <f>IF(AND(F529&gt;=I529,F529&lt;=J529),1,0)</f>
        <v/>
      </c>
    </row>
    <row r="530">
      <c r="A530" s="4" t="inlineStr">
        <is>
          <t>elongation_pct</t>
        </is>
      </c>
      <c r="B530" s="4" t="inlineStr">
        <is>
          <t>G248</t>
        </is>
      </c>
      <c r="C530" s="4" t="inlineStr">
        <is>
          <t>US12584054B2</t>
        </is>
      </c>
      <c r="D530" s="4" t="inlineStr">
        <is>
          <t>Example 5</t>
        </is>
      </c>
      <c r="E530" s="4" t="inlineStr">
        <is>
          <t>dev(OOF)</t>
        </is>
      </c>
      <c r="F530" s="10" t="n">
        <v>230</v>
      </c>
      <c r="G530" s="10" t="n">
        <v>226.8363206161158</v>
      </c>
      <c r="H530" s="10" t="n">
        <v>26.56733055199674</v>
      </c>
      <c r="I530" s="10">
        <f>G530-1.96*H530</f>
        <v/>
      </c>
      <c r="J530" s="10">
        <f>G530+1.96*H530</f>
        <v/>
      </c>
      <c r="K530" s="10">
        <f>G530-F530</f>
        <v/>
      </c>
      <c r="L530" s="4">
        <f>IF(AND(F530&gt;=I530,F530&lt;=J530),1,0)</f>
        <v/>
      </c>
    </row>
    <row r="531">
      <c r="A531" s="4" t="inlineStr">
        <is>
          <t>elongation_pct</t>
        </is>
      </c>
      <c r="B531" s="4" t="inlineStr">
        <is>
          <t>G308</t>
        </is>
      </c>
      <c r="C531" s="4" t="inlineStr">
        <is>
          <t>EP4249550A1</t>
        </is>
      </c>
      <c r="D531" s="4" t="inlineStr">
        <is>
          <t>Comparative Example 7</t>
        </is>
      </c>
      <c r="E531" s="4" t="inlineStr">
        <is>
          <t>dev(OOF)</t>
        </is>
      </c>
      <c r="F531" s="10" t="n">
        <v>350</v>
      </c>
      <c r="G531" s="10" t="n">
        <v>314.6324591573863</v>
      </c>
      <c r="H531" s="10" t="n">
        <v>40.6766081998335</v>
      </c>
      <c r="I531" s="10">
        <f>G531-1.96*H531</f>
        <v/>
      </c>
      <c r="J531" s="10">
        <f>G531+1.96*H531</f>
        <v/>
      </c>
      <c r="K531" s="10">
        <f>G531-F531</f>
        <v/>
      </c>
      <c r="L531" s="4">
        <f>IF(AND(F531&gt;=I531,F531&lt;=J531),1,0)</f>
        <v/>
      </c>
    </row>
    <row r="532">
      <c r="A532" s="4" t="inlineStr">
        <is>
          <t>elongation_pct</t>
        </is>
      </c>
      <c r="B532" s="4" t="inlineStr">
        <is>
          <t>G098</t>
        </is>
      </c>
      <c r="C532" s="4" t="inlineStr">
        <is>
          <t>US7354974B2</t>
        </is>
      </c>
      <c r="D532" s="4" t="inlineStr">
        <is>
          <t>Example 2</t>
        </is>
      </c>
      <c r="E532" s="4" t="inlineStr">
        <is>
          <t>dev(OOF)</t>
        </is>
      </c>
      <c r="F532" s="10" t="n">
        <v>318</v>
      </c>
      <c r="G532" s="10" t="n">
        <v>315.9481464628441</v>
      </c>
      <c r="H532" s="10" t="n">
        <v>46.98452108957437</v>
      </c>
      <c r="I532" s="10">
        <f>G532-1.96*H532</f>
        <v/>
      </c>
      <c r="J532" s="10">
        <f>G532+1.96*H532</f>
        <v/>
      </c>
      <c r="K532" s="10">
        <f>G532-F532</f>
        <v/>
      </c>
      <c r="L532" s="4">
        <f>IF(AND(F532&gt;=I532,F532&lt;=J532),1,0)</f>
        <v/>
      </c>
    </row>
    <row r="533">
      <c r="A533" s="4" t="inlineStr">
        <is>
          <t>elongation_pct</t>
        </is>
      </c>
      <c r="B533" s="4" t="inlineStr">
        <is>
          <t>G184</t>
        </is>
      </c>
      <c r="C533" s="4" t="inlineStr">
        <is>
          <t>US20040019153A1</t>
        </is>
      </c>
      <c r="D533" s="4" t="inlineStr">
        <is>
          <t>Example 1</t>
        </is>
      </c>
      <c r="E533" s="4" t="inlineStr">
        <is>
          <t>dev(OOF)</t>
        </is>
      </c>
      <c r="F533" s="10" t="n">
        <v>252</v>
      </c>
      <c r="G533" s="10" t="n">
        <v>261.451105728192</v>
      </c>
      <c r="H533" s="10" t="n">
        <v>34.93627813799242</v>
      </c>
      <c r="I533" s="10">
        <f>G533-1.96*H533</f>
        <v/>
      </c>
      <c r="J533" s="10">
        <f>G533+1.96*H533</f>
        <v/>
      </c>
      <c r="K533" s="10">
        <f>G533-F533</f>
        <v/>
      </c>
      <c r="L533" s="4">
        <f>IF(AND(F533&gt;=I533,F533&lt;=J533),1,0)</f>
        <v/>
      </c>
    </row>
    <row r="534">
      <c r="A534" s="4" t="inlineStr">
        <is>
          <t>elongation_pct</t>
        </is>
      </c>
      <c r="B534" s="4" t="inlineStr">
        <is>
          <t>G051</t>
        </is>
      </c>
      <c r="C534" s="4" t="inlineStr">
        <is>
          <t>US8211964B2</t>
        </is>
      </c>
      <c r="D534" s="4" t="inlineStr">
        <is>
          <t>Example 8</t>
        </is>
      </c>
      <c r="E534" s="4" t="inlineStr">
        <is>
          <t>dev(OOF)</t>
        </is>
      </c>
      <c r="F534" s="10" t="n">
        <v>205</v>
      </c>
      <c r="G534" s="10" t="n">
        <v>223.9283122394272</v>
      </c>
      <c r="H534" s="10" t="n">
        <v>48.73452283799312</v>
      </c>
      <c r="I534" s="10">
        <f>G534-1.96*H534</f>
        <v/>
      </c>
      <c r="J534" s="10">
        <f>G534+1.96*H534</f>
        <v/>
      </c>
      <c r="K534" s="10">
        <f>G534-F534</f>
        <v/>
      </c>
      <c r="L534" s="4">
        <f>IF(AND(F534&gt;=I534,F534&lt;=J534),1,0)</f>
        <v/>
      </c>
    </row>
    <row r="535">
      <c r="A535" s="4" t="inlineStr">
        <is>
          <t>elongation_pct</t>
        </is>
      </c>
      <c r="B535" s="4" t="inlineStr">
        <is>
          <t>G191</t>
        </is>
      </c>
      <c r="C535" s="4" t="inlineStr">
        <is>
          <t>US20160319102A1</t>
        </is>
      </c>
      <c r="D535" s="4" t="inlineStr">
        <is>
          <t>Example 2</t>
        </is>
      </c>
      <c r="E535" s="4" t="inlineStr">
        <is>
          <t>dev(OOF)</t>
        </is>
      </c>
      <c r="F535" s="10" t="n">
        <v>225</v>
      </c>
      <c r="G535" s="10" t="n">
        <v>233.5794821570925</v>
      </c>
      <c r="H535" s="10" t="n">
        <v>43.77292478279628</v>
      </c>
      <c r="I535" s="10">
        <f>G535-1.96*H535</f>
        <v/>
      </c>
      <c r="J535" s="10">
        <f>G535+1.96*H535</f>
        <v/>
      </c>
      <c r="K535" s="10">
        <f>G535-F535</f>
        <v/>
      </c>
      <c r="L535" s="4">
        <f>IF(AND(F535&gt;=I535,F535&lt;=J535),1,0)</f>
        <v/>
      </c>
    </row>
    <row r="536">
      <c r="A536" s="4" t="inlineStr">
        <is>
          <t>elongation_pct</t>
        </is>
      </c>
      <c r="B536" s="4" t="inlineStr">
        <is>
          <t>G154</t>
        </is>
      </c>
      <c r="C536" s="4" t="inlineStr">
        <is>
          <t>US7247749B2</t>
        </is>
      </c>
      <c r="D536" s="4" t="inlineStr">
        <is>
          <t>Sample 34</t>
        </is>
      </c>
      <c r="E536" s="4" t="inlineStr">
        <is>
          <t>dev(OOF)</t>
        </is>
      </c>
      <c r="F536" s="10" t="n">
        <v>225</v>
      </c>
      <c r="G536" s="10" t="n">
        <v>225.328542641207</v>
      </c>
      <c r="H536" s="10" t="n">
        <v>38.40830791823467</v>
      </c>
      <c r="I536" s="10">
        <f>G536-1.96*H536</f>
        <v/>
      </c>
      <c r="J536" s="10">
        <f>G536+1.96*H536</f>
        <v/>
      </c>
      <c r="K536" s="10">
        <f>G536-F536</f>
        <v/>
      </c>
      <c r="L536" s="4">
        <f>IF(AND(F536&gt;=I536,F536&lt;=J536),1,0)</f>
        <v/>
      </c>
    </row>
    <row r="537">
      <c r="A537" s="4" t="inlineStr">
        <is>
          <t>elongation_pct</t>
        </is>
      </c>
      <c r="B537" s="4" t="inlineStr">
        <is>
          <t>G244</t>
        </is>
      </c>
      <c r="C537" s="4" t="inlineStr">
        <is>
          <t>US12584054B2</t>
        </is>
      </c>
      <c r="D537" s="4" t="inlineStr">
        <is>
          <t>Example 1</t>
        </is>
      </c>
      <c r="E537" s="4" t="inlineStr">
        <is>
          <t>dev(OOF)</t>
        </is>
      </c>
      <c r="F537" s="10" t="n">
        <v>270</v>
      </c>
      <c r="G537" s="10" t="n">
        <v>289.0813062675003</v>
      </c>
      <c r="H537" s="10" t="n">
        <v>47.00328039878723</v>
      </c>
      <c r="I537" s="10">
        <f>G537-1.96*H537</f>
        <v/>
      </c>
      <c r="J537" s="10">
        <f>G537+1.96*H537</f>
        <v/>
      </c>
      <c r="K537" s="10">
        <f>G537-F537</f>
        <v/>
      </c>
      <c r="L537" s="4">
        <f>IF(AND(F537&gt;=I537,F537&lt;=J537),1,0)</f>
        <v/>
      </c>
    </row>
    <row r="538">
      <c r="A538" s="4" t="inlineStr">
        <is>
          <t>elongation_pct</t>
        </is>
      </c>
      <c r="B538" s="4" t="inlineStr">
        <is>
          <t>G283</t>
        </is>
      </c>
      <c r="C538" s="4" t="inlineStr">
        <is>
          <t>US20230365800A1</t>
        </is>
      </c>
      <c r="D538" s="4" t="inlineStr">
        <is>
          <t>Example 8</t>
        </is>
      </c>
      <c r="E538" s="4" t="inlineStr">
        <is>
          <t>dev(OOF)</t>
        </is>
      </c>
      <c r="F538" s="10" t="n">
        <v>140</v>
      </c>
      <c r="G538" s="10" t="n">
        <v>159.0252652081915</v>
      </c>
      <c r="H538" s="10" t="n">
        <v>20.93836359113695</v>
      </c>
      <c r="I538" s="10">
        <f>G538-1.96*H538</f>
        <v/>
      </c>
      <c r="J538" s="10">
        <f>G538+1.96*H538</f>
        <v/>
      </c>
      <c r="K538" s="10">
        <f>G538-F538</f>
        <v/>
      </c>
      <c r="L538" s="4">
        <f>IF(AND(F538&gt;=I538,F538&lt;=J538),1,0)</f>
        <v/>
      </c>
    </row>
    <row r="539">
      <c r="A539" s="4" t="inlineStr">
        <is>
          <t>elongation_pct</t>
        </is>
      </c>
      <c r="B539" s="4" t="inlineStr">
        <is>
          <t>G163</t>
        </is>
      </c>
      <c r="C539" s="4" t="inlineStr">
        <is>
          <t>US6956085B2</t>
        </is>
      </c>
      <c r="D539" s="4" t="inlineStr">
        <is>
          <t>Example 6</t>
        </is>
      </c>
      <c r="E539" s="4" t="inlineStr">
        <is>
          <t>dev(OOF)</t>
        </is>
      </c>
      <c r="F539" s="10" t="n">
        <v>217</v>
      </c>
      <c r="G539" s="10" t="n">
        <v>187.4910068951334</v>
      </c>
      <c r="H539" s="10" t="n">
        <v>42.60823221057284</v>
      </c>
      <c r="I539" s="10">
        <f>G539-1.96*H539</f>
        <v/>
      </c>
      <c r="J539" s="10">
        <f>G539+1.96*H539</f>
        <v/>
      </c>
      <c r="K539" s="10">
        <f>G539-F539</f>
        <v/>
      </c>
      <c r="L539" s="4">
        <f>IF(AND(F539&gt;=I539,F539&lt;=J539),1,0)</f>
        <v/>
      </c>
    </row>
    <row r="540">
      <c r="A540" s="4" t="inlineStr">
        <is>
          <t>elongation_pct</t>
        </is>
      </c>
      <c r="B540" s="4" t="inlineStr">
        <is>
          <t>G107</t>
        </is>
      </c>
      <c r="C540" s="4" t="inlineStr">
        <is>
          <t>US6992143B2</t>
        </is>
      </c>
      <c r="D540" s="4" t="inlineStr">
        <is>
          <t>Control Example 1</t>
        </is>
      </c>
      <c r="E540" s="4" t="inlineStr">
        <is>
          <t>dev(OOF)</t>
        </is>
      </c>
      <c r="F540" s="10" t="n">
        <v>162</v>
      </c>
      <c r="G540" s="10" t="n">
        <v>191.3914918204154</v>
      </c>
      <c r="H540" s="10" t="n">
        <v>30.89683148962502</v>
      </c>
      <c r="I540" s="10">
        <f>G540-1.96*H540</f>
        <v/>
      </c>
      <c r="J540" s="10">
        <f>G540+1.96*H540</f>
        <v/>
      </c>
      <c r="K540" s="10">
        <f>G540-F540</f>
        <v/>
      </c>
      <c r="L540" s="4">
        <f>IF(AND(F540&gt;=I540,F540&lt;=J540),1,0)</f>
        <v/>
      </c>
    </row>
    <row r="541">
      <c r="A541" s="4" t="inlineStr">
        <is>
          <t>elongation_pct</t>
        </is>
      </c>
      <c r="B541" s="4" t="inlineStr">
        <is>
          <t>G124</t>
        </is>
      </c>
      <c r="C541" s="4" t="inlineStr">
        <is>
          <t>US5696189A</t>
        </is>
      </c>
      <c r="D541" s="4" t="inlineStr">
        <is>
          <t>Example 7</t>
        </is>
      </c>
      <c r="E541" s="4" t="inlineStr">
        <is>
          <t>dev(OOF)</t>
        </is>
      </c>
      <c r="F541" s="10" t="n">
        <v>201</v>
      </c>
      <c r="G541" s="10" t="n">
        <v>205.0458998760821</v>
      </c>
      <c r="H541" s="10" t="n">
        <v>34.22547923533846</v>
      </c>
      <c r="I541" s="10">
        <f>G541-1.96*H541</f>
        <v/>
      </c>
      <c r="J541" s="10">
        <f>G541+1.96*H541</f>
        <v/>
      </c>
      <c r="K541" s="10">
        <f>G541-F541</f>
        <v/>
      </c>
      <c r="L541" s="4">
        <f>IF(AND(F541&gt;=I541,F541&lt;=J541),1,0)</f>
        <v/>
      </c>
    </row>
    <row r="542">
      <c r="A542" s="4" t="inlineStr">
        <is>
          <t>elongation_pct</t>
        </is>
      </c>
      <c r="B542" s="4" t="inlineStr">
        <is>
          <t>G082</t>
        </is>
      </c>
      <c r="C542" s="4" t="inlineStr">
        <is>
          <t>US12304984B2</t>
        </is>
      </c>
      <c r="D542" s="4" t="inlineStr">
        <is>
          <t>Example 2</t>
        </is>
      </c>
      <c r="E542" s="4" t="inlineStr">
        <is>
          <t>dev(OOF)</t>
        </is>
      </c>
      <c r="F542" s="10" t="n">
        <v>216</v>
      </c>
      <c r="G542" s="10" t="n">
        <v>226.1909021404964</v>
      </c>
      <c r="H542" s="10" t="n">
        <v>46.15495893368808</v>
      </c>
      <c r="I542" s="10">
        <f>G542-1.96*H542</f>
        <v/>
      </c>
      <c r="J542" s="10">
        <f>G542+1.96*H542</f>
        <v/>
      </c>
      <c r="K542" s="10">
        <f>G542-F542</f>
        <v/>
      </c>
      <c r="L542" s="4">
        <f>IF(AND(F542&gt;=I542,F542&lt;=J542),1,0)</f>
        <v/>
      </c>
    </row>
    <row r="543">
      <c r="A543" s="4" t="inlineStr">
        <is>
          <t>elongation_pct</t>
        </is>
      </c>
      <c r="B543" s="4" t="inlineStr">
        <is>
          <t>G165</t>
        </is>
      </c>
      <c r="C543" s="4" t="inlineStr">
        <is>
          <t>US20050107544A1</t>
        </is>
      </c>
      <c r="D543" s="4" t="inlineStr">
        <is>
          <t>Sample 2</t>
        </is>
      </c>
      <c r="E543" s="4" t="inlineStr">
        <is>
          <t>dev(OOF)</t>
        </is>
      </c>
      <c r="F543" s="10" t="n">
        <v>195</v>
      </c>
      <c r="G543" s="10" t="n">
        <v>165.9583080519322</v>
      </c>
      <c r="H543" s="10" t="n">
        <v>18.35151181876801</v>
      </c>
      <c r="I543" s="10">
        <f>G543-1.96*H543</f>
        <v/>
      </c>
      <c r="J543" s="10">
        <f>G543+1.96*H543</f>
        <v/>
      </c>
      <c r="K543" s="10">
        <f>G543-F543</f>
        <v/>
      </c>
      <c r="L543" s="4">
        <f>IF(AND(F543&gt;=I543,F543&lt;=J543),1,0)</f>
        <v/>
      </c>
    </row>
    <row r="544">
      <c r="A544" s="4" t="inlineStr">
        <is>
          <t>elongation_pct</t>
        </is>
      </c>
      <c r="B544" s="4" t="inlineStr">
        <is>
          <t>G001</t>
        </is>
      </c>
      <c r="C544" s="4" t="inlineStr">
        <is>
          <t>US7678858B2</t>
        </is>
      </c>
      <c r="D544" s="4" t="inlineStr">
        <is>
          <t>Example 1</t>
        </is>
      </c>
      <c r="E544" s="4" t="inlineStr">
        <is>
          <t>dev(OOF)</t>
        </is>
      </c>
      <c r="F544" s="10" t="n">
        <v>170</v>
      </c>
      <c r="G544" s="10" t="n">
        <v>164.6190909372849</v>
      </c>
      <c r="H544" s="10" t="n">
        <v>22.7164357547008</v>
      </c>
      <c r="I544" s="10">
        <f>G544-1.96*H544</f>
        <v/>
      </c>
      <c r="J544" s="10">
        <f>G544+1.96*H544</f>
        <v/>
      </c>
      <c r="K544" s="10">
        <f>G544-F544</f>
        <v/>
      </c>
      <c r="L544" s="4">
        <f>IF(AND(F544&gt;=I544,F544&lt;=J544),1,0)</f>
        <v/>
      </c>
    </row>
    <row r="545">
      <c r="A545" s="4" t="inlineStr">
        <is>
          <t>elongation_pct</t>
        </is>
      </c>
      <c r="B545" s="4" t="inlineStr">
        <is>
          <t>G284</t>
        </is>
      </c>
      <c r="C545" s="4" t="inlineStr">
        <is>
          <t>US20230365800A1</t>
        </is>
      </c>
      <c r="D545" s="4" t="inlineStr">
        <is>
          <t>Example 9</t>
        </is>
      </c>
      <c r="E545" s="4" t="inlineStr">
        <is>
          <t>dev(OOF)</t>
        </is>
      </c>
      <c r="F545" s="10" t="n">
        <v>155</v>
      </c>
      <c r="G545" s="10" t="n">
        <v>161.3512344966655</v>
      </c>
      <c r="H545" s="10" t="n">
        <v>22.21741739182981</v>
      </c>
      <c r="I545" s="10">
        <f>G545-1.96*H545</f>
        <v/>
      </c>
      <c r="J545" s="10">
        <f>G545+1.96*H545</f>
        <v/>
      </c>
      <c r="K545" s="10">
        <f>G545-F545</f>
        <v/>
      </c>
      <c r="L545" s="4">
        <f>IF(AND(F545&gt;=I545,F545&lt;=J545),1,0)</f>
        <v/>
      </c>
    </row>
    <row r="546">
      <c r="A546" s="4" t="inlineStr">
        <is>
          <t>elongation_pct</t>
        </is>
      </c>
      <c r="B546" s="4" t="inlineStr">
        <is>
          <t>G122</t>
        </is>
      </c>
      <c r="C546" s="4" t="inlineStr">
        <is>
          <t>US5696189A</t>
        </is>
      </c>
      <c r="D546" s="4" t="inlineStr">
        <is>
          <t>Example 5</t>
        </is>
      </c>
      <c r="E546" s="4" t="inlineStr">
        <is>
          <t>dev(OOF)</t>
        </is>
      </c>
      <c r="F546" s="10" t="n">
        <v>186</v>
      </c>
      <c r="G546" s="10" t="n">
        <v>222.3591782137624</v>
      </c>
      <c r="H546" s="10" t="n">
        <v>29.65555017760486</v>
      </c>
      <c r="I546" s="10">
        <f>G546-1.96*H546</f>
        <v/>
      </c>
      <c r="J546" s="10">
        <f>G546+1.96*H546</f>
        <v/>
      </c>
      <c r="K546" s="10">
        <f>G546-F546</f>
        <v/>
      </c>
      <c r="L546" s="4">
        <f>IF(AND(F546&gt;=I546,F546&lt;=J546),1,0)</f>
        <v/>
      </c>
    </row>
    <row r="547">
      <c r="A547" s="4" t="inlineStr">
        <is>
          <t>elongation_pct</t>
        </is>
      </c>
      <c r="B547" s="4" t="inlineStr">
        <is>
          <t>G276</t>
        </is>
      </c>
      <c r="C547" s="4" t="inlineStr">
        <is>
          <t>US20230174763A1</t>
        </is>
      </c>
      <c r="D547" s="4" t="inlineStr">
        <is>
          <t>Comparative Example 14</t>
        </is>
      </c>
      <c r="E547" s="4" t="inlineStr">
        <is>
          <t>dev(OOF)</t>
        </is>
      </c>
      <c r="F547" s="10" t="n">
        <v>240</v>
      </c>
      <c r="G547" s="10" t="n">
        <v>292.5858691921612</v>
      </c>
      <c r="H547" s="10" t="n">
        <v>65.61667008700039</v>
      </c>
      <c r="I547" s="10">
        <f>G547-1.96*H547</f>
        <v/>
      </c>
      <c r="J547" s="10">
        <f>G547+1.96*H547</f>
        <v/>
      </c>
      <c r="K547" s="10">
        <f>G547-F547</f>
        <v/>
      </c>
      <c r="L547" s="4">
        <f>IF(AND(F547&gt;=I547,F547&lt;=J547),1,0)</f>
        <v/>
      </c>
    </row>
    <row r="548">
      <c r="A548" s="4" t="inlineStr">
        <is>
          <t>elongation_pct</t>
        </is>
      </c>
      <c r="B548" s="4" t="inlineStr">
        <is>
          <t>G007</t>
        </is>
      </c>
      <c r="C548" s="4" t="inlineStr">
        <is>
          <t>US7678858B2</t>
        </is>
      </c>
      <c r="D548" s="4" t="inlineStr">
        <is>
          <t>Example 7</t>
        </is>
      </c>
      <c r="E548" s="4" t="inlineStr">
        <is>
          <t>dev(OOF)</t>
        </is>
      </c>
      <c r="F548" s="10" t="n">
        <v>200</v>
      </c>
      <c r="G548" s="10" t="n">
        <v>162.9051272205424</v>
      </c>
      <c r="H548" s="10" t="n">
        <v>17.30677721403723</v>
      </c>
      <c r="I548" s="10">
        <f>G548-1.96*H548</f>
        <v/>
      </c>
      <c r="J548" s="10">
        <f>G548+1.96*H548</f>
        <v/>
      </c>
      <c r="K548" s="10">
        <f>G548-F548</f>
        <v/>
      </c>
      <c r="L548" s="4">
        <f>IF(AND(F548&gt;=I548,F548&lt;=J548),1,0)</f>
        <v/>
      </c>
    </row>
    <row r="549">
      <c r="A549" s="4" t="inlineStr">
        <is>
          <t>elongation_pct</t>
        </is>
      </c>
      <c r="B549" s="4" t="inlineStr">
        <is>
          <t>G316</t>
        </is>
      </c>
      <c r="C549" s="4" t="inlineStr">
        <is>
          <t>KR102400335B1</t>
        </is>
      </c>
      <c r="D549" s="4" t="inlineStr">
        <is>
          <t>Example 2</t>
        </is>
      </c>
      <c r="E549" s="4" t="inlineStr">
        <is>
          <t>dev(OOF)</t>
        </is>
      </c>
      <c r="F549" s="10" t="n">
        <v>220</v>
      </c>
      <c r="G549" s="10" t="n">
        <v>233.865649194284</v>
      </c>
      <c r="H549" s="10" t="n">
        <v>44.2986097068168</v>
      </c>
      <c r="I549" s="10">
        <f>G549-1.96*H549</f>
        <v/>
      </c>
      <c r="J549" s="10">
        <f>G549+1.96*H549</f>
        <v/>
      </c>
      <c r="K549" s="10">
        <f>G549-F549</f>
        <v/>
      </c>
      <c r="L549" s="4">
        <f>IF(AND(F549&gt;=I549,F549&lt;=J549),1,0)</f>
        <v/>
      </c>
    </row>
    <row r="550">
      <c r="A550" s="4" t="inlineStr">
        <is>
          <t>elongation_pct</t>
        </is>
      </c>
      <c r="B550" s="4" t="inlineStr">
        <is>
          <t>G298</t>
        </is>
      </c>
      <c r="C550" s="4" t="inlineStr">
        <is>
          <t>EP4249550A1</t>
        </is>
      </c>
      <c r="D550" s="4" t="inlineStr">
        <is>
          <t>Example 10</t>
        </is>
      </c>
      <c r="E550" s="4" t="inlineStr">
        <is>
          <t>dev(OOF)</t>
        </is>
      </c>
      <c r="F550" s="10" t="n">
        <v>180</v>
      </c>
      <c r="G550" s="10" t="n">
        <v>187.9889184383005</v>
      </c>
      <c r="H550" s="10" t="n">
        <v>26.31939280937105</v>
      </c>
      <c r="I550" s="10">
        <f>G550-1.96*H550</f>
        <v/>
      </c>
      <c r="J550" s="10">
        <f>G550+1.96*H550</f>
        <v/>
      </c>
      <c r="K550" s="10">
        <f>G550-F550</f>
        <v/>
      </c>
      <c r="L550" s="4">
        <f>IF(AND(F550&gt;=I550,F550&lt;=J550),1,0)</f>
        <v/>
      </c>
    </row>
    <row r="551">
      <c r="A551" s="4" t="inlineStr">
        <is>
          <t>elongation_pct</t>
        </is>
      </c>
      <c r="B551" s="4" t="inlineStr">
        <is>
          <t>G277</t>
        </is>
      </c>
      <c r="C551" s="4" t="inlineStr">
        <is>
          <t>US20230365800A1</t>
        </is>
      </c>
      <c r="D551" s="4" t="inlineStr">
        <is>
          <t>Example 1</t>
        </is>
      </c>
      <c r="E551" s="4" t="inlineStr">
        <is>
          <t>dev(OOF)</t>
        </is>
      </c>
      <c r="F551" s="10" t="n">
        <v>180</v>
      </c>
      <c r="G551" s="10" t="n">
        <v>150.3296527831374</v>
      </c>
      <c r="H551" s="10" t="n">
        <v>17.34519637149138</v>
      </c>
      <c r="I551" s="10">
        <f>G551-1.96*H551</f>
        <v/>
      </c>
      <c r="J551" s="10">
        <f>G551+1.96*H551</f>
        <v/>
      </c>
      <c r="K551" s="10">
        <f>G551-F551</f>
        <v/>
      </c>
      <c r="L551" s="4">
        <f>IF(AND(F551&gt;=I551,F551&lt;=J551),1,0)</f>
        <v/>
      </c>
    </row>
    <row r="552">
      <c r="A552" s="4" t="inlineStr">
        <is>
          <t>elongation_pct</t>
        </is>
      </c>
      <c r="B552" s="4" t="inlineStr">
        <is>
          <t>G269</t>
        </is>
      </c>
      <c r="C552" s="4" t="inlineStr">
        <is>
          <t>US20230174763A1</t>
        </is>
      </c>
      <c r="D552" s="4" t="inlineStr">
        <is>
          <t>Comparative Example 5</t>
        </is>
      </c>
      <c r="E552" s="4" t="inlineStr">
        <is>
          <t>dev(OOF)</t>
        </is>
      </c>
      <c r="F552" s="10" t="n">
        <v>230</v>
      </c>
      <c r="G552" s="10" t="n">
        <v>213.7754770940589</v>
      </c>
      <c r="H552" s="10" t="n">
        <v>33.74140260522733</v>
      </c>
      <c r="I552" s="10">
        <f>G552-1.96*H552</f>
        <v/>
      </c>
      <c r="J552" s="10">
        <f>G552+1.96*H552</f>
        <v/>
      </c>
      <c r="K552" s="10">
        <f>G552-F552</f>
        <v/>
      </c>
      <c r="L552" s="4">
        <f>IF(AND(F552&gt;=I552,F552&lt;=J552),1,0)</f>
        <v/>
      </c>
    </row>
    <row r="553">
      <c r="A553" s="4" t="inlineStr">
        <is>
          <t>elongation_pct</t>
        </is>
      </c>
      <c r="B553" s="4" t="inlineStr">
        <is>
          <t>G314</t>
        </is>
      </c>
      <c r="C553" s="4" t="inlineStr">
        <is>
          <t>KR102400335B1</t>
        </is>
      </c>
      <c r="D553" s="4" t="inlineStr">
        <is>
          <t>Comparative Example</t>
        </is>
      </c>
      <c r="E553" s="4" t="inlineStr">
        <is>
          <t>dev(OOF)</t>
        </is>
      </c>
      <c r="F553" s="10" t="n">
        <v>250</v>
      </c>
      <c r="G553" s="10" t="n">
        <v>210.5456561539561</v>
      </c>
      <c r="H553" s="10" t="n">
        <v>41.79786953307597</v>
      </c>
      <c r="I553" s="10">
        <f>G553-1.96*H553</f>
        <v/>
      </c>
      <c r="J553" s="10">
        <f>G553+1.96*H553</f>
        <v/>
      </c>
      <c r="K553" s="10">
        <f>G553-F553</f>
        <v/>
      </c>
      <c r="L553" s="4">
        <f>IF(AND(F553&gt;=I553,F553&lt;=J553),1,0)</f>
        <v/>
      </c>
    </row>
    <row r="554">
      <c r="A554" s="4" t="inlineStr">
        <is>
          <t>elongation_pct</t>
        </is>
      </c>
      <c r="B554" s="4" t="inlineStr">
        <is>
          <t>G322</t>
        </is>
      </c>
      <c r="C554" s="4" t="inlineStr">
        <is>
          <t>KR101467101B1</t>
        </is>
      </c>
      <c r="D554" s="4" t="inlineStr">
        <is>
          <t>Table 1 compound FFKM C</t>
        </is>
      </c>
      <c r="E554" s="4" t="inlineStr">
        <is>
          <t>dev(OOF)</t>
        </is>
      </c>
      <c r="F554" s="10" t="n">
        <v>225</v>
      </c>
      <c r="G554" s="10" t="n">
        <v>199.195149459723</v>
      </c>
      <c r="H554" s="10" t="n">
        <v>42.42165560045812</v>
      </c>
      <c r="I554" s="10">
        <f>G554-1.96*H554</f>
        <v/>
      </c>
      <c r="J554" s="10">
        <f>G554+1.96*H554</f>
        <v/>
      </c>
      <c r="K554" s="10">
        <f>G554-F554</f>
        <v/>
      </c>
      <c r="L554" s="4">
        <f>IF(AND(F554&gt;=I554,F554&lt;=J554),1,0)</f>
        <v/>
      </c>
    </row>
    <row r="555">
      <c r="A555" s="4" t="inlineStr">
        <is>
          <t>elongation_pct</t>
        </is>
      </c>
      <c r="B555" s="4" t="inlineStr">
        <is>
          <t>G121</t>
        </is>
      </c>
      <c r="C555" s="4" t="inlineStr">
        <is>
          <t>US5696189A</t>
        </is>
      </c>
      <c r="D555" s="4" t="inlineStr">
        <is>
          <t>Example 4</t>
        </is>
      </c>
      <c r="E555" s="4" t="inlineStr">
        <is>
          <t>dev(OOF)</t>
        </is>
      </c>
      <c r="F555" s="10" t="n">
        <v>205</v>
      </c>
      <c r="G555" s="10" t="n">
        <v>205.1091845785168</v>
      </c>
      <c r="H555" s="10" t="n">
        <v>32.82067606781643</v>
      </c>
      <c r="I555" s="10">
        <f>G555-1.96*H555</f>
        <v/>
      </c>
      <c r="J555" s="10">
        <f>G555+1.96*H555</f>
        <v/>
      </c>
      <c r="K555" s="10">
        <f>G555-F555</f>
        <v/>
      </c>
      <c r="L555" s="4">
        <f>IF(AND(F555&gt;=I555,F555&lt;=J555),1,0)</f>
        <v/>
      </c>
    </row>
    <row r="556">
      <c r="A556" s="4" t="inlineStr">
        <is>
          <t>elongation_pct</t>
        </is>
      </c>
      <c r="B556" s="4" t="inlineStr">
        <is>
          <t>G287</t>
        </is>
      </c>
      <c r="C556" s="4" t="inlineStr">
        <is>
          <t>US20230365800A1</t>
        </is>
      </c>
      <c r="D556" s="4" t="inlineStr">
        <is>
          <t>Comparative Example 5</t>
        </is>
      </c>
      <c r="E556" s="4" t="inlineStr">
        <is>
          <t>dev(OOF)</t>
        </is>
      </c>
      <c r="F556" s="10" t="n">
        <v>125</v>
      </c>
      <c r="G556" s="10" t="n">
        <v>161.3512344966655</v>
      </c>
      <c r="H556" s="10" t="n">
        <v>22.21741739182981</v>
      </c>
      <c r="I556" s="10">
        <f>G556-1.96*H556</f>
        <v/>
      </c>
      <c r="J556" s="10">
        <f>G556+1.96*H556</f>
        <v/>
      </c>
      <c r="K556" s="10">
        <f>G556-F556</f>
        <v/>
      </c>
      <c r="L556" s="4">
        <f>IF(AND(F556&gt;=I556,F556&lt;=J556),1,0)</f>
        <v/>
      </c>
    </row>
    <row r="557">
      <c r="A557" s="4" t="inlineStr">
        <is>
          <t>elongation_pct</t>
        </is>
      </c>
      <c r="B557" s="4" t="inlineStr">
        <is>
          <t>G076</t>
        </is>
      </c>
      <c r="C557" s="4" t="inlineStr">
        <is>
          <t>US12091537B2</t>
        </is>
      </c>
      <c r="D557" s="4" t="inlineStr">
        <is>
          <t>Example 3</t>
        </is>
      </c>
      <c r="E557" s="4" t="inlineStr">
        <is>
          <t>dev(OOF)</t>
        </is>
      </c>
      <c r="F557" s="10" t="n">
        <v>190</v>
      </c>
      <c r="G557" s="10" t="n">
        <v>190.1499376662476</v>
      </c>
      <c r="H557" s="10" t="n">
        <v>23.71035629206363</v>
      </c>
      <c r="I557" s="10">
        <f>G557-1.96*H557</f>
        <v/>
      </c>
      <c r="J557" s="10">
        <f>G557+1.96*H557</f>
        <v/>
      </c>
      <c r="K557" s="10">
        <f>G557-F557</f>
        <v/>
      </c>
      <c r="L557" s="4">
        <f>IF(AND(F557&gt;=I557,F557&lt;=J557),1,0)</f>
        <v/>
      </c>
    </row>
    <row r="558">
      <c r="A558" s="4" t="inlineStr">
        <is>
          <t>elongation_pct</t>
        </is>
      </c>
      <c r="B558" s="4" t="inlineStr">
        <is>
          <t>G024</t>
        </is>
      </c>
      <c r="C558" s="4" t="inlineStr">
        <is>
          <t>US6803402B2</t>
        </is>
      </c>
      <c r="D558" s="4" t="inlineStr">
        <is>
          <t>Example 1</t>
        </is>
      </c>
      <c r="E558" s="4" t="inlineStr">
        <is>
          <t>dev(OOF)</t>
        </is>
      </c>
      <c r="F558" s="10" t="n">
        <v>165</v>
      </c>
      <c r="G558" s="10" t="n">
        <v>160.8677587350588</v>
      </c>
      <c r="H558" s="10" t="n">
        <v>20.24831966841093</v>
      </c>
      <c r="I558" s="10">
        <f>G558-1.96*H558</f>
        <v/>
      </c>
      <c r="J558" s="10">
        <f>G558+1.96*H558</f>
        <v/>
      </c>
      <c r="K558" s="10">
        <f>G558-F558</f>
        <v/>
      </c>
      <c r="L558" s="4">
        <f>IF(AND(F558&gt;=I558,F558&lt;=J558),1,0)</f>
        <v/>
      </c>
    </row>
    <row r="559">
      <c r="A559" s="4" t="inlineStr">
        <is>
          <t>elongation_pct</t>
        </is>
      </c>
      <c r="B559" s="4" t="inlineStr">
        <is>
          <t>G125</t>
        </is>
      </c>
      <c r="C559" s="4" t="inlineStr">
        <is>
          <t>US7247749B2</t>
        </is>
      </c>
      <c r="D559" s="4" t="inlineStr">
        <is>
          <t>Sample 1</t>
        </is>
      </c>
      <c r="E559" s="4" t="inlineStr">
        <is>
          <t>dev(OOF)</t>
        </is>
      </c>
      <c r="F559" s="10" t="n">
        <v>197</v>
      </c>
      <c r="G559" s="10" t="n">
        <v>147.8923464903751</v>
      </c>
      <c r="H559" s="10" t="n">
        <v>24.95946929044737</v>
      </c>
      <c r="I559" s="10">
        <f>G559-1.96*H559</f>
        <v/>
      </c>
      <c r="J559" s="10">
        <f>G559+1.96*H559</f>
        <v/>
      </c>
      <c r="K559" s="10">
        <f>G559-F559</f>
        <v/>
      </c>
      <c r="L559" s="4">
        <f>IF(AND(F559&gt;=I559,F559&lt;=J559),1,0)</f>
        <v/>
      </c>
    </row>
    <row r="560">
      <c r="A560" s="4" t="inlineStr">
        <is>
          <t>elongation_pct</t>
        </is>
      </c>
      <c r="B560" s="4" t="inlineStr">
        <is>
          <t>G306</t>
        </is>
      </c>
      <c r="C560" s="4" t="inlineStr">
        <is>
          <t>EP4249550A1</t>
        </is>
      </c>
      <c r="D560" s="4" t="inlineStr">
        <is>
          <t>Comparative Example 5</t>
        </is>
      </c>
      <c r="E560" s="4" t="inlineStr">
        <is>
          <t>dev(OOF)</t>
        </is>
      </c>
      <c r="F560" s="10" t="n">
        <v>320</v>
      </c>
      <c r="G560" s="10" t="n">
        <v>292.2099842927868</v>
      </c>
      <c r="H560" s="10" t="n">
        <v>47.81547210901483</v>
      </c>
      <c r="I560" s="10">
        <f>G560-1.96*H560</f>
        <v/>
      </c>
      <c r="J560" s="10">
        <f>G560+1.96*H560</f>
        <v/>
      </c>
      <c r="K560" s="10">
        <f>G560-F560</f>
        <v/>
      </c>
      <c r="L560" s="4">
        <f>IF(AND(F560&gt;=I560,F560&lt;=J560),1,0)</f>
        <v/>
      </c>
    </row>
    <row r="561">
      <c r="A561" s="4" t="inlineStr">
        <is>
          <t>elongation_pct</t>
        </is>
      </c>
      <c r="B561" s="4" t="inlineStr">
        <is>
          <t>G333</t>
        </is>
      </c>
      <c r="C561" s="4" t="inlineStr">
        <is>
          <t>KR101467101B1</t>
        </is>
      </c>
      <c r="D561" s="4" t="inlineStr">
        <is>
          <t>Example 3</t>
        </is>
      </c>
      <c r="E561" s="4" t="inlineStr">
        <is>
          <t>dev(OOF)</t>
        </is>
      </c>
      <c r="F561" s="10" t="n">
        <v>213.2</v>
      </c>
      <c r="G561" s="10" t="n">
        <v>189.7636808888517</v>
      </c>
      <c r="H561" s="10" t="n">
        <v>49.40929003966667</v>
      </c>
      <c r="I561" s="10">
        <f>G561-1.96*H561</f>
        <v/>
      </c>
      <c r="J561" s="10">
        <f>G561+1.96*H561</f>
        <v/>
      </c>
      <c r="K561" s="10">
        <f>G561-F561</f>
        <v/>
      </c>
      <c r="L561" s="4">
        <f>IF(AND(F561&gt;=I561,F561&lt;=J561),1,0)</f>
        <v/>
      </c>
    </row>
    <row r="562">
      <c r="A562" s="4" t="inlineStr">
        <is>
          <t>elongation_pct</t>
        </is>
      </c>
      <c r="B562" s="4" t="inlineStr">
        <is>
          <t>G295</t>
        </is>
      </c>
      <c r="C562" s="4" t="inlineStr">
        <is>
          <t>EP4249550A1</t>
        </is>
      </c>
      <c r="D562" s="4" t="inlineStr">
        <is>
          <t>Example 6</t>
        </is>
      </c>
      <c r="E562" s="4" t="inlineStr">
        <is>
          <t>dev(OOF)</t>
        </is>
      </c>
      <c r="F562" s="10" t="n">
        <v>190</v>
      </c>
      <c r="G562" s="10" t="n">
        <v>189.8094133515239</v>
      </c>
      <c r="H562" s="10" t="n">
        <v>21.48743188382324</v>
      </c>
      <c r="I562" s="10">
        <f>G562-1.96*H562</f>
        <v/>
      </c>
      <c r="J562" s="10">
        <f>G562+1.96*H562</f>
        <v/>
      </c>
      <c r="K562" s="10">
        <f>G562-F562</f>
        <v/>
      </c>
      <c r="L562" s="4">
        <f>IF(AND(F562&gt;=I562,F562&lt;=J562),1,0)</f>
        <v/>
      </c>
    </row>
    <row r="563">
      <c r="A563" s="4" t="inlineStr">
        <is>
          <t>elongation_pct</t>
        </is>
      </c>
      <c r="B563" s="4" t="inlineStr">
        <is>
          <t>G139</t>
        </is>
      </c>
      <c r="C563" s="4" t="inlineStr">
        <is>
          <t>US7247749B2</t>
        </is>
      </c>
      <c r="D563" s="4" t="inlineStr">
        <is>
          <t>Sample 15</t>
        </is>
      </c>
      <c r="E563" s="4" t="inlineStr">
        <is>
          <t>dev(OOF)</t>
        </is>
      </c>
      <c r="F563" s="10" t="n">
        <v>168</v>
      </c>
      <c r="G563" s="10" t="n">
        <v>155.2166994031813</v>
      </c>
      <c r="H563" s="10" t="n">
        <v>30.9042428450561</v>
      </c>
      <c r="I563" s="10">
        <f>G563-1.96*H563</f>
        <v/>
      </c>
      <c r="J563" s="10">
        <f>G563+1.96*H563</f>
        <v/>
      </c>
      <c r="K563" s="10">
        <f>G563-F563</f>
        <v/>
      </c>
      <c r="L563" s="4">
        <f>IF(AND(F563&gt;=I563,F563&lt;=J563),1,0)</f>
        <v/>
      </c>
    </row>
    <row r="564">
      <c r="A564" s="4" t="inlineStr">
        <is>
          <t>elongation_pct</t>
        </is>
      </c>
      <c r="B564" s="4" t="inlineStr">
        <is>
          <t>G193</t>
        </is>
      </c>
      <c r="C564" s="4" t="inlineStr">
        <is>
          <t>US20160319102A1</t>
        </is>
      </c>
      <c r="D564" s="4" t="inlineStr">
        <is>
          <t>Example 4</t>
        </is>
      </c>
      <c r="E564" s="4" t="inlineStr">
        <is>
          <t>dev(OOF)</t>
        </is>
      </c>
      <c r="F564" s="10" t="n">
        <v>225</v>
      </c>
      <c r="G564" s="10" t="n">
        <v>217.5279748361767</v>
      </c>
      <c r="H564" s="10" t="n">
        <v>40.4106231879522</v>
      </c>
      <c r="I564" s="10">
        <f>G564-1.96*H564</f>
        <v/>
      </c>
      <c r="J564" s="10">
        <f>G564+1.96*H564</f>
        <v/>
      </c>
      <c r="K564" s="10">
        <f>G564-F564</f>
        <v/>
      </c>
      <c r="L564" s="4">
        <f>IF(AND(F564&gt;=I564,F564&lt;=J564),1,0)</f>
        <v/>
      </c>
    </row>
    <row r="565">
      <c r="A565" s="4" t="inlineStr">
        <is>
          <t>elongation_pct</t>
        </is>
      </c>
      <c r="B565" s="4" t="inlineStr">
        <is>
          <t>G299</t>
        </is>
      </c>
      <c r="C565" s="4" t="inlineStr">
        <is>
          <t>EP4249550A1</t>
        </is>
      </c>
      <c r="D565" s="4" t="inlineStr">
        <is>
          <t>Example 11</t>
        </is>
      </c>
      <c r="E565" s="4" t="inlineStr">
        <is>
          <t>dev(OOF)</t>
        </is>
      </c>
      <c r="F565" s="10" t="n">
        <v>180</v>
      </c>
      <c r="G565" s="10" t="n">
        <v>186.9195870665328</v>
      </c>
      <c r="H565" s="10" t="n">
        <v>26.27076597016277</v>
      </c>
      <c r="I565" s="10">
        <f>G565-1.96*H565</f>
        <v/>
      </c>
      <c r="J565" s="10">
        <f>G565+1.96*H565</f>
        <v/>
      </c>
      <c r="K565" s="10">
        <f>G565-F565</f>
        <v/>
      </c>
      <c r="L565" s="4">
        <f>IF(AND(F565&gt;=I565,F565&lt;=J565),1,0)</f>
        <v/>
      </c>
    </row>
    <row r="566">
      <c r="A566" s="4" t="inlineStr">
        <is>
          <t>elongation_pct</t>
        </is>
      </c>
      <c r="B566" s="4" t="inlineStr">
        <is>
          <t>G249</t>
        </is>
      </c>
      <c r="C566" s="4" t="inlineStr">
        <is>
          <t>US12584054B2</t>
        </is>
      </c>
      <c r="D566" s="4" t="inlineStr">
        <is>
          <t>Comparative Example 1</t>
        </is>
      </c>
      <c r="E566" s="4" t="inlineStr">
        <is>
          <t>dev(OOF)</t>
        </is>
      </c>
      <c r="F566" s="10" t="n">
        <v>290</v>
      </c>
      <c r="G566" s="10" t="n">
        <v>279.4812966447238</v>
      </c>
      <c r="H566" s="10" t="n">
        <v>42.49726875582423</v>
      </c>
      <c r="I566" s="10">
        <f>G566-1.96*H566</f>
        <v/>
      </c>
      <c r="J566" s="10">
        <f>G566+1.96*H566</f>
        <v/>
      </c>
      <c r="K566" s="10">
        <f>G566-F566</f>
        <v/>
      </c>
      <c r="L566" s="4">
        <f>IF(AND(F566&gt;=I566,F566&lt;=J566),1,0)</f>
        <v/>
      </c>
    </row>
    <row r="567">
      <c r="A567" s="4" t="inlineStr">
        <is>
          <t>elongation_pct</t>
        </is>
      </c>
      <c r="B567" s="4" t="inlineStr">
        <is>
          <t>G135</t>
        </is>
      </c>
      <c r="C567" s="4" t="inlineStr">
        <is>
          <t>US7247749B2</t>
        </is>
      </c>
      <c r="D567" s="4" t="inlineStr">
        <is>
          <t>Comparative Sample 11</t>
        </is>
      </c>
      <c r="E567" s="4" t="inlineStr">
        <is>
          <t>dev(OOF)</t>
        </is>
      </c>
      <c r="F567" s="10" t="n">
        <v>165</v>
      </c>
      <c r="G567" s="10" t="n">
        <v>179.6286797874373</v>
      </c>
      <c r="H567" s="10" t="n">
        <v>25.29737201416122</v>
      </c>
      <c r="I567" s="10">
        <f>G567-1.96*H567</f>
        <v/>
      </c>
      <c r="J567" s="10">
        <f>G567+1.96*H567</f>
        <v/>
      </c>
      <c r="K567" s="10">
        <f>G567-F567</f>
        <v/>
      </c>
      <c r="L567" s="4">
        <f>IF(AND(F567&gt;=I567,F567&lt;=J567),1,0)</f>
        <v/>
      </c>
    </row>
    <row r="568">
      <c r="A568" s="4" t="inlineStr">
        <is>
          <t>elongation_pct</t>
        </is>
      </c>
      <c r="B568" s="4" t="inlineStr">
        <is>
          <t>G113</t>
        </is>
      </c>
      <c r="C568" s="4" t="inlineStr">
        <is>
          <t>US6992143B2</t>
        </is>
      </c>
      <c r="D568" s="4" t="inlineStr">
        <is>
          <t>Comparative Example A</t>
        </is>
      </c>
      <c r="E568" s="4" t="inlineStr">
        <is>
          <t>dev(OOF)</t>
        </is>
      </c>
      <c r="F568" s="10" t="n">
        <v>161</v>
      </c>
      <c r="G568" s="10" t="n">
        <v>183.1011771317286</v>
      </c>
      <c r="H568" s="10" t="n">
        <v>24.90530714804031</v>
      </c>
      <c r="I568" s="10">
        <f>G568-1.96*H568</f>
        <v/>
      </c>
      <c r="J568" s="10">
        <f>G568+1.96*H568</f>
        <v/>
      </c>
      <c r="K568" s="10">
        <f>G568-F568</f>
        <v/>
      </c>
      <c r="L568" s="4">
        <f>IF(AND(F568&gt;=I568,F568&lt;=J568),1,0)</f>
        <v/>
      </c>
    </row>
    <row r="569">
      <c r="A569" s="4" t="inlineStr">
        <is>
          <t>elongation_pct</t>
        </is>
      </c>
      <c r="B569" s="4" t="inlineStr">
        <is>
          <t>G300</t>
        </is>
      </c>
      <c r="C569" s="4" t="inlineStr">
        <is>
          <t>EP4249550A1</t>
        </is>
      </c>
      <c r="D569" s="4" t="inlineStr">
        <is>
          <t>Example 12</t>
        </is>
      </c>
      <c r="E569" s="4" t="inlineStr">
        <is>
          <t>dev(OOF)</t>
        </is>
      </c>
      <c r="F569" s="10" t="n">
        <v>310</v>
      </c>
      <c r="G569" s="10" t="n">
        <v>307.7675716301421</v>
      </c>
      <c r="H569" s="10" t="n">
        <v>39.91854981715058</v>
      </c>
      <c r="I569" s="10">
        <f>G569-1.96*H569</f>
        <v/>
      </c>
      <c r="J569" s="10">
        <f>G569+1.96*H569</f>
        <v/>
      </c>
      <c r="K569" s="10">
        <f>G569-F569</f>
        <v/>
      </c>
      <c r="L569" s="4">
        <f>IF(AND(F569&gt;=I569,F569&lt;=J569),1,0)</f>
        <v/>
      </c>
    </row>
    <row r="570">
      <c r="A570" s="4" t="inlineStr">
        <is>
          <t>elongation_pct</t>
        </is>
      </c>
      <c r="B570" s="4" t="inlineStr">
        <is>
          <t>G011</t>
        </is>
      </c>
      <c r="C570" s="4" t="inlineStr">
        <is>
          <t>US7678858B2</t>
        </is>
      </c>
      <c r="D570" s="4" t="inlineStr">
        <is>
          <t>Example 10</t>
        </is>
      </c>
      <c r="E570" s="4" t="inlineStr">
        <is>
          <t>dev(OOF)</t>
        </is>
      </c>
      <c r="F570" s="10" t="n">
        <v>190</v>
      </c>
      <c r="G570" s="10" t="n">
        <v>144.9194458712566</v>
      </c>
      <c r="H570" s="10" t="n">
        <v>15.90179881027525</v>
      </c>
      <c r="I570" s="10">
        <f>G570-1.96*H570</f>
        <v/>
      </c>
      <c r="J570" s="10">
        <f>G570+1.96*H570</f>
        <v/>
      </c>
      <c r="K570" s="10">
        <f>G570-F570</f>
        <v/>
      </c>
      <c r="L570" s="4">
        <f>IF(AND(F570&gt;=I570,F570&lt;=J570),1,0)</f>
        <v/>
      </c>
    </row>
    <row r="571">
      <c r="A571" s="4" t="inlineStr">
        <is>
          <t>elongation_pct</t>
        </is>
      </c>
      <c r="B571" s="4" t="inlineStr">
        <is>
          <t>G037</t>
        </is>
      </c>
      <c r="C571" s="4" t="inlineStr">
        <is>
          <t>US8173727B2</t>
        </is>
      </c>
      <c r="D571" s="4" t="inlineStr">
        <is>
          <t>Example 9</t>
        </is>
      </c>
      <c r="E571" s="4" t="inlineStr">
        <is>
          <t>dev(OOF)</t>
        </is>
      </c>
      <c r="F571" s="10" t="n">
        <v>335</v>
      </c>
      <c r="G571" s="10" t="n">
        <v>278.8761671106068</v>
      </c>
      <c r="H571" s="10" t="n">
        <v>35.56993766286971</v>
      </c>
      <c r="I571" s="10">
        <f>G571-1.96*H571</f>
        <v/>
      </c>
      <c r="J571" s="10">
        <f>G571+1.96*H571</f>
        <v/>
      </c>
      <c r="K571" s="10">
        <f>G571-F571</f>
        <v/>
      </c>
      <c r="L571" s="4">
        <f>IF(AND(F571&gt;=I571,F571&lt;=J571),1,0)</f>
        <v/>
      </c>
    </row>
    <row r="572">
      <c r="A572" s="4" t="inlineStr">
        <is>
          <t>elongation_pct</t>
        </is>
      </c>
      <c r="B572" s="4" t="inlineStr">
        <is>
          <t>G200</t>
        </is>
      </c>
      <c r="C572" s="4" t="inlineStr">
        <is>
          <t>US20160319102A1</t>
        </is>
      </c>
      <c r="D572" s="4" t="inlineStr">
        <is>
          <t>Comparative Example 5</t>
        </is>
      </c>
      <c r="E572" s="4" t="inlineStr">
        <is>
          <t>dev(OOF)</t>
        </is>
      </c>
      <c r="F572" s="10" t="n">
        <v>270</v>
      </c>
      <c r="G572" s="10" t="n">
        <v>170.388533494667</v>
      </c>
      <c r="H572" s="10" t="n">
        <v>26.79563504761366</v>
      </c>
      <c r="I572" s="10">
        <f>G572-1.96*H572</f>
        <v/>
      </c>
      <c r="J572" s="10">
        <f>G572+1.96*H572</f>
        <v/>
      </c>
      <c r="K572" s="10">
        <f>G572-F572</f>
        <v/>
      </c>
      <c r="L572" s="4">
        <f>IF(AND(F572&gt;=I572,F572&lt;=J572),1,0)</f>
        <v/>
      </c>
    </row>
    <row r="573">
      <c r="A573" s="4" t="inlineStr">
        <is>
          <t>elongation_pct</t>
        </is>
      </c>
      <c r="B573" s="4" t="inlineStr">
        <is>
          <t>G118</t>
        </is>
      </c>
      <c r="C573" s="4" t="inlineStr">
        <is>
          <t>US5696189A</t>
        </is>
      </c>
      <c r="D573" s="4" t="inlineStr">
        <is>
          <t>Example 1</t>
        </is>
      </c>
      <c r="E573" s="4" t="inlineStr">
        <is>
          <t>dev(OOF)</t>
        </is>
      </c>
      <c r="F573" s="10" t="n">
        <v>212</v>
      </c>
      <c r="G573" s="10" t="n">
        <v>222.4707203670129</v>
      </c>
      <c r="H573" s="10" t="n">
        <v>42.56910824684163</v>
      </c>
      <c r="I573" s="10">
        <f>G573-1.96*H573</f>
        <v/>
      </c>
      <c r="J573" s="10">
        <f>G573+1.96*H573</f>
        <v/>
      </c>
      <c r="K573" s="10">
        <f>G573-F573</f>
        <v/>
      </c>
      <c r="L573" s="4">
        <f>IF(AND(F573&gt;=I573,F573&lt;=J573),1,0)</f>
        <v/>
      </c>
    </row>
    <row r="574">
      <c r="A574" s="4" t="inlineStr">
        <is>
          <t>elongation_pct</t>
        </is>
      </c>
      <c r="B574" s="4" t="inlineStr">
        <is>
          <t>G137</t>
        </is>
      </c>
      <c r="C574" s="4" t="inlineStr">
        <is>
          <t>US7247749B2</t>
        </is>
      </c>
      <c r="D574" s="4" t="inlineStr">
        <is>
          <t>Sample 13</t>
        </is>
      </c>
      <c r="E574" s="4" t="inlineStr">
        <is>
          <t>dev(OOF)</t>
        </is>
      </c>
      <c r="F574" s="10" t="n">
        <v>247</v>
      </c>
      <c r="G574" s="10" t="n">
        <v>220.4292228958888</v>
      </c>
      <c r="H574" s="10" t="n">
        <v>34.7276232128409</v>
      </c>
      <c r="I574" s="10">
        <f>G574-1.96*H574</f>
        <v/>
      </c>
      <c r="J574" s="10">
        <f>G574+1.96*H574</f>
        <v/>
      </c>
      <c r="K574" s="10">
        <f>G574-F574</f>
        <v/>
      </c>
      <c r="L574" s="4">
        <f>IF(AND(F574&gt;=I574,F574&lt;=J574),1,0)</f>
        <v/>
      </c>
    </row>
    <row r="575">
      <c r="A575" s="4" t="inlineStr">
        <is>
          <t>elongation_pct</t>
        </is>
      </c>
      <c r="B575" s="4" t="inlineStr">
        <is>
          <t>G108</t>
        </is>
      </c>
      <c r="C575" s="4" t="inlineStr">
        <is>
          <t>US6992143B2</t>
        </is>
      </c>
      <c r="D575" s="4" t="inlineStr">
        <is>
          <t>Control Example 2</t>
        </is>
      </c>
      <c r="E575" s="4" t="inlineStr">
        <is>
          <t>dev(OOF)</t>
        </is>
      </c>
      <c r="F575" s="10" t="n">
        <v>181</v>
      </c>
      <c r="G575" s="10" t="n">
        <v>178.3904657594653</v>
      </c>
      <c r="H575" s="10" t="n">
        <v>29.77449485441347</v>
      </c>
      <c r="I575" s="10">
        <f>G575-1.96*H575</f>
        <v/>
      </c>
      <c r="J575" s="10">
        <f>G575+1.96*H575</f>
        <v/>
      </c>
      <c r="K575" s="10">
        <f>G575-F575</f>
        <v/>
      </c>
      <c r="L575" s="4">
        <f>IF(AND(F575&gt;=I575,F575&lt;=J575),1,0)</f>
        <v/>
      </c>
    </row>
    <row r="576">
      <c r="A576" s="4" t="inlineStr">
        <is>
          <t>elongation_pct</t>
        </is>
      </c>
      <c r="B576" s="4" t="inlineStr">
        <is>
          <t>G319</t>
        </is>
      </c>
      <c r="C576" s="4" t="inlineStr">
        <is>
          <t>KR102400335B1</t>
        </is>
      </c>
      <c r="D576" s="4" t="inlineStr">
        <is>
          <t>Example 5</t>
        </is>
      </c>
      <c r="E576" s="4" t="inlineStr">
        <is>
          <t>dev(OOF)</t>
        </is>
      </c>
      <c r="F576" s="10" t="n">
        <v>201</v>
      </c>
      <c r="G576" s="10" t="n">
        <v>197.0877777206859</v>
      </c>
      <c r="H576" s="10" t="n">
        <v>47.89450442881483</v>
      </c>
      <c r="I576" s="10">
        <f>G576-1.96*H576</f>
        <v/>
      </c>
      <c r="J576" s="10">
        <f>G576+1.96*H576</f>
        <v/>
      </c>
      <c r="K576" s="10">
        <f>G576-F576</f>
        <v/>
      </c>
      <c r="L576" s="4">
        <f>IF(AND(F576&gt;=I576,F576&lt;=J576),1,0)</f>
        <v/>
      </c>
    </row>
    <row r="577">
      <c r="A577" s="4" t="inlineStr">
        <is>
          <t>elongation_pct</t>
        </is>
      </c>
      <c r="B577" s="4" t="inlineStr">
        <is>
          <t>G094</t>
        </is>
      </c>
      <c r="C577" s="4" t="inlineStr">
        <is>
          <t>US8367776B2</t>
        </is>
      </c>
      <c r="D577" s="4" t="inlineStr">
        <is>
          <t>Example 12</t>
        </is>
      </c>
      <c r="E577" s="4" t="inlineStr">
        <is>
          <t>dev(OOF)</t>
        </is>
      </c>
      <c r="F577" s="10" t="n">
        <v>249</v>
      </c>
      <c r="G577" s="10" t="n">
        <v>261.9263055730224</v>
      </c>
      <c r="H577" s="10" t="n">
        <v>32.42361018480763</v>
      </c>
      <c r="I577" s="10">
        <f>G577-1.96*H577</f>
        <v/>
      </c>
      <c r="J577" s="10">
        <f>G577+1.96*H577</f>
        <v/>
      </c>
      <c r="K577" s="10">
        <f>G577-F577</f>
        <v/>
      </c>
      <c r="L577" s="4">
        <f>IF(AND(F577&gt;=I577,F577&lt;=J577),1,0)</f>
        <v/>
      </c>
    </row>
    <row r="578">
      <c r="A578" s="4" t="inlineStr">
        <is>
          <t>elongation_pct</t>
        </is>
      </c>
      <c r="B578" s="4" t="inlineStr">
        <is>
          <t>G020</t>
        </is>
      </c>
      <c r="C578" s="4" t="inlineStr">
        <is>
          <t>US7678858B2</t>
        </is>
      </c>
      <c r="D578" s="4" t="inlineStr">
        <is>
          <t>Example 19</t>
        </is>
      </c>
      <c r="E578" s="4" t="inlineStr">
        <is>
          <t>dev(OOF)</t>
        </is>
      </c>
      <c r="F578" s="10" t="n">
        <v>140</v>
      </c>
      <c r="G578" s="10" t="n">
        <v>141.6104611686048</v>
      </c>
      <c r="H578" s="10" t="n">
        <v>22.43599593211522</v>
      </c>
      <c r="I578" s="10">
        <f>G578-1.96*H578</f>
        <v/>
      </c>
      <c r="J578" s="10">
        <f>G578+1.96*H578</f>
        <v/>
      </c>
      <c r="K578" s="10">
        <f>G578-F578</f>
        <v/>
      </c>
      <c r="L578" s="4">
        <f>IF(AND(F578&gt;=I578,F578&lt;=J578),1,0)</f>
        <v/>
      </c>
    </row>
    <row r="579">
      <c r="A579" s="4" t="inlineStr">
        <is>
          <t>elongation_pct</t>
        </is>
      </c>
      <c r="B579" s="4" t="inlineStr">
        <is>
          <t>G002</t>
        </is>
      </c>
      <c r="C579" s="4" t="inlineStr">
        <is>
          <t>US7678858B2</t>
        </is>
      </c>
      <c r="D579" s="4" t="inlineStr">
        <is>
          <t>Example 2</t>
        </is>
      </c>
      <c r="E579" s="4" t="inlineStr">
        <is>
          <t>dev(OOF)</t>
        </is>
      </c>
      <c r="F579" s="10" t="n">
        <v>170</v>
      </c>
      <c r="G579" s="10" t="n">
        <v>165.1078816498466</v>
      </c>
      <c r="H579" s="10" t="n">
        <v>22.74924695723331</v>
      </c>
      <c r="I579" s="10">
        <f>G579-1.96*H579</f>
        <v/>
      </c>
      <c r="J579" s="10">
        <f>G579+1.96*H579</f>
        <v/>
      </c>
      <c r="K579" s="10">
        <f>G579-F579</f>
        <v/>
      </c>
      <c r="L579" s="4">
        <f>IF(AND(F579&gt;=I579,F579&lt;=J579),1,0)</f>
        <v/>
      </c>
    </row>
    <row r="580">
      <c r="A580" s="4" t="inlineStr">
        <is>
          <t>elongation_pct</t>
        </is>
      </c>
      <c r="B580" s="4" t="inlineStr">
        <is>
          <t>G035</t>
        </is>
      </c>
      <c r="C580" s="4" t="inlineStr">
        <is>
          <t>US8173727B2</t>
        </is>
      </c>
      <c r="D580" s="4" t="inlineStr">
        <is>
          <t>Example 7</t>
        </is>
      </c>
      <c r="E580" s="4" t="inlineStr">
        <is>
          <t>dev(OOF)</t>
        </is>
      </c>
      <c r="F580" s="10" t="n">
        <v>180</v>
      </c>
      <c r="G580" s="10" t="n">
        <v>200.2996961724965</v>
      </c>
      <c r="H580" s="10" t="n">
        <v>34.17502235690661</v>
      </c>
      <c r="I580" s="10">
        <f>G580-1.96*H580</f>
        <v/>
      </c>
      <c r="J580" s="10">
        <f>G580+1.96*H580</f>
        <v/>
      </c>
      <c r="K580" s="10">
        <f>G580-F580</f>
        <v/>
      </c>
      <c r="L580" s="4">
        <f>IF(AND(F580&gt;=I580,F580&lt;=J580),1,0)</f>
        <v/>
      </c>
    </row>
    <row r="581">
      <c r="A581" s="4" t="inlineStr">
        <is>
          <t>elongation_pct</t>
        </is>
      </c>
      <c r="B581" s="4" t="inlineStr">
        <is>
          <t>G150</t>
        </is>
      </c>
      <c r="C581" s="4" t="inlineStr">
        <is>
          <t>US7247749B2</t>
        </is>
      </c>
      <c r="D581" s="4" t="inlineStr">
        <is>
          <t>Sample 26</t>
        </is>
      </c>
      <c r="E581" s="4" t="inlineStr">
        <is>
          <t>dev(OOF)</t>
        </is>
      </c>
      <c r="F581" s="10" t="n">
        <v>143</v>
      </c>
      <c r="G581" s="10" t="n">
        <v>176.379295889705</v>
      </c>
      <c r="H581" s="10" t="n">
        <v>24.94352497133424</v>
      </c>
      <c r="I581" s="10">
        <f>G581-1.96*H581</f>
        <v/>
      </c>
      <c r="J581" s="10">
        <f>G581+1.96*H581</f>
        <v/>
      </c>
      <c r="K581" s="10">
        <f>G581-F581</f>
        <v/>
      </c>
      <c r="L581" s="4">
        <f>IF(AND(F581&gt;=I581,F581&lt;=J581),1,0)</f>
        <v/>
      </c>
    </row>
    <row r="582">
      <c r="A582" s="4" t="inlineStr">
        <is>
          <t>elongation_pct</t>
        </is>
      </c>
      <c r="B582" s="4" t="inlineStr">
        <is>
          <t>G034</t>
        </is>
      </c>
      <c r="C582" s="4" t="inlineStr">
        <is>
          <t>US8173727B2</t>
        </is>
      </c>
      <c r="D582" s="4" t="inlineStr">
        <is>
          <t>Example 6</t>
        </is>
      </c>
      <c r="E582" s="4" t="inlineStr">
        <is>
          <t>dev(OOF)</t>
        </is>
      </c>
      <c r="F582" s="10" t="n">
        <v>160</v>
      </c>
      <c r="G582" s="10" t="n">
        <v>164.9851692323065</v>
      </c>
      <c r="H582" s="10" t="n">
        <v>23.52008550614981</v>
      </c>
      <c r="I582" s="10">
        <f>G582-1.96*H582</f>
        <v/>
      </c>
      <c r="J582" s="10">
        <f>G582+1.96*H582</f>
        <v/>
      </c>
      <c r="K582" s="10">
        <f>G582-F582</f>
        <v/>
      </c>
      <c r="L582" s="4">
        <f>IF(AND(F582&gt;=I582,F582&lt;=J582),1,0)</f>
        <v/>
      </c>
    </row>
    <row r="583">
      <c r="A583" s="4" t="inlineStr">
        <is>
          <t>elongation_pct</t>
        </is>
      </c>
      <c r="B583" s="4" t="inlineStr">
        <is>
          <t>G068</t>
        </is>
      </c>
      <c r="C583" s="4" t="inlineStr">
        <is>
          <t>US11072700B2</t>
        </is>
      </c>
      <c r="D583" s="4" t="inlineStr">
        <is>
          <t>Example 1</t>
        </is>
      </c>
      <c r="E583" s="4" t="inlineStr">
        <is>
          <t>dev(OOF)</t>
        </is>
      </c>
      <c r="F583" s="10" t="n">
        <v>320</v>
      </c>
      <c r="G583" s="10" t="n">
        <v>250.9692372122103</v>
      </c>
      <c r="H583" s="10" t="n">
        <v>34.94970142743285</v>
      </c>
      <c r="I583" s="10">
        <f>G583-1.96*H583</f>
        <v/>
      </c>
      <c r="J583" s="10">
        <f>G583+1.96*H583</f>
        <v/>
      </c>
      <c r="K583" s="10">
        <f>G583-F583</f>
        <v/>
      </c>
      <c r="L583" s="4">
        <f>IF(AND(F583&gt;=I583,F583&lt;=J583),1,0)</f>
        <v/>
      </c>
    </row>
    <row r="584">
      <c r="A584" s="4" t="inlineStr">
        <is>
          <t>elongation_pct</t>
        </is>
      </c>
      <c r="B584" s="4" t="inlineStr">
        <is>
          <t>G143</t>
        </is>
      </c>
      <c r="C584" s="4" t="inlineStr">
        <is>
          <t>US7247749B2</t>
        </is>
      </c>
      <c r="D584" s="4" t="inlineStr">
        <is>
          <t>Sample 19</t>
        </is>
      </c>
      <c r="E584" s="4" t="inlineStr">
        <is>
          <t>dev(OOF)</t>
        </is>
      </c>
      <c r="F584" s="10" t="n">
        <v>167</v>
      </c>
      <c r="G584" s="10" t="n">
        <v>181.3792253836035</v>
      </c>
      <c r="H584" s="10" t="n">
        <v>45.19122766342478</v>
      </c>
      <c r="I584" s="10">
        <f>G584-1.96*H584</f>
        <v/>
      </c>
      <c r="J584" s="10">
        <f>G584+1.96*H584</f>
        <v/>
      </c>
      <c r="K584" s="10">
        <f>G584-F584</f>
        <v/>
      </c>
      <c r="L584" s="4">
        <f>IF(AND(F584&gt;=I584,F584&lt;=J584),1,0)</f>
        <v/>
      </c>
    </row>
    <row r="585">
      <c r="A585" s="4" t="inlineStr">
        <is>
          <t>elongation_pct</t>
        </is>
      </c>
      <c r="B585" s="4" t="inlineStr">
        <is>
          <t>G116</t>
        </is>
      </c>
      <c r="C585" s="4" t="inlineStr">
        <is>
          <t>US5696189A</t>
        </is>
      </c>
      <c r="D585" s="4" t="inlineStr">
        <is>
          <t>Comparative Example A</t>
        </is>
      </c>
      <c r="E585" s="4" t="inlineStr">
        <is>
          <t>dev(OOF)</t>
        </is>
      </c>
      <c r="F585" s="10" t="n">
        <v>145</v>
      </c>
      <c r="G585" s="10" t="n">
        <v>180.5996827478172</v>
      </c>
      <c r="H585" s="10" t="n">
        <v>41.18909843299554</v>
      </c>
      <c r="I585" s="10">
        <f>G585-1.96*H585</f>
        <v/>
      </c>
      <c r="J585" s="10">
        <f>G585+1.96*H585</f>
        <v/>
      </c>
      <c r="K585" s="10">
        <f>G585-F585</f>
        <v/>
      </c>
      <c r="L585" s="4">
        <f>IF(AND(F585&gt;=I585,F585&lt;=J585),1,0)</f>
        <v/>
      </c>
    </row>
    <row r="586">
      <c r="A586" s="4" t="inlineStr">
        <is>
          <t>elongation_pct</t>
        </is>
      </c>
      <c r="B586" s="4" t="inlineStr">
        <is>
          <t>G005</t>
        </is>
      </c>
      <c r="C586" s="4" t="inlineStr">
        <is>
          <t>US7678858B2</t>
        </is>
      </c>
      <c r="D586" s="4" t="inlineStr">
        <is>
          <t>Example 5</t>
        </is>
      </c>
      <c r="E586" s="4" t="inlineStr">
        <is>
          <t>dev(OOF)</t>
        </is>
      </c>
      <c r="F586" s="10" t="n">
        <v>170</v>
      </c>
      <c r="G586" s="10" t="n">
        <v>165.1078816498466</v>
      </c>
      <c r="H586" s="10" t="n">
        <v>22.74924695723331</v>
      </c>
      <c r="I586" s="10">
        <f>G586-1.96*H586</f>
        <v/>
      </c>
      <c r="J586" s="10">
        <f>G586+1.96*H586</f>
        <v/>
      </c>
      <c r="K586" s="10">
        <f>G586-F586</f>
        <v/>
      </c>
      <c r="L586" s="4">
        <f>IF(AND(F586&gt;=I586,F586&lt;=J586),1,0)</f>
        <v/>
      </c>
    </row>
    <row r="587">
      <c r="A587" s="4" t="inlineStr">
        <is>
          <t>elongation_pct</t>
        </is>
      </c>
      <c r="B587" s="4" t="inlineStr">
        <is>
          <t>G330</t>
        </is>
      </c>
      <c r="C587" s="4" t="inlineStr">
        <is>
          <t>KR101467101B1</t>
        </is>
      </c>
      <c r="D587" s="4" t="inlineStr">
        <is>
          <t>Comparative Example 1 (Table 3 sample 4)</t>
        </is>
      </c>
      <c r="E587" s="4" t="inlineStr">
        <is>
          <t>dev(OOF)</t>
        </is>
      </c>
      <c r="F587" s="10" t="n">
        <v>141.6</v>
      </c>
      <c r="G587" s="10" t="n">
        <v>180.2394473229007</v>
      </c>
      <c r="H587" s="10" t="n">
        <v>37.64061858035677</v>
      </c>
      <c r="I587" s="10">
        <f>G587-1.96*H587</f>
        <v/>
      </c>
      <c r="J587" s="10">
        <f>G587+1.96*H587</f>
        <v/>
      </c>
      <c r="K587" s="10">
        <f>G587-F587</f>
        <v/>
      </c>
      <c r="L587" s="4">
        <f>IF(AND(F587&gt;=I587,F587&lt;=J587),1,0)</f>
        <v/>
      </c>
    </row>
    <row r="588">
      <c r="A588" s="4" t="inlineStr">
        <is>
          <t>elongation_pct</t>
        </is>
      </c>
      <c r="B588" s="4" t="inlineStr">
        <is>
          <t>G312</t>
        </is>
      </c>
      <c r="C588" s="4" t="inlineStr">
        <is>
          <t>KR100894110B1</t>
        </is>
      </c>
      <c r="D588" s="4" t="inlineStr">
        <is>
          <t>Comparative Example 1</t>
        </is>
      </c>
      <c r="E588" s="4" t="inlineStr">
        <is>
          <t>dev(OOF)</t>
        </is>
      </c>
      <c r="F588" s="10" t="n">
        <v>186</v>
      </c>
      <c r="G588" s="10" t="n">
        <v>209.6573181524134</v>
      </c>
      <c r="H588" s="10" t="n">
        <v>50.29768004214984</v>
      </c>
      <c r="I588" s="10">
        <f>G588-1.96*H588</f>
        <v/>
      </c>
      <c r="J588" s="10">
        <f>G588+1.96*H588</f>
        <v/>
      </c>
      <c r="K588" s="10">
        <f>G588-F588</f>
        <v/>
      </c>
      <c r="L588" s="4">
        <f>IF(AND(F588&gt;=I588,F588&lt;=J588),1,0)</f>
        <v/>
      </c>
    </row>
    <row r="589">
      <c r="A589" s="4" t="inlineStr">
        <is>
          <t>elongation_pct</t>
        </is>
      </c>
      <c r="B589" s="4" t="inlineStr">
        <is>
          <t>G329</t>
        </is>
      </c>
      <c r="C589" s="4" t="inlineStr">
        <is>
          <t>KR101467101B1</t>
        </is>
      </c>
      <c r="D589" s="4" t="inlineStr">
        <is>
          <t>Comparative Example 1 (Table 3 sample 3)</t>
        </is>
      </c>
      <c r="E589" s="4" t="inlineStr">
        <is>
          <t>dev(OOF)</t>
        </is>
      </c>
      <c r="F589" s="10" t="n">
        <v>156.7</v>
      </c>
      <c r="G589" s="10" t="n">
        <v>188.6964620747942</v>
      </c>
      <c r="H589" s="10" t="n">
        <v>41.83663341702005</v>
      </c>
      <c r="I589" s="10">
        <f>G589-1.96*H589</f>
        <v/>
      </c>
      <c r="J589" s="10">
        <f>G589+1.96*H589</f>
        <v/>
      </c>
      <c r="K589" s="10">
        <f>G589-F589</f>
        <v/>
      </c>
      <c r="L589" s="4">
        <f>IF(AND(F589&gt;=I589,F589&lt;=J589),1,0)</f>
        <v/>
      </c>
    </row>
    <row r="590">
      <c r="A590" s="4" t="inlineStr">
        <is>
          <t>elongation_pct</t>
        </is>
      </c>
      <c r="B590" s="4" t="inlineStr">
        <is>
          <t>G074</t>
        </is>
      </c>
      <c r="C590" s="4" t="inlineStr">
        <is>
          <t>US12091537B2</t>
        </is>
      </c>
      <c r="D590" s="4" t="inlineStr">
        <is>
          <t>Example 1</t>
        </is>
      </c>
      <c r="E590" s="4" t="inlineStr">
        <is>
          <t>dev(OOF)</t>
        </is>
      </c>
      <c r="F590" s="10" t="n">
        <v>190</v>
      </c>
      <c r="G590" s="10" t="n">
        <v>189.874367228994</v>
      </c>
      <c r="H590" s="10" t="n">
        <v>32.04138194380529</v>
      </c>
      <c r="I590" s="10">
        <f>G590-1.96*H590</f>
        <v/>
      </c>
      <c r="J590" s="10">
        <f>G590+1.96*H590</f>
        <v/>
      </c>
      <c r="K590" s="10">
        <f>G590-F590</f>
        <v/>
      </c>
      <c r="L590" s="4">
        <f>IF(AND(F590&gt;=I590,F590&lt;=J590),1,0)</f>
        <v/>
      </c>
    </row>
    <row r="591">
      <c r="A591" s="4" t="inlineStr">
        <is>
          <t>elongation_pct</t>
        </is>
      </c>
      <c r="B591" s="4" t="inlineStr">
        <is>
          <t>G195</t>
        </is>
      </c>
      <c r="C591" s="4" t="inlineStr">
        <is>
          <t>US20160319102A1</t>
        </is>
      </c>
      <c r="D591" s="4" t="inlineStr">
        <is>
          <t>Example 6</t>
        </is>
      </c>
      <c r="E591" s="4" t="inlineStr">
        <is>
          <t>dev(OOF)</t>
        </is>
      </c>
      <c r="F591" s="10" t="n">
        <v>160</v>
      </c>
      <c r="G591" s="10" t="n">
        <v>228.4063826164833</v>
      </c>
      <c r="H591" s="10" t="n">
        <v>39.98290911393127</v>
      </c>
      <c r="I591" s="10">
        <f>G591-1.96*H591</f>
        <v/>
      </c>
      <c r="J591" s="10">
        <f>G591+1.96*H591</f>
        <v/>
      </c>
      <c r="K591" s="10">
        <f>G591-F591</f>
        <v/>
      </c>
      <c r="L591" s="4">
        <f>IF(AND(F591&gt;=I591,F591&lt;=J591),1,0)</f>
        <v/>
      </c>
    </row>
    <row r="592">
      <c r="A592" s="4" t="inlineStr">
        <is>
          <t>elongation_pct</t>
        </is>
      </c>
      <c r="B592" s="4" t="inlineStr">
        <is>
          <t>G138</t>
        </is>
      </c>
      <c r="C592" s="4" t="inlineStr">
        <is>
          <t>US7247749B2</t>
        </is>
      </c>
      <c r="D592" s="4" t="inlineStr">
        <is>
          <t>Sample 14</t>
        </is>
      </c>
      <c r="E592" s="4" t="inlineStr">
        <is>
          <t>dev(OOF)</t>
        </is>
      </c>
      <c r="F592" s="10" t="n">
        <v>191</v>
      </c>
      <c r="G592" s="10" t="n">
        <v>179.6286797874373</v>
      </c>
      <c r="H592" s="10" t="n">
        <v>25.29737201416122</v>
      </c>
      <c r="I592" s="10">
        <f>G592-1.96*H592</f>
        <v/>
      </c>
      <c r="J592" s="10">
        <f>G592+1.96*H592</f>
        <v/>
      </c>
      <c r="K592" s="10">
        <f>G592-F592</f>
        <v/>
      </c>
      <c r="L592" s="4">
        <f>IF(AND(F592&gt;=I592,F592&lt;=J592),1,0)</f>
        <v/>
      </c>
    </row>
    <row r="593">
      <c r="A593" s="4" t="inlineStr">
        <is>
          <t>elongation_pct</t>
        </is>
      </c>
      <c r="B593" s="4" t="inlineStr">
        <is>
          <t>G040</t>
        </is>
      </c>
      <c r="C593" s="4" t="inlineStr">
        <is>
          <t>US8173727B2</t>
        </is>
      </c>
      <c r="D593" s="4" t="inlineStr">
        <is>
          <t>Example 12</t>
        </is>
      </c>
      <c r="E593" s="4" t="inlineStr">
        <is>
          <t>dev(OOF)</t>
        </is>
      </c>
      <c r="F593" s="10" t="n">
        <v>273</v>
      </c>
      <c r="G593" s="10" t="n">
        <v>199.8822258029797</v>
      </c>
      <c r="H593" s="10" t="n">
        <v>39.9741145581828</v>
      </c>
      <c r="I593" s="10">
        <f>G593-1.96*H593</f>
        <v/>
      </c>
      <c r="J593" s="10">
        <f>G593+1.96*H593</f>
        <v/>
      </c>
      <c r="K593" s="10">
        <f>G593-F593</f>
        <v/>
      </c>
      <c r="L593" s="4">
        <f>IF(AND(F593&gt;=I593,F593&lt;=J593),1,0)</f>
        <v/>
      </c>
    </row>
    <row r="594">
      <c r="A594" s="4" t="inlineStr">
        <is>
          <t>elongation_pct</t>
        </is>
      </c>
      <c r="B594" s="4" t="inlineStr">
        <is>
          <t>G003</t>
        </is>
      </c>
      <c r="C594" s="4" t="inlineStr">
        <is>
          <t>US7678858B2</t>
        </is>
      </c>
      <c r="D594" s="4" t="inlineStr">
        <is>
          <t>Example 3</t>
        </is>
      </c>
      <c r="E594" s="4" t="inlineStr">
        <is>
          <t>dev(OOF)</t>
        </is>
      </c>
      <c r="F594" s="10" t="n">
        <v>170</v>
      </c>
      <c r="G594" s="10" t="n">
        <v>165.6399811832133</v>
      </c>
      <c r="H594" s="10" t="n">
        <v>21.88161894563935</v>
      </c>
      <c r="I594" s="10">
        <f>G594-1.96*H594</f>
        <v/>
      </c>
      <c r="J594" s="10">
        <f>G594+1.96*H594</f>
        <v/>
      </c>
      <c r="K594" s="10">
        <f>G594-F594</f>
        <v/>
      </c>
      <c r="L594" s="4">
        <f>IF(AND(F594&gt;=I594,F594&lt;=J594),1,0)</f>
        <v/>
      </c>
    </row>
    <row r="595">
      <c r="A595" s="4" t="inlineStr">
        <is>
          <t>elongation_pct</t>
        </is>
      </c>
      <c r="B595" s="4" t="inlineStr">
        <is>
          <t>G252</t>
        </is>
      </c>
      <c r="C595" s="4" t="inlineStr">
        <is>
          <t>US12584054B2</t>
        </is>
      </c>
      <c r="D595" s="4" t="inlineStr">
        <is>
          <t>Comparative Example 4</t>
        </is>
      </c>
      <c r="E595" s="4" t="inlineStr">
        <is>
          <t>dev(OOF)</t>
        </is>
      </c>
      <c r="F595" s="10" t="n">
        <v>220</v>
      </c>
      <c r="G595" s="10" t="n">
        <v>217.2246002569377</v>
      </c>
      <c r="H595" s="10" t="n">
        <v>33.06396655306158</v>
      </c>
      <c r="I595" s="10">
        <f>G595-1.96*H595</f>
        <v/>
      </c>
      <c r="J595" s="10">
        <f>G595+1.96*H595</f>
        <v/>
      </c>
      <c r="K595" s="10">
        <f>G595-F595</f>
        <v/>
      </c>
      <c r="L595" s="4">
        <f>IF(AND(F595&gt;=I595,F595&lt;=J595),1,0)</f>
        <v/>
      </c>
    </row>
    <row r="596">
      <c r="A596" s="4" t="inlineStr">
        <is>
          <t>elongation_pct</t>
        </is>
      </c>
      <c r="B596" s="4" t="inlineStr">
        <is>
          <t>G022</t>
        </is>
      </c>
      <c r="C596" s="4" t="inlineStr">
        <is>
          <t>US7678858B2</t>
        </is>
      </c>
      <c r="D596" s="4" t="inlineStr">
        <is>
          <t>Comparative Example 2</t>
        </is>
      </c>
      <c r="E596" s="4" t="inlineStr">
        <is>
          <t>dev(OOF)</t>
        </is>
      </c>
      <c r="F596" s="10" t="n">
        <v>130</v>
      </c>
      <c r="G596" s="10" t="n">
        <v>144.9194458712566</v>
      </c>
      <c r="H596" s="10" t="n">
        <v>15.90179881027525</v>
      </c>
      <c r="I596" s="10">
        <f>G596-1.96*H596</f>
        <v/>
      </c>
      <c r="J596" s="10">
        <f>G596+1.96*H596</f>
        <v/>
      </c>
      <c r="K596" s="10">
        <f>G596-F596</f>
        <v/>
      </c>
      <c r="L596" s="4">
        <f>IF(AND(F596&gt;=I596,F596&lt;=J596),1,0)</f>
        <v/>
      </c>
    </row>
    <row r="597">
      <c r="A597" s="4" t="inlineStr">
        <is>
          <t>elongation_pct</t>
        </is>
      </c>
      <c r="B597" s="4" t="inlineStr">
        <is>
          <t>G130</t>
        </is>
      </c>
      <c r="C597" s="4" t="inlineStr">
        <is>
          <t>US7247749B2</t>
        </is>
      </c>
      <c r="D597" s="4" t="inlineStr">
        <is>
          <t>Sample 6</t>
        </is>
      </c>
      <c r="E597" s="4" t="inlineStr">
        <is>
          <t>dev(OOF)</t>
        </is>
      </c>
      <c r="F597" s="10" t="n">
        <v>145</v>
      </c>
      <c r="G597" s="10" t="n">
        <v>179.5224046766901</v>
      </c>
      <c r="H597" s="10" t="n">
        <v>44.86698228079497</v>
      </c>
      <c r="I597" s="10">
        <f>G597-1.96*H597</f>
        <v/>
      </c>
      <c r="J597" s="10">
        <f>G597+1.96*H597</f>
        <v/>
      </c>
      <c r="K597" s="10">
        <f>G597-F597</f>
        <v/>
      </c>
      <c r="L597" s="4">
        <f>IF(AND(F597&gt;=I597,F597&lt;=J597),1,0)</f>
        <v/>
      </c>
    </row>
    <row r="598">
      <c r="A598" s="4" t="inlineStr">
        <is>
          <t>elongation_pct</t>
        </is>
      </c>
      <c r="B598" s="4" t="inlineStr">
        <is>
          <t>G315</t>
        </is>
      </c>
      <c r="C598" s="4" t="inlineStr">
        <is>
          <t>KR102400335B1</t>
        </is>
      </c>
      <c r="D598" s="4" t="inlineStr">
        <is>
          <t>Example 1</t>
        </is>
      </c>
      <c r="E598" s="4" t="inlineStr">
        <is>
          <t>dev(OOF)</t>
        </is>
      </c>
      <c r="F598" s="10" t="n">
        <v>227</v>
      </c>
      <c r="G598" s="10" t="n">
        <v>227.1595486762872</v>
      </c>
      <c r="H598" s="10" t="n">
        <v>50.74457241929896</v>
      </c>
      <c r="I598" s="10">
        <f>G598-1.96*H598</f>
        <v/>
      </c>
      <c r="J598" s="10">
        <f>G598+1.96*H598</f>
        <v/>
      </c>
      <c r="K598" s="10">
        <f>G598-F598</f>
        <v/>
      </c>
      <c r="L598" s="4">
        <f>IF(AND(F598&gt;=I598,F598&lt;=J598),1,0)</f>
        <v/>
      </c>
    </row>
    <row r="599">
      <c r="A599" s="4" t="inlineStr">
        <is>
          <t>elongation_pct</t>
        </is>
      </c>
      <c r="B599" s="4" t="inlineStr">
        <is>
          <t>G146</t>
        </is>
      </c>
      <c r="C599" s="4" t="inlineStr">
        <is>
          <t>US7247749B2</t>
        </is>
      </c>
      <c r="D599" s="4" t="inlineStr">
        <is>
          <t>Sample 22</t>
        </is>
      </c>
      <c r="E599" s="4" t="inlineStr">
        <is>
          <t>dev(OOF)</t>
        </is>
      </c>
      <c r="F599" s="10" t="n">
        <v>135</v>
      </c>
      <c r="G599" s="10" t="n">
        <v>175.2030188749783</v>
      </c>
      <c r="H599" s="10" t="n">
        <v>24.26007715969695</v>
      </c>
      <c r="I599" s="10">
        <f>G599-1.96*H599</f>
        <v/>
      </c>
      <c r="J599" s="10">
        <f>G599+1.96*H599</f>
        <v/>
      </c>
      <c r="K599" s="10">
        <f>G599-F599</f>
        <v/>
      </c>
      <c r="L599" s="4">
        <f>IF(AND(F599&gt;=I599,F599&lt;=J599),1,0)</f>
        <v/>
      </c>
    </row>
    <row r="600">
      <c r="A600" s="4" t="inlineStr">
        <is>
          <t>elongation_pct</t>
        </is>
      </c>
      <c r="B600" s="4" t="inlineStr">
        <is>
          <t>G313</t>
        </is>
      </c>
      <c r="C600" s="4" t="inlineStr">
        <is>
          <t>KR100894110B1</t>
        </is>
      </c>
      <c r="D600" s="4" t="inlineStr">
        <is>
          <t>Comparative Example 2</t>
        </is>
      </c>
      <c r="E600" s="4" t="inlineStr">
        <is>
          <t>dev(OOF)</t>
        </is>
      </c>
      <c r="F600" s="10" t="n">
        <v>367</v>
      </c>
      <c r="G600" s="10" t="n">
        <v>206.9242435805979</v>
      </c>
      <c r="H600" s="10" t="n">
        <v>46.84502865252901</v>
      </c>
      <c r="I600" s="10">
        <f>G600-1.96*H600</f>
        <v/>
      </c>
      <c r="J600" s="10">
        <f>G600+1.96*H600</f>
        <v/>
      </c>
      <c r="K600" s="10">
        <f>G600-F600</f>
        <v/>
      </c>
      <c r="L600" s="4">
        <f>IF(AND(F600&gt;=I600,F600&lt;=J600),1,0)</f>
        <v/>
      </c>
    </row>
    <row r="601">
      <c r="A601" s="4" t="inlineStr">
        <is>
          <t>elongation_pct</t>
        </is>
      </c>
      <c r="B601" s="4" t="inlineStr">
        <is>
          <t>G013</t>
        </is>
      </c>
      <c r="C601" s="4" t="inlineStr">
        <is>
          <t>US7678858B2</t>
        </is>
      </c>
      <c r="D601" s="4" t="inlineStr">
        <is>
          <t>Example 12</t>
        </is>
      </c>
      <c r="E601" s="4" t="inlineStr">
        <is>
          <t>dev(OOF)</t>
        </is>
      </c>
      <c r="F601" s="10" t="n">
        <v>150</v>
      </c>
      <c r="G601" s="10" t="n">
        <v>154.7650954098105</v>
      </c>
      <c r="H601" s="10" t="n">
        <v>21.95135934742227</v>
      </c>
      <c r="I601" s="10">
        <f>G601-1.96*H601</f>
        <v/>
      </c>
      <c r="J601" s="10">
        <f>G601+1.96*H601</f>
        <v/>
      </c>
      <c r="K601" s="10">
        <f>G601-F601</f>
        <v/>
      </c>
      <c r="L601" s="4">
        <f>IF(AND(F601&gt;=I601,F601&lt;=J601),1,0)</f>
        <v/>
      </c>
    </row>
    <row r="602">
      <c r="A602" s="4" t="inlineStr">
        <is>
          <t>elongation_pct</t>
        </is>
      </c>
      <c r="B602" s="4" t="inlineStr">
        <is>
          <t>G050</t>
        </is>
      </c>
      <c r="C602" s="4" t="inlineStr">
        <is>
          <t>US8211964B2</t>
        </is>
      </c>
      <c r="D602" s="4" t="inlineStr">
        <is>
          <t>Comparative Example 2</t>
        </is>
      </c>
      <c r="E602" s="4" t="inlineStr">
        <is>
          <t>dev(OOF)</t>
        </is>
      </c>
      <c r="F602" s="10" t="n">
        <v>288</v>
      </c>
      <c r="G602" s="10" t="n">
        <v>278.7962630245284</v>
      </c>
      <c r="H602" s="10" t="n">
        <v>46.55046786444777</v>
      </c>
      <c r="I602" s="10">
        <f>G602-1.96*H602</f>
        <v/>
      </c>
      <c r="J602" s="10">
        <f>G602+1.96*H602</f>
        <v/>
      </c>
      <c r="K602" s="10">
        <f>G602-F602</f>
        <v/>
      </c>
      <c r="L602" s="4">
        <f>IF(AND(F602&gt;=I602,F602&lt;=J602),1,0)</f>
        <v/>
      </c>
    </row>
    <row r="603">
      <c r="A603" s="4" t="inlineStr">
        <is>
          <t>elongation_pct</t>
        </is>
      </c>
      <c r="B603" s="4" t="inlineStr">
        <is>
          <t>G177</t>
        </is>
      </c>
      <c r="C603" s="4" t="inlineStr">
        <is>
          <t>US6281296B1</t>
        </is>
      </c>
      <c r="D603" s="4" t="inlineStr">
        <is>
          <t>Example 1</t>
        </is>
      </c>
      <c r="E603" s="4" t="inlineStr">
        <is>
          <t>dev(OOF)</t>
        </is>
      </c>
      <c r="F603" s="10" t="n">
        <v>289</v>
      </c>
      <c r="G603" s="10" t="n">
        <v>227.2290488768328</v>
      </c>
      <c r="H603" s="10" t="n">
        <v>40.2925485507834</v>
      </c>
      <c r="I603" s="10">
        <f>G603-1.96*H603</f>
        <v/>
      </c>
      <c r="J603" s="10">
        <f>G603+1.96*H603</f>
        <v/>
      </c>
      <c r="K603" s="10">
        <f>G603-F603</f>
        <v/>
      </c>
      <c r="L603" s="4">
        <f>IF(AND(F603&gt;=I603,F603&lt;=J603),1,0)</f>
        <v/>
      </c>
    </row>
    <row r="604">
      <c r="A604" s="4" t="inlineStr">
        <is>
          <t>elongation_pct</t>
        </is>
      </c>
      <c r="B604" s="4" t="inlineStr">
        <is>
          <t>G202</t>
        </is>
      </c>
      <c r="C604" s="4" t="inlineStr">
        <is>
          <t>US20160319102A1</t>
        </is>
      </c>
      <c r="D604" s="4" t="inlineStr">
        <is>
          <t>Comparative Example 8</t>
        </is>
      </c>
      <c r="E604" s="4" t="inlineStr">
        <is>
          <t>dev(OOF)</t>
        </is>
      </c>
      <c r="F604" s="10" t="n">
        <v>190</v>
      </c>
      <c r="G604" s="10" t="n">
        <v>219.4363039729084</v>
      </c>
      <c r="H604" s="10" t="n">
        <v>43.46176763351629</v>
      </c>
      <c r="I604" s="10">
        <f>G604-1.96*H604</f>
        <v/>
      </c>
      <c r="J604" s="10">
        <f>G604+1.96*H604</f>
        <v/>
      </c>
      <c r="K604" s="10">
        <f>G604-F604</f>
        <v/>
      </c>
      <c r="L604" s="4">
        <f>IF(AND(F604&gt;=I604,F604&lt;=J604),1,0)</f>
        <v/>
      </c>
    </row>
    <row r="605">
      <c r="A605" s="4" t="inlineStr">
        <is>
          <t>elongation_pct</t>
        </is>
      </c>
      <c r="B605" s="4" t="inlineStr">
        <is>
          <t>G048</t>
        </is>
      </c>
      <c r="C605" s="4" t="inlineStr">
        <is>
          <t>US8211964B2</t>
        </is>
      </c>
      <c r="D605" s="4" t="inlineStr">
        <is>
          <t>Comparative Example 1</t>
        </is>
      </c>
      <c r="E605" s="4" t="inlineStr">
        <is>
          <t>dev(OOF)</t>
        </is>
      </c>
      <c r="F605" s="10" t="n">
        <v>256</v>
      </c>
      <c r="G605" s="10" t="n">
        <v>244.2503454024493</v>
      </c>
      <c r="H605" s="10" t="n">
        <v>35.37932666656135</v>
      </c>
      <c r="I605" s="10">
        <f>G605-1.96*H605</f>
        <v/>
      </c>
      <c r="J605" s="10">
        <f>G605+1.96*H605</f>
        <v/>
      </c>
      <c r="K605" s="10">
        <f>G605-F605</f>
        <v/>
      </c>
      <c r="L605" s="4">
        <f>IF(AND(F605&gt;=I605,F605&lt;=J605),1,0)</f>
        <v/>
      </c>
    </row>
    <row r="606">
      <c r="A606" s="4" t="inlineStr">
        <is>
          <t>elongation_pct</t>
        </is>
      </c>
      <c r="B606" s="4" t="inlineStr">
        <is>
          <t>G168</t>
        </is>
      </c>
      <c r="C606" s="4" t="inlineStr">
        <is>
          <t>US20050107544A1</t>
        </is>
      </c>
      <c r="D606" s="4" t="inlineStr">
        <is>
          <t>Sample 5</t>
        </is>
      </c>
      <c r="E606" s="4" t="inlineStr">
        <is>
          <t>dev(OOF)</t>
        </is>
      </c>
      <c r="F606" s="10" t="n">
        <v>195</v>
      </c>
      <c r="G606" s="10" t="n">
        <v>186.3503807415985</v>
      </c>
      <c r="H606" s="10" t="n">
        <v>40.2842765288053</v>
      </c>
      <c r="I606" s="10">
        <f>G606-1.96*H606</f>
        <v/>
      </c>
      <c r="J606" s="10">
        <f>G606+1.96*H606</f>
        <v/>
      </c>
      <c r="K606" s="10">
        <f>G606-F606</f>
        <v/>
      </c>
      <c r="L606" s="4">
        <f>IF(AND(F606&gt;=I606,F606&lt;=J606),1,0)</f>
        <v/>
      </c>
    </row>
    <row r="607">
      <c r="A607" s="4" t="inlineStr">
        <is>
          <t>elongation_pct</t>
        </is>
      </c>
      <c r="B607" s="4" t="inlineStr">
        <is>
          <t>G017</t>
        </is>
      </c>
      <c r="C607" s="4" t="inlineStr">
        <is>
          <t>US7678858B2</t>
        </is>
      </c>
      <c r="D607" s="4" t="inlineStr">
        <is>
          <t>Example 16</t>
        </is>
      </c>
      <c r="E607" s="4" t="inlineStr">
        <is>
          <t>dev(OOF)</t>
        </is>
      </c>
      <c r="F607" s="10" t="n">
        <v>130</v>
      </c>
      <c r="G607" s="10" t="n">
        <v>145.2847529004094</v>
      </c>
      <c r="H607" s="10" t="n">
        <v>19.91532937025715</v>
      </c>
      <c r="I607" s="10">
        <f>G607-1.96*H607</f>
        <v/>
      </c>
      <c r="J607" s="10">
        <f>G607+1.96*H607</f>
        <v/>
      </c>
      <c r="K607" s="10">
        <f>G607-F607</f>
        <v/>
      </c>
      <c r="L607" s="4">
        <f>IF(AND(F607&gt;=I607,F607&lt;=J607),1,0)</f>
        <v/>
      </c>
    </row>
    <row r="608">
      <c r="A608" s="4" t="inlineStr">
        <is>
          <t>elongation_pct</t>
        </is>
      </c>
      <c r="B608" s="4" t="inlineStr">
        <is>
          <t>G119</t>
        </is>
      </c>
      <c r="C608" s="4" t="inlineStr">
        <is>
          <t>US5696189A</t>
        </is>
      </c>
      <c r="D608" s="4" t="inlineStr">
        <is>
          <t>Example 2</t>
        </is>
      </c>
      <c r="E608" s="4" t="inlineStr">
        <is>
          <t>dev(OOF)</t>
        </is>
      </c>
      <c r="F608" s="10" t="n">
        <v>211</v>
      </c>
      <c r="G608" s="10" t="n">
        <v>215.8028793710445</v>
      </c>
      <c r="H608" s="10" t="n">
        <v>42.89457910244678</v>
      </c>
      <c r="I608" s="10">
        <f>G608-1.96*H608</f>
        <v/>
      </c>
      <c r="J608" s="10">
        <f>G608+1.96*H608</f>
        <v/>
      </c>
      <c r="K608" s="10">
        <f>G608-F608</f>
        <v/>
      </c>
      <c r="L608" s="4">
        <f>IF(AND(F608&gt;=I608,F608&lt;=J608),1,0)</f>
        <v/>
      </c>
    </row>
    <row r="609">
      <c r="A609" s="4" t="inlineStr">
        <is>
          <t>elongation_pct</t>
        </is>
      </c>
      <c r="B609" s="4" t="inlineStr">
        <is>
          <t>G258</t>
        </is>
      </c>
      <c r="C609" s="4" t="inlineStr">
        <is>
          <t>US12584054B2</t>
        </is>
      </c>
      <c r="D609" s="4" t="inlineStr">
        <is>
          <t>Comparative Example 13</t>
        </is>
      </c>
      <c r="E609" s="4" t="inlineStr">
        <is>
          <t>dev(OOF)</t>
        </is>
      </c>
      <c r="F609" s="10" t="n">
        <v>240</v>
      </c>
      <c r="G609" s="10" t="n">
        <v>226.8363206161158</v>
      </c>
      <c r="H609" s="10" t="n">
        <v>26.56733055199674</v>
      </c>
      <c r="I609" s="10">
        <f>G609-1.96*H609</f>
        <v/>
      </c>
      <c r="J609" s="10">
        <f>G609+1.96*H609</f>
        <v/>
      </c>
      <c r="K609" s="10">
        <f>G609-F609</f>
        <v/>
      </c>
      <c r="L609" s="4">
        <f>IF(AND(F609&gt;=I609,F609&lt;=J609),1,0)</f>
        <v/>
      </c>
    </row>
    <row r="610">
      <c r="A610" s="4" t="inlineStr">
        <is>
          <t>elongation_pct</t>
        </is>
      </c>
      <c r="B610" s="4" t="inlineStr">
        <is>
          <t>G169</t>
        </is>
      </c>
      <c r="C610" s="4" t="inlineStr">
        <is>
          <t>US20050107544A1</t>
        </is>
      </c>
      <c r="D610" s="4" t="inlineStr">
        <is>
          <t>Comparative Example A</t>
        </is>
      </c>
      <c r="E610" s="4" t="inlineStr">
        <is>
          <t>dev(OOF)</t>
        </is>
      </c>
      <c r="F610" s="10" t="n">
        <v>161</v>
      </c>
      <c r="G610" s="10" t="n">
        <v>185.300584979124</v>
      </c>
      <c r="H610" s="10" t="n">
        <v>21.92428462844921</v>
      </c>
      <c r="I610" s="10">
        <f>G610-1.96*H610</f>
        <v/>
      </c>
      <c r="J610" s="10">
        <f>G610+1.96*H610</f>
        <v/>
      </c>
      <c r="K610" s="10">
        <f>G610-F610</f>
        <v/>
      </c>
      <c r="L610" s="4">
        <f>IF(AND(F610&gt;=I610,F610&lt;=J610),1,0)</f>
        <v/>
      </c>
    </row>
    <row r="611">
      <c r="A611" s="4" t="inlineStr">
        <is>
          <t>elongation_pct</t>
        </is>
      </c>
      <c r="B611" s="4" t="inlineStr">
        <is>
          <t>G285</t>
        </is>
      </c>
      <c r="C611" s="4" t="inlineStr">
        <is>
          <t>US20230365800A1</t>
        </is>
      </c>
      <c r="D611" s="4" t="inlineStr">
        <is>
          <t>Comparative Example 3</t>
        </is>
      </c>
      <c r="E611" s="4" t="inlineStr">
        <is>
          <t>dev(OOF)</t>
        </is>
      </c>
      <c r="F611" s="10" t="n">
        <v>150</v>
      </c>
      <c r="G611" s="10" t="n">
        <v>150.3296527831374</v>
      </c>
      <c r="H611" s="10" t="n">
        <v>17.34519637149138</v>
      </c>
      <c r="I611" s="10">
        <f>G611-1.96*H611</f>
        <v/>
      </c>
      <c r="J611" s="10">
        <f>G611+1.96*H611</f>
        <v/>
      </c>
      <c r="K611" s="10">
        <f>G611-F611</f>
        <v/>
      </c>
      <c r="L611" s="4">
        <f>IF(AND(F611&gt;=I611,F611&lt;=J611),1,0)</f>
        <v/>
      </c>
    </row>
    <row r="612">
      <c r="A612" s="4" t="inlineStr">
        <is>
          <t>elongation_pct</t>
        </is>
      </c>
      <c r="B612" s="4" t="inlineStr">
        <is>
          <t>G006</t>
        </is>
      </c>
      <c r="C612" s="4" t="inlineStr">
        <is>
          <t>US7678858B2</t>
        </is>
      </c>
      <c r="D612" s="4" t="inlineStr">
        <is>
          <t>Example 6</t>
        </is>
      </c>
      <c r="E612" s="4" t="inlineStr">
        <is>
          <t>dev(OOF)</t>
        </is>
      </c>
      <c r="F612" s="10" t="n">
        <v>170</v>
      </c>
      <c r="G612" s="10" t="n">
        <v>164.6190909372849</v>
      </c>
      <c r="H612" s="10" t="n">
        <v>22.7164357547008</v>
      </c>
      <c r="I612" s="10">
        <f>G612-1.96*H612</f>
        <v/>
      </c>
      <c r="J612" s="10">
        <f>G612+1.96*H612</f>
        <v/>
      </c>
      <c r="K612" s="10">
        <f>G612-F612</f>
        <v/>
      </c>
      <c r="L612" s="4">
        <f>IF(AND(F612&gt;=I612,F612&lt;=J612),1,0)</f>
        <v/>
      </c>
    </row>
    <row r="613">
      <c r="A613" s="4" t="inlineStr">
        <is>
          <t>elongation_pct</t>
        </is>
      </c>
      <c r="B613" s="4" t="inlineStr">
        <is>
          <t>G204</t>
        </is>
      </c>
      <c r="C613" s="4" t="inlineStr">
        <is>
          <t>US20160319102A1</t>
        </is>
      </c>
      <c r="D613" s="4" t="inlineStr">
        <is>
          <t>Comparative Example 6</t>
        </is>
      </c>
      <c r="E613" s="4" t="inlineStr">
        <is>
          <t>dev(OOF)</t>
        </is>
      </c>
      <c r="F613" s="10" t="n">
        <v>160</v>
      </c>
      <c r="G613" s="10" t="n">
        <v>198.6937194756848</v>
      </c>
      <c r="H613" s="10" t="n">
        <v>40.78315026158756</v>
      </c>
      <c r="I613" s="10">
        <f>G613-1.96*H613</f>
        <v/>
      </c>
      <c r="J613" s="10">
        <f>G613+1.96*H613</f>
        <v/>
      </c>
      <c r="K613" s="10">
        <f>G613-F613</f>
        <v/>
      </c>
      <c r="L613" s="4">
        <f>IF(AND(F613&gt;=I613,F613&lt;=J613),1,0)</f>
        <v/>
      </c>
    </row>
    <row r="614">
      <c r="A614" s="4" t="inlineStr">
        <is>
          <t>elongation_pct</t>
        </is>
      </c>
      <c r="B614" s="4" t="inlineStr">
        <is>
          <t>G144</t>
        </is>
      </c>
      <c r="C614" s="4" t="inlineStr">
        <is>
          <t>US7247749B2</t>
        </is>
      </c>
      <c r="D614" s="4" t="inlineStr">
        <is>
          <t>Comparative Sample 20</t>
        </is>
      </c>
      <c r="E614" s="4" t="inlineStr">
        <is>
          <t>dev(OOF)</t>
        </is>
      </c>
      <c r="F614" s="10" t="n">
        <v>136</v>
      </c>
      <c r="G614" s="10" t="n">
        <v>210.4478320152033</v>
      </c>
      <c r="H614" s="10" t="n">
        <v>24.78025782991178</v>
      </c>
      <c r="I614" s="10">
        <f>G614-1.96*H614</f>
        <v/>
      </c>
      <c r="J614" s="10">
        <f>G614+1.96*H614</f>
        <v/>
      </c>
      <c r="K614" s="10">
        <f>G614-F614</f>
        <v/>
      </c>
      <c r="L614" s="4">
        <f>IF(AND(F614&gt;=I614,F614&lt;=J614),1,0)</f>
        <v/>
      </c>
    </row>
    <row r="615">
      <c r="A615" s="4" t="inlineStr">
        <is>
          <t>elongation_pct</t>
        </is>
      </c>
      <c r="B615" s="4" t="inlineStr">
        <is>
          <t>G307</t>
        </is>
      </c>
      <c r="C615" s="4" t="inlineStr">
        <is>
          <t>EP4249550A1</t>
        </is>
      </c>
      <c r="D615" s="4" t="inlineStr">
        <is>
          <t>Comparative Example 6</t>
        </is>
      </c>
      <c r="E615" s="4" t="inlineStr">
        <is>
          <t>dev(OOF)</t>
        </is>
      </c>
      <c r="F615" s="10" t="n">
        <v>190</v>
      </c>
      <c r="G615" s="10" t="n">
        <v>214.7814159259851</v>
      </c>
      <c r="H615" s="10" t="n">
        <v>38.17471246371018</v>
      </c>
      <c r="I615" s="10">
        <f>G615-1.96*H615</f>
        <v/>
      </c>
      <c r="J615" s="10">
        <f>G615+1.96*H615</f>
        <v/>
      </c>
      <c r="K615" s="10">
        <f>G615-F615</f>
        <v/>
      </c>
      <c r="L615" s="4">
        <f>IF(AND(F615&gt;=I615,F615&lt;=J615),1,0)</f>
        <v/>
      </c>
    </row>
    <row r="616">
      <c r="A616" s="4" t="inlineStr">
        <is>
          <t>elongation_pct</t>
        </is>
      </c>
      <c r="B616" s="4" t="inlineStr">
        <is>
          <t>G099</t>
        </is>
      </c>
      <c r="C616" s="4" t="inlineStr">
        <is>
          <t>US7354974B2</t>
        </is>
      </c>
      <c r="D616" s="4" t="inlineStr">
        <is>
          <t>Example 3</t>
        </is>
      </c>
      <c r="E616" s="4" t="inlineStr">
        <is>
          <t>dev(OOF)</t>
        </is>
      </c>
      <c r="F616" s="10" t="n">
        <v>336</v>
      </c>
      <c r="G616" s="10" t="n">
        <v>312.1021483275112</v>
      </c>
      <c r="H616" s="10" t="n">
        <v>44.87357558141064</v>
      </c>
      <c r="I616" s="10">
        <f>G616-1.96*H616</f>
        <v/>
      </c>
      <c r="J616" s="10">
        <f>G616+1.96*H616</f>
        <v/>
      </c>
      <c r="K616" s="10">
        <f>G616-F616</f>
        <v/>
      </c>
      <c r="L616" s="4">
        <f>IF(AND(F616&gt;=I616,F616&lt;=J616),1,0)</f>
        <v/>
      </c>
    </row>
    <row r="617">
      <c r="A617" s="4" t="inlineStr">
        <is>
          <t>elongation_pct</t>
        </is>
      </c>
      <c r="B617" s="4" t="inlineStr">
        <is>
          <t>G155</t>
        </is>
      </c>
      <c r="C617" s="4" t="inlineStr">
        <is>
          <t>US7402630B2</t>
        </is>
      </c>
      <c r="D617" s="4" t="inlineStr">
        <is>
          <t>Example 7</t>
        </is>
      </c>
      <c r="E617" s="4" t="inlineStr">
        <is>
          <t>dev(OOF)</t>
        </is>
      </c>
      <c r="F617" s="10" t="n">
        <v>235</v>
      </c>
      <c r="G617" s="10" t="n">
        <v>194.4424676694201</v>
      </c>
      <c r="H617" s="10" t="n">
        <v>42.49882766989308</v>
      </c>
      <c r="I617" s="10">
        <f>G617-1.96*H617</f>
        <v/>
      </c>
      <c r="J617" s="10">
        <f>G617+1.96*H617</f>
        <v/>
      </c>
      <c r="K617" s="10">
        <f>G617-F617</f>
        <v/>
      </c>
      <c r="L617" s="4">
        <f>IF(AND(F617&gt;=I617,F617&lt;=J617),1,0)</f>
        <v/>
      </c>
    </row>
    <row r="618">
      <c r="A618" s="4" t="inlineStr">
        <is>
          <t>elongation_pct</t>
        </is>
      </c>
      <c r="B618" s="4" t="inlineStr">
        <is>
          <t>G253</t>
        </is>
      </c>
      <c r="C618" s="4" t="inlineStr">
        <is>
          <t>US12584054B2</t>
        </is>
      </c>
      <c r="D618" s="4" t="inlineStr">
        <is>
          <t>Comparative Example 5</t>
        </is>
      </c>
      <c r="E618" s="4" t="inlineStr">
        <is>
          <t>dev(OOF)</t>
        </is>
      </c>
      <c r="F618" s="10" t="n">
        <v>270</v>
      </c>
      <c r="G618" s="10" t="n">
        <v>246.867961959176</v>
      </c>
      <c r="H618" s="10" t="n">
        <v>28.95441717528802</v>
      </c>
      <c r="I618" s="10">
        <f>G618-1.96*H618</f>
        <v/>
      </c>
      <c r="J618" s="10">
        <f>G618+1.96*H618</f>
        <v/>
      </c>
      <c r="K618" s="10">
        <f>G618-F618</f>
        <v/>
      </c>
      <c r="L618" s="4">
        <f>IF(AND(F618&gt;=I618,F618&lt;=J618),1,0)</f>
        <v/>
      </c>
    </row>
    <row r="619">
      <c r="A619" s="4" t="inlineStr">
        <is>
          <t>elongation_pct</t>
        </is>
      </c>
      <c r="B619" s="4" t="inlineStr">
        <is>
          <t>G123</t>
        </is>
      </c>
      <c r="C619" s="4" t="inlineStr">
        <is>
          <t>US5696189A</t>
        </is>
      </c>
      <c r="D619" s="4" t="inlineStr">
        <is>
          <t>Example 6</t>
        </is>
      </c>
      <c r="E619" s="4" t="inlineStr">
        <is>
          <t>dev(OOF)</t>
        </is>
      </c>
      <c r="F619" s="10" t="n">
        <v>227</v>
      </c>
      <c r="G619" s="10" t="n">
        <v>188.7135809028728</v>
      </c>
      <c r="H619" s="10" t="n">
        <v>44.77457742788721</v>
      </c>
      <c r="I619" s="10">
        <f>G619-1.96*H619</f>
        <v/>
      </c>
      <c r="J619" s="10">
        <f>G619+1.96*H619</f>
        <v/>
      </c>
      <c r="K619" s="10">
        <f>G619-F619</f>
        <v/>
      </c>
      <c r="L619" s="4">
        <f>IF(AND(F619&gt;=I619,F619&lt;=J619),1,0)</f>
        <v/>
      </c>
    </row>
    <row r="620">
      <c r="A620" s="4" t="inlineStr">
        <is>
          <t>elongation_pct</t>
        </is>
      </c>
      <c r="B620" s="4" t="inlineStr">
        <is>
          <t>G073</t>
        </is>
      </c>
      <c r="C620" s="4" t="inlineStr">
        <is>
          <t>US11072700B2</t>
        </is>
      </c>
      <c r="D620" s="4" t="inlineStr">
        <is>
          <t>Comparative Example 3</t>
        </is>
      </c>
      <c r="E620" s="4" t="inlineStr">
        <is>
          <t>dev(OOF)</t>
        </is>
      </c>
      <c r="F620" s="10" t="n">
        <v>180</v>
      </c>
      <c r="G620" s="10" t="n">
        <v>197.3521791941521</v>
      </c>
      <c r="H620" s="10" t="n">
        <v>43.62062234542771</v>
      </c>
      <c r="I620" s="10">
        <f>G620-1.96*H620</f>
        <v/>
      </c>
      <c r="J620" s="10">
        <f>G620+1.96*H620</f>
        <v/>
      </c>
      <c r="K620" s="10">
        <f>G620-F620</f>
        <v/>
      </c>
      <c r="L620" s="4">
        <f>IF(AND(F620&gt;=I620,F620&lt;=J620),1,0)</f>
        <v/>
      </c>
    </row>
    <row r="621">
      <c r="A621" s="4" t="inlineStr">
        <is>
          <t>elongation_pct</t>
        </is>
      </c>
      <c r="B621" s="4" t="inlineStr">
        <is>
          <t>G039</t>
        </is>
      </c>
      <c r="C621" s="4" t="inlineStr">
        <is>
          <t>US8173727B2</t>
        </is>
      </c>
      <c r="D621" s="4" t="inlineStr">
        <is>
          <t>Example 11</t>
        </is>
      </c>
      <c r="E621" s="4" t="inlineStr">
        <is>
          <t>dev(OOF)</t>
        </is>
      </c>
      <c r="F621" s="10" t="n">
        <v>288</v>
      </c>
      <c r="G621" s="10" t="n">
        <v>287.3220812464644</v>
      </c>
      <c r="H621" s="10" t="n">
        <v>42.20575328173123</v>
      </c>
      <c r="I621" s="10">
        <f>G621-1.96*H621</f>
        <v/>
      </c>
      <c r="J621" s="10">
        <f>G621+1.96*H621</f>
        <v/>
      </c>
      <c r="K621" s="10">
        <f>G621-F621</f>
        <v/>
      </c>
      <c r="L621" s="4">
        <f>IF(AND(F621&gt;=I621,F621&lt;=J621),1,0)</f>
        <v/>
      </c>
    </row>
    <row r="622">
      <c r="A622" s="4" t="inlineStr">
        <is>
          <t>elongation_pct</t>
        </is>
      </c>
      <c r="B622" s="4" t="inlineStr">
        <is>
          <t>G031</t>
        </is>
      </c>
      <c r="C622" s="4" t="inlineStr">
        <is>
          <t>US8173727B2</t>
        </is>
      </c>
      <c r="D622" s="4" t="inlineStr">
        <is>
          <t>Example 3</t>
        </is>
      </c>
      <c r="E622" s="4" t="inlineStr">
        <is>
          <t>dev(OOF)</t>
        </is>
      </c>
      <c r="F622" s="10" t="n">
        <v>140</v>
      </c>
      <c r="G622" s="10" t="n">
        <v>144.9194458712566</v>
      </c>
      <c r="H622" s="10" t="n">
        <v>15.90179881027525</v>
      </c>
      <c r="I622" s="10">
        <f>G622-1.96*H622</f>
        <v/>
      </c>
      <c r="J622" s="10">
        <f>G622+1.96*H622</f>
        <v/>
      </c>
      <c r="K622" s="10">
        <f>G622-F622</f>
        <v/>
      </c>
      <c r="L622" s="4">
        <f>IF(AND(F622&gt;=I622,F622&lt;=J622),1,0)</f>
        <v/>
      </c>
    </row>
    <row r="623">
      <c r="A623" s="4" t="inlineStr">
        <is>
          <t>elongation_pct</t>
        </is>
      </c>
      <c r="B623" s="4" t="inlineStr">
        <is>
          <t>G016</t>
        </is>
      </c>
      <c r="C623" s="4" t="inlineStr">
        <is>
          <t>US7678858B2</t>
        </is>
      </c>
      <c r="D623" s="4" t="inlineStr">
        <is>
          <t>Example 15</t>
        </is>
      </c>
      <c r="E623" s="4" t="inlineStr">
        <is>
          <t>dev(OOF)</t>
        </is>
      </c>
      <c r="F623" s="10" t="n">
        <v>140</v>
      </c>
      <c r="G623" s="10" t="n">
        <v>171.2879454223349</v>
      </c>
      <c r="H623" s="10" t="n">
        <v>19.36930550494509</v>
      </c>
      <c r="I623" s="10">
        <f>G623-1.96*H623</f>
        <v/>
      </c>
      <c r="J623" s="10">
        <f>G623+1.96*H623</f>
        <v/>
      </c>
      <c r="K623" s="10">
        <f>G623-F623</f>
        <v/>
      </c>
      <c r="L623" s="4">
        <f>IF(AND(F623&gt;=I623,F623&lt;=J623),1,0)</f>
        <v/>
      </c>
    </row>
    <row r="624">
      <c r="A624" s="4" t="inlineStr">
        <is>
          <t>elongation_pct</t>
        </is>
      </c>
      <c r="B624" s="4" t="inlineStr">
        <is>
          <t>G117</t>
        </is>
      </c>
      <c r="C624" s="4" t="inlineStr">
        <is>
          <t>US5696189A</t>
        </is>
      </c>
      <c r="D624" s="4" t="inlineStr">
        <is>
          <t>Comparative Example B</t>
        </is>
      </c>
      <c r="E624" s="4" t="inlineStr">
        <is>
          <t>dev(OOF)</t>
        </is>
      </c>
      <c r="F624" s="10" t="n">
        <v>245</v>
      </c>
      <c r="G624" s="10" t="n">
        <v>202.8702348470183</v>
      </c>
      <c r="H624" s="10" t="n">
        <v>40.73473577336848</v>
      </c>
      <c r="I624" s="10">
        <f>G624-1.96*H624</f>
        <v/>
      </c>
      <c r="J624" s="10">
        <f>G624+1.96*H624</f>
        <v/>
      </c>
      <c r="K624" s="10">
        <f>G624-F624</f>
        <v/>
      </c>
      <c r="L624" s="4">
        <f>IF(AND(F624&gt;=I624,F624&lt;=J624),1,0)</f>
        <v/>
      </c>
    </row>
    <row r="625">
      <c r="A625" s="4" t="inlineStr">
        <is>
          <t>elongation_pct</t>
        </is>
      </c>
      <c r="B625" s="4" t="inlineStr">
        <is>
          <t>G029</t>
        </is>
      </c>
      <c r="C625" s="4" t="inlineStr">
        <is>
          <t>US8173727B2</t>
        </is>
      </c>
      <c r="D625" s="4" t="inlineStr">
        <is>
          <t>Example 1</t>
        </is>
      </c>
      <c r="E625" s="4" t="inlineStr">
        <is>
          <t>dev(OOF)</t>
        </is>
      </c>
      <c r="F625" s="10" t="n">
        <v>170</v>
      </c>
      <c r="G625" s="10" t="n">
        <v>146.1623783147438</v>
      </c>
      <c r="H625" s="10" t="n">
        <v>19.56800619504025</v>
      </c>
      <c r="I625" s="10">
        <f>G625-1.96*H625</f>
        <v/>
      </c>
      <c r="J625" s="10">
        <f>G625+1.96*H625</f>
        <v/>
      </c>
      <c r="K625" s="10">
        <f>G625-F625</f>
        <v/>
      </c>
      <c r="L625" s="4">
        <f>IF(AND(F625&gt;=I625,F625&lt;=J625),1,0)</f>
        <v/>
      </c>
    </row>
    <row r="626">
      <c r="A626" s="4" t="inlineStr">
        <is>
          <t>elongation_pct</t>
        </is>
      </c>
      <c r="B626" s="4" t="inlineStr">
        <is>
          <t>G302</t>
        </is>
      </c>
      <c r="C626" s="4" t="inlineStr">
        <is>
          <t>EP4249550A1</t>
        </is>
      </c>
      <c r="D626" s="4" t="inlineStr">
        <is>
          <t>Comparative Example 1</t>
        </is>
      </c>
      <c r="E626" s="4" t="inlineStr">
        <is>
          <t>dev(OOF)</t>
        </is>
      </c>
      <c r="F626" s="10" t="n">
        <v>340</v>
      </c>
      <c r="G626" s="10" t="n">
        <v>321.9815055394885</v>
      </c>
      <c r="H626" s="10" t="n">
        <v>36.78091741881966</v>
      </c>
      <c r="I626" s="10">
        <f>G626-1.96*H626</f>
        <v/>
      </c>
      <c r="J626" s="10">
        <f>G626+1.96*H626</f>
        <v/>
      </c>
      <c r="K626" s="10">
        <f>G626-F626</f>
        <v/>
      </c>
      <c r="L626" s="4">
        <f>IF(AND(F626&gt;=I626,F626&lt;=J626),1,0)</f>
        <v/>
      </c>
    </row>
    <row r="627">
      <c r="A627" s="4" t="inlineStr">
        <is>
          <t>elongation_pct</t>
        </is>
      </c>
      <c r="B627" s="4" t="inlineStr">
        <is>
          <t>G251</t>
        </is>
      </c>
      <c r="C627" s="4" t="inlineStr">
        <is>
          <t>US12584054B2</t>
        </is>
      </c>
      <c r="D627" s="4" t="inlineStr">
        <is>
          <t>Comparative Example 3</t>
        </is>
      </c>
      <c r="E627" s="4" t="inlineStr">
        <is>
          <t>dev(OOF)</t>
        </is>
      </c>
      <c r="F627" s="10" t="n">
        <v>260</v>
      </c>
      <c r="G627" s="10" t="n">
        <v>219.1569687355826</v>
      </c>
      <c r="H627" s="10" t="n">
        <v>35.37764988553715</v>
      </c>
      <c r="I627" s="10">
        <f>G627-1.96*H627</f>
        <v/>
      </c>
      <c r="J627" s="10">
        <f>G627+1.96*H627</f>
        <v/>
      </c>
      <c r="K627" s="10">
        <f>G627-F627</f>
        <v/>
      </c>
      <c r="L627" s="4">
        <f>IF(AND(F627&gt;=I627,F627&lt;=J627),1,0)</f>
        <v/>
      </c>
    </row>
    <row r="628">
      <c r="A628" s="4" t="inlineStr">
        <is>
          <t>elongation_pct</t>
        </is>
      </c>
      <c r="B628" s="4" t="inlineStr">
        <is>
          <t>G286</t>
        </is>
      </c>
      <c r="C628" s="4" t="inlineStr">
        <is>
          <t>US20230365800A1</t>
        </is>
      </c>
      <c r="D628" s="4" t="inlineStr">
        <is>
          <t>Comparative Example 4</t>
        </is>
      </c>
      <c r="E628" s="4" t="inlineStr">
        <is>
          <t>dev(OOF)</t>
        </is>
      </c>
      <c r="F628" s="10" t="n">
        <v>195</v>
      </c>
      <c r="G628" s="10" t="n">
        <v>150.3296527831374</v>
      </c>
      <c r="H628" s="10" t="n">
        <v>17.34519637149138</v>
      </c>
      <c r="I628" s="10">
        <f>G628-1.96*H628</f>
        <v/>
      </c>
      <c r="J628" s="10">
        <f>G628+1.96*H628</f>
        <v/>
      </c>
      <c r="K628" s="10">
        <f>G628-F628</f>
        <v/>
      </c>
      <c r="L628" s="4">
        <f>IF(AND(F628&gt;=I628,F628&lt;=J628),1,0)</f>
        <v/>
      </c>
    </row>
    <row r="629">
      <c r="A629" s="4" t="inlineStr">
        <is>
          <t>elongation_pct</t>
        </is>
      </c>
      <c r="B629" s="4" t="inlineStr">
        <is>
          <t>G257</t>
        </is>
      </c>
      <c r="C629" s="4" t="inlineStr">
        <is>
          <t>US12584054B2</t>
        </is>
      </c>
      <c r="D629" s="4" t="inlineStr">
        <is>
          <t>Comparative Example 9</t>
        </is>
      </c>
      <c r="E629" s="4" t="inlineStr">
        <is>
          <t>dev(OOF)</t>
        </is>
      </c>
      <c r="F629" s="10" t="n">
        <v>350</v>
      </c>
      <c r="G629" s="10" t="n">
        <v>270.8936503972636</v>
      </c>
      <c r="H629" s="10" t="n">
        <v>44.3204514642618</v>
      </c>
      <c r="I629" s="10">
        <f>G629-1.96*H629</f>
        <v/>
      </c>
      <c r="J629" s="10">
        <f>G629+1.96*H629</f>
        <v/>
      </c>
      <c r="K629" s="10">
        <f>G629-F629</f>
        <v/>
      </c>
      <c r="L629" s="4">
        <f>IF(AND(F629&gt;=I629,F629&lt;=J629),1,0)</f>
        <v/>
      </c>
    </row>
    <row r="630">
      <c r="A630" s="4" t="inlineStr">
        <is>
          <t>elongation_pct</t>
        </is>
      </c>
      <c r="B630" s="4" t="inlineStr">
        <is>
          <t>G264</t>
        </is>
      </c>
      <c r="C630" s="4" t="inlineStr">
        <is>
          <t>US20230174763A1</t>
        </is>
      </c>
      <c r="D630" s="4" t="inlineStr">
        <is>
          <t>Example 1</t>
        </is>
      </c>
      <c r="E630" s="4" t="inlineStr">
        <is>
          <t>dev(OOF)</t>
        </is>
      </c>
      <c r="F630" s="10" t="n">
        <v>280</v>
      </c>
      <c r="G630" s="10" t="n">
        <v>234.0203896530912</v>
      </c>
      <c r="H630" s="10" t="n">
        <v>33.35868614015641</v>
      </c>
      <c r="I630" s="10">
        <f>G630-1.96*H630</f>
        <v/>
      </c>
      <c r="J630" s="10">
        <f>G630+1.96*H630</f>
        <v/>
      </c>
      <c r="K630" s="10">
        <f>G630-F630</f>
        <v/>
      </c>
      <c r="L630" s="4">
        <f>IF(AND(F630&gt;=I630,F630&lt;=J630),1,0)</f>
        <v/>
      </c>
    </row>
    <row r="631">
      <c r="A631" s="4" t="inlineStr">
        <is>
          <t>elongation_pct</t>
        </is>
      </c>
      <c r="B631" s="4" t="inlineStr">
        <is>
          <t>G030</t>
        </is>
      </c>
      <c r="C631" s="4" t="inlineStr">
        <is>
          <t>US8173727B2</t>
        </is>
      </c>
      <c r="D631" s="4" t="inlineStr">
        <is>
          <t>Example 2</t>
        </is>
      </c>
      <c r="E631" s="4" t="inlineStr">
        <is>
          <t>dev(OOF)</t>
        </is>
      </c>
      <c r="F631" s="10" t="n">
        <v>160</v>
      </c>
      <c r="G631" s="10" t="n">
        <v>145.7503339693085</v>
      </c>
      <c r="H631" s="10" t="n">
        <v>20.17912692239213</v>
      </c>
      <c r="I631" s="10">
        <f>G631-1.96*H631</f>
        <v/>
      </c>
      <c r="J631" s="10">
        <f>G631+1.96*H631</f>
        <v/>
      </c>
      <c r="K631" s="10">
        <f>G631-F631</f>
        <v/>
      </c>
      <c r="L631" s="4">
        <f>IF(AND(F631&gt;=I631,F631&lt;=J631),1,0)</f>
        <v/>
      </c>
    </row>
    <row r="632">
      <c r="A632" s="4" t="inlineStr">
        <is>
          <t>elongation_pct</t>
        </is>
      </c>
      <c r="B632" s="4" t="inlineStr">
        <is>
          <t>G087</t>
        </is>
      </c>
      <c r="C632" s="4" t="inlineStr">
        <is>
          <t>US8367776B2</t>
        </is>
      </c>
      <c r="D632" s="4" t="inlineStr">
        <is>
          <t>Example 5</t>
        </is>
      </c>
      <c r="E632" s="4" t="inlineStr">
        <is>
          <t>dev(OOF)</t>
        </is>
      </c>
      <c r="F632" s="10" t="n">
        <v>262</v>
      </c>
      <c r="G632" s="10" t="n">
        <v>257.4359405451585</v>
      </c>
      <c r="H632" s="10" t="n">
        <v>38.51932653881746</v>
      </c>
      <c r="I632" s="10">
        <f>G632-1.96*H632</f>
        <v/>
      </c>
      <c r="J632" s="10">
        <f>G632+1.96*H632</f>
        <v/>
      </c>
      <c r="K632" s="10">
        <f>G632-F632</f>
        <v/>
      </c>
      <c r="L632" s="4">
        <f>IF(AND(F632&gt;=I632,F632&lt;=J632),1,0)</f>
        <v/>
      </c>
    </row>
    <row r="633">
      <c r="A633" s="4" t="inlineStr">
        <is>
          <t>elongation_pct</t>
        </is>
      </c>
      <c r="B633" s="4" t="inlineStr">
        <is>
          <t>G160</t>
        </is>
      </c>
      <c r="C633" s="4" t="inlineStr">
        <is>
          <t>US6956085B2</t>
        </is>
      </c>
      <c r="D633" s="4" t="inlineStr">
        <is>
          <t>Example 3</t>
        </is>
      </c>
      <c r="E633" s="4" t="inlineStr">
        <is>
          <t>dev(OOF)</t>
        </is>
      </c>
      <c r="F633" s="10" t="n">
        <v>190</v>
      </c>
      <c r="G633" s="10" t="n">
        <v>198.327955073037</v>
      </c>
      <c r="H633" s="10" t="n">
        <v>44.14652599946059</v>
      </c>
      <c r="I633" s="10">
        <f>G633-1.96*H633</f>
        <v/>
      </c>
      <c r="J633" s="10">
        <f>G633+1.96*H633</f>
        <v/>
      </c>
      <c r="K633" s="10">
        <f>G633-F633</f>
        <v/>
      </c>
      <c r="L633" s="4">
        <f>IF(AND(F633&gt;=I633,F633&lt;=J633),1,0)</f>
        <v/>
      </c>
    </row>
    <row r="634">
      <c r="A634" s="4" t="inlineStr">
        <is>
          <t>elongation_pct</t>
        </is>
      </c>
      <c r="B634" s="4" t="inlineStr">
        <is>
          <t>G100</t>
        </is>
      </c>
      <c r="C634" s="4" t="inlineStr">
        <is>
          <t>US7354974B2</t>
        </is>
      </c>
      <c r="D634" s="4" t="inlineStr">
        <is>
          <t>Example 4</t>
        </is>
      </c>
      <c r="E634" s="4" t="inlineStr">
        <is>
          <t>dev(OOF)</t>
        </is>
      </c>
      <c r="F634" s="10" t="n">
        <v>332</v>
      </c>
      <c r="G634" s="10" t="n">
        <v>329.2021056769425</v>
      </c>
      <c r="H634" s="10" t="n">
        <v>111.6477253767512</v>
      </c>
      <c r="I634" s="10">
        <f>G634-1.96*H634</f>
        <v/>
      </c>
      <c r="J634" s="10">
        <f>G634+1.96*H634</f>
        <v/>
      </c>
      <c r="K634" s="10">
        <f>G634-F634</f>
        <v/>
      </c>
      <c r="L634" s="4">
        <f>IF(AND(F634&gt;=I634,F634&lt;=J634),1,0)</f>
        <v/>
      </c>
    </row>
    <row r="635">
      <c r="A635" s="4" t="inlineStr">
        <is>
          <t>elongation_pct</t>
        </is>
      </c>
      <c r="B635" s="4" t="inlineStr">
        <is>
          <t>G332</t>
        </is>
      </c>
      <c r="C635" s="4" t="inlineStr">
        <is>
          <t>KR101467101B1</t>
        </is>
      </c>
      <c r="D635" s="4" t="inlineStr">
        <is>
          <t>Comparative Example 2</t>
        </is>
      </c>
      <c r="E635" s="4" t="inlineStr">
        <is>
          <t>dev(OOF)</t>
        </is>
      </c>
      <c r="F635" s="10" t="n">
        <v>148.8</v>
      </c>
      <c r="G635" s="10" t="n">
        <v>203.2501520766429</v>
      </c>
      <c r="H635" s="10" t="n">
        <v>41.15648954379608</v>
      </c>
      <c r="I635" s="10">
        <f>G635-1.96*H635</f>
        <v/>
      </c>
      <c r="J635" s="10">
        <f>G635+1.96*H635</f>
        <v/>
      </c>
      <c r="K635" s="10">
        <f>G635-F635</f>
        <v/>
      </c>
      <c r="L635" s="4">
        <f>IF(AND(F635&gt;=I635,F635&lt;=J635),1,0)</f>
        <v/>
      </c>
    </row>
    <row r="636">
      <c r="A636" s="4" t="inlineStr">
        <is>
          <t>elongation_pct</t>
        </is>
      </c>
      <c r="B636" s="4" t="inlineStr">
        <is>
          <t>G159</t>
        </is>
      </c>
      <c r="C636" s="4" t="inlineStr">
        <is>
          <t>US6956085B2</t>
        </is>
      </c>
      <c r="D636" s="4" t="inlineStr">
        <is>
          <t>Example 2</t>
        </is>
      </c>
      <c r="E636" s="4" t="inlineStr">
        <is>
          <t>dev(OOF)</t>
        </is>
      </c>
      <c r="F636" s="10" t="n">
        <v>200</v>
      </c>
      <c r="G636" s="10" t="n">
        <v>207.1376363251118</v>
      </c>
      <c r="H636" s="10" t="n">
        <v>48.0840034418248</v>
      </c>
      <c r="I636" s="10">
        <f>G636-1.96*H636</f>
        <v/>
      </c>
      <c r="J636" s="10">
        <f>G636+1.96*H636</f>
        <v/>
      </c>
      <c r="K636" s="10">
        <f>G636-F636</f>
        <v/>
      </c>
      <c r="L636" s="4">
        <f>IF(AND(F636&gt;=I636,F636&lt;=J636),1,0)</f>
        <v/>
      </c>
    </row>
    <row r="637">
      <c r="A637" s="4" t="inlineStr">
        <is>
          <t>elongation_pct</t>
        </is>
      </c>
      <c r="B637" s="4" t="inlineStr">
        <is>
          <t>G278</t>
        </is>
      </c>
      <c r="C637" s="4" t="inlineStr">
        <is>
          <t>US20230365800A1</t>
        </is>
      </c>
      <c r="D637" s="4" t="inlineStr">
        <is>
          <t>Example 2</t>
        </is>
      </c>
      <c r="E637" s="4" t="inlineStr">
        <is>
          <t>dev(OOF)</t>
        </is>
      </c>
      <c r="F637" s="10" t="n">
        <v>180</v>
      </c>
      <c r="G637" s="10" t="n">
        <v>156.2464257907256</v>
      </c>
      <c r="H637" s="10" t="n">
        <v>16.45140232775936</v>
      </c>
      <c r="I637" s="10">
        <f>G637-1.96*H637</f>
        <v/>
      </c>
      <c r="J637" s="10">
        <f>G637+1.96*H637</f>
        <v/>
      </c>
      <c r="K637" s="10">
        <f>G637-F637</f>
        <v/>
      </c>
      <c r="L637" s="4">
        <f>IF(AND(F637&gt;=I637,F637&lt;=J637),1,0)</f>
        <v/>
      </c>
    </row>
    <row r="638">
      <c r="A638" s="4" t="inlineStr">
        <is>
          <t>elongation_pct</t>
        </is>
      </c>
      <c r="B638" s="4" t="inlineStr">
        <is>
          <t>G018</t>
        </is>
      </c>
      <c r="C638" s="4" t="inlineStr">
        <is>
          <t>US7678858B2</t>
        </is>
      </c>
      <c r="D638" s="4" t="inlineStr">
        <is>
          <t>Example 17</t>
        </is>
      </c>
      <c r="E638" s="4" t="inlineStr">
        <is>
          <t>dev(OOF)</t>
        </is>
      </c>
      <c r="F638" s="10" t="n">
        <v>130</v>
      </c>
      <c r="G638" s="10" t="n">
        <v>142.3546112143102</v>
      </c>
      <c r="H638" s="10" t="n">
        <v>16.59857843963421</v>
      </c>
      <c r="I638" s="10">
        <f>G638-1.96*H638</f>
        <v/>
      </c>
      <c r="J638" s="10">
        <f>G638+1.96*H638</f>
        <v/>
      </c>
      <c r="K638" s="10">
        <f>G638-F638</f>
        <v/>
      </c>
      <c r="L638" s="4">
        <f>IF(AND(F638&gt;=I638,F638&lt;=J638),1,0)</f>
        <v/>
      </c>
    </row>
    <row r="639">
      <c r="A639" s="4" t="inlineStr">
        <is>
          <t>elongation_pct</t>
        </is>
      </c>
      <c r="B639" s="4" t="inlineStr">
        <is>
          <t>G294</t>
        </is>
      </c>
      <c r="C639" s="4" t="inlineStr">
        <is>
          <t>EP4249550A1</t>
        </is>
      </c>
      <c r="D639" s="4" t="inlineStr">
        <is>
          <t>Example 5</t>
        </is>
      </c>
      <c r="E639" s="4" t="inlineStr">
        <is>
          <t>dev(OOF)</t>
        </is>
      </c>
      <c r="F639" s="10" t="n">
        <v>180</v>
      </c>
      <c r="G639" s="10" t="n">
        <v>202.5306081156667</v>
      </c>
      <c r="H639" s="10" t="n">
        <v>22.29042468267584</v>
      </c>
      <c r="I639" s="10">
        <f>G639-1.96*H639</f>
        <v/>
      </c>
      <c r="J639" s="10">
        <f>G639+1.96*H639</f>
        <v/>
      </c>
      <c r="K639" s="10">
        <f>G639-F639</f>
        <v/>
      </c>
      <c r="L639" s="4">
        <f>IF(AND(F639&gt;=I639,F639&lt;=J639),1,0)</f>
        <v/>
      </c>
    </row>
    <row r="640">
      <c r="A640" s="4" t="inlineStr">
        <is>
          <t>elongation_pct</t>
        </is>
      </c>
      <c r="B640" s="4" t="inlineStr">
        <is>
          <t>G151</t>
        </is>
      </c>
      <c r="C640" s="4" t="inlineStr">
        <is>
          <t>US7247749B2</t>
        </is>
      </c>
      <c r="D640" s="4" t="inlineStr">
        <is>
          <t>Control Sample 31</t>
        </is>
      </c>
      <c r="E640" s="4" t="inlineStr">
        <is>
          <t>dev(OOF)</t>
        </is>
      </c>
      <c r="F640" s="10" t="n">
        <v>122</v>
      </c>
      <c r="G640" s="10" t="n">
        <v>123.0544784183428</v>
      </c>
      <c r="H640" s="10" t="n">
        <v>18.51341272989741</v>
      </c>
      <c r="I640" s="10">
        <f>G640-1.96*H640</f>
        <v/>
      </c>
      <c r="J640" s="10">
        <f>G640+1.96*H640</f>
        <v/>
      </c>
      <c r="K640" s="10">
        <f>G640-F640</f>
        <v/>
      </c>
      <c r="L640" s="4">
        <f>IF(AND(F640&gt;=I640,F640&lt;=J640),1,0)</f>
        <v/>
      </c>
    </row>
    <row r="641">
      <c r="A641" s="4" t="inlineStr">
        <is>
          <t>elongation_pct</t>
        </is>
      </c>
      <c r="B641" s="4" t="inlineStr">
        <is>
          <t>G028</t>
        </is>
      </c>
      <c r="C641" s="4" t="inlineStr">
        <is>
          <t>US6803402B2</t>
        </is>
      </c>
      <c r="D641" s="4" t="inlineStr">
        <is>
          <t>Comparative Example 3</t>
        </is>
      </c>
      <c r="E641" s="4" t="inlineStr">
        <is>
          <t>dev(OOF)</t>
        </is>
      </c>
      <c r="F641" s="10" t="n">
        <v>153</v>
      </c>
      <c r="G641" s="10" t="n">
        <v>166.9417135457137</v>
      </c>
      <c r="H641" s="10" t="n">
        <v>24.26376475386474</v>
      </c>
      <c r="I641" s="10">
        <f>G641-1.96*H641</f>
        <v/>
      </c>
      <c r="J641" s="10">
        <f>G641+1.96*H641</f>
        <v/>
      </c>
      <c r="K641" s="10">
        <f>G641-F641</f>
        <v/>
      </c>
      <c r="L641" s="4">
        <f>IF(AND(F641&gt;=I641,F641&lt;=J641),1,0)</f>
        <v/>
      </c>
    </row>
    <row r="642">
      <c r="A642" s="4" t="inlineStr">
        <is>
          <t>elongation_pct</t>
        </is>
      </c>
      <c r="B642" s="4" t="inlineStr">
        <is>
          <t>G256</t>
        </is>
      </c>
      <c r="C642" s="4" t="inlineStr">
        <is>
          <t>US12584054B2</t>
        </is>
      </c>
      <c r="D642" s="4" t="inlineStr">
        <is>
          <t>Comparative Example 8</t>
        </is>
      </c>
      <c r="E642" s="4" t="inlineStr">
        <is>
          <t>dev(OOF)</t>
        </is>
      </c>
      <c r="F642" s="10" t="n">
        <v>270</v>
      </c>
      <c r="G642" s="10" t="n">
        <v>267.5106047399403</v>
      </c>
      <c r="H642" s="10" t="n">
        <v>61.03153771313008</v>
      </c>
      <c r="I642" s="10">
        <f>G642-1.96*H642</f>
        <v/>
      </c>
      <c r="J642" s="10">
        <f>G642+1.96*H642</f>
        <v/>
      </c>
      <c r="K642" s="10">
        <f>G642-F642</f>
        <v/>
      </c>
      <c r="L642" s="4">
        <f>IF(AND(F642&gt;=I642,F642&lt;=J642),1,0)</f>
        <v/>
      </c>
    </row>
    <row r="643">
      <c r="A643" s="4" t="inlineStr">
        <is>
          <t>elongation_pct</t>
        </is>
      </c>
      <c r="B643" s="4" t="inlineStr">
        <is>
          <t>G320</t>
        </is>
      </c>
      <c r="C643" s="4" t="inlineStr">
        <is>
          <t>KR101467101B1</t>
        </is>
      </c>
      <c r="D643" s="4" t="inlineStr">
        <is>
          <t>Table 1 compound FFKM A</t>
        </is>
      </c>
      <c r="E643" s="4" t="inlineStr">
        <is>
          <t>dev(OOF)</t>
        </is>
      </c>
      <c r="F643" s="10" t="n">
        <v>270</v>
      </c>
      <c r="G643" s="10" t="n">
        <v>164.5884084762169</v>
      </c>
      <c r="H643" s="10" t="n">
        <v>23.23263702725264</v>
      </c>
      <c r="I643" s="10">
        <f>G643-1.96*H643</f>
        <v/>
      </c>
      <c r="J643" s="10">
        <f>G643+1.96*H643</f>
        <v/>
      </c>
      <c r="K643" s="10">
        <f>G643-F643</f>
        <v/>
      </c>
      <c r="L643" s="4">
        <f>IF(AND(F643&gt;=I643,F643&lt;=J643),1,0)</f>
        <v/>
      </c>
    </row>
    <row r="644">
      <c r="A644" s="4" t="inlineStr">
        <is>
          <t>elongation_pct</t>
        </is>
      </c>
      <c r="B644" s="4" t="inlineStr">
        <is>
          <t>G080</t>
        </is>
      </c>
      <c r="C644" s="4" t="inlineStr">
        <is>
          <t>US12091537B2</t>
        </is>
      </c>
      <c r="D644" s="4" t="inlineStr">
        <is>
          <t>Reference Example 1</t>
        </is>
      </c>
      <c r="E644" s="4" t="inlineStr">
        <is>
          <t>dev(OOF)</t>
        </is>
      </c>
      <c r="F644" s="10" t="n">
        <v>180</v>
      </c>
      <c r="G644" s="10" t="n">
        <v>191.3057354845343</v>
      </c>
      <c r="H644" s="10" t="n">
        <v>39.22703684380457</v>
      </c>
      <c r="I644" s="10">
        <f>G644-1.96*H644</f>
        <v/>
      </c>
      <c r="J644" s="10">
        <f>G644+1.96*H644</f>
        <v/>
      </c>
      <c r="K644" s="10">
        <f>G644-F644</f>
        <v/>
      </c>
      <c r="L644" s="4">
        <f>IF(AND(F644&gt;=I644,F644&lt;=J644),1,0)</f>
        <v/>
      </c>
    </row>
    <row r="645">
      <c r="A645" s="4" t="inlineStr">
        <is>
          <t>elongation_pct</t>
        </is>
      </c>
      <c r="B645" s="4" t="inlineStr">
        <is>
          <t>G149</t>
        </is>
      </c>
      <c r="C645" s="4" t="inlineStr">
        <is>
          <t>US7247749B2</t>
        </is>
      </c>
      <c r="D645" s="4" t="inlineStr">
        <is>
          <t>Sample 25</t>
        </is>
      </c>
      <c r="E645" s="4" t="inlineStr">
        <is>
          <t>dev(OOF)</t>
        </is>
      </c>
      <c r="F645" s="10" t="n">
        <v>195</v>
      </c>
      <c r="G645" s="10" t="n">
        <v>163.2472097799898</v>
      </c>
      <c r="H645" s="10" t="n">
        <v>22.67930539312654</v>
      </c>
      <c r="I645" s="10">
        <f>G645-1.96*H645</f>
        <v/>
      </c>
      <c r="J645" s="10">
        <f>G645+1.96*H645</f>
        <v/>
      </c>
      <c r="K645" s="10">
        <f>G645-F645</f>
        <v/>
      </c>
      <c r="L645" s="4">
        <f>IF(AND(F645&gt;=I645,F645&lt;=J645),1,0)</f>
        <v/>
      </c>
    </row>
    <row r="646">
      <c r="A646" s="4" t="inlineStr">
        <is>
          <t>elongation_pct</t>
        </is>
      </c>
      <c r="B646" s="4" t="inlineStr">
        <is>
          <t>G136</t>
        </is>
      </c>
      <c r="C646" s="4" t="inlineStr">
        <is>
          <t>US7247749B2</t>
        </is>
      </c>
      <c r="D646" s="4" t="inlineStr">
        <is>
          <t>Sample 12</t>
        </is>
      </c>
      <c r="E646" s="4" t="inlineStr">
        <is>
          <t>dev(OOF)</t>
        </is>
      </c>
      <c r="F646" s="10" t="n">
        <v>145</v>
      </c>
      <c r="G646" s="10" t="n">
        <v>189.6735617768617</v>
      </c>
      <c r="H646" s="10" t="n">
        <v>29.76087524283581</v>
      </c>
      <c r="I646" s="10">
        <f>G646-1.96*H646</f>
        <v/>
      </c>
      <c r="J646" s="10">
        <f>G646+1.96*H646</f>
        <v/>
      </c>
      <c r="K646" s="10">
        <f>G646-F646</f>
        <v/>
      </c>
      <c r="L646" s="4">
        <f>IF(AND(F646&gt;=I646,F646&lt;=J646),1,0)</f>
        <v/>
      </c>
    </row>
    <row r="647">
      <c r="A647" s="4" t="inlineStr">
        <is>
          <t>elongation_pct</t>
        </is>
      </c>
      <c r="B647" s="4" t="inlineStr">
        <is>
          <t>G265</t>
        </is>
      </c>
      <c r="C647" s="4" t="inlineStr">
        <is>
          <t>US20230174763A1</t>
        </is>
      </c>
      <c r="D647" s="4" t="inlineStr">
        <is>
          <t>Example 2</t>
        </is>
      </c>
      <c r="E647" s="4" t="inlineStr">
        <is>
          <t>dev(OOF)</t>
        </is>
      </c>
      <c r="F647" s="10" t="n">
        <v>210</v>
      </c>
      <c r="G647" s="10" t="n">
        <v>227.0906071177099</v>
      </c>
      <c r="H647" s="10" t="n">
        <v>29.26443264329156</v>
      </c>
      <c r="I647" s="10">
        <f>G647-1.96*H647</f>
        <v/>
      </c>
      <c r="J647" s="10">
        <f>G647+1.96*H647</f>
        <v/>
      </c>
      <c r="K647" s="10">
        <f>G647-F647</f>
        <v/>
      </c>
      <c r="L647" s="4">
        <f>IF(AND(F647&gt;=I647,F647&lt;=J647),1,0)</f>
        <v/>
      </c>
    </row>
    <row r="648">
      <c r="A648" s="4" t="inlineStr">
        <is>
          <t>elongation_pct</t>
        </is>
      </c>
      <c r="B648" s="4" t="inlineStr">
        <is>
          <t>G133</t>
        </is>
      </c>
      <c r="C648" s="4" t="inlineStr">
        <is>
          <t>US7247749B2</t>
        </is>
      </c>
      <c r="D648" s="4" t="inlineStr">
        <is>
          <t>Sample 9</t>
        </is>
      </c>
      <c r="E648" s="4" t="inlineStr">
        <is>
          <t>dev(OOF)</t>
        </is>
      </c>
      <c r="F648" s="10" t="n">
        <v>151</v>
      </c>
      <c r="G648" s="10" t="n">
        <v>175.958066969536</v>
      </c>
      <c r="H648" s="10" t="n">
        <v>25.05155075737479</v>
      </c>
      <c r="I648" s="10">
        <f>G648-1.96*H648</f>
        <v/>
      </c>
      <c r="J648" s="10">
        <f>G648+1.96*H648</f>
        <v/>
      </c>
      <c r="K648" s="10">
        <f>G648-F648</f>
        <v/>
      </c>
      <c r="L648" s="4">
        <f>IF(AND(F648&gt;=I648,F648&lt;=J648),1,0)</f>
        <v/>
      </c>
    </row>
    <row r="649">
      <c r="A649" s="4" t="inlineStr">
        <is>
          <t>elongation_pct</t>
        </is>
      </c>
      <c r="B649" s="4" t="inlineStr">
        <is>
          <t>G303</t>
        </is>
      </c>
      <c r="C649" s="4" t="inlineStr">
        <is>
          <t>EP4249550A1</t>
        </is>
      </c>
      <c r="D649" s="4" t="inlineStr">
        <is>
          <t>Comparative Example 2</t>
        </is>
      </c>
      <c r="E649" s="4" t="inlineStr">
        <is>
          <t>dev(OOF)</t>
        </is>
      </c>
      <c r="F649" s="10" t="n">
        <v>330</v>
      </c>
      <c r="G649" s="10" t="n">
        <v>316.34352220842</v>
      </c>
      <c r="H649" s="10" t="n">
        <v>40.39068056239275</v>
      </c>
      <c r="I649" s="10">
        <f>G649-1.96*H649</f>
        <v/>
      </c>
      <c r="J649" s="10">
        <f>G649+1.96*H649</f>
        <v/>
      </c>
      <c r="K649" s="10">
        <f>G649-F649</f>
        <v/>
      </c>
      <c r="L649" s="4">
        <f>IF(AND(F649&gt;=I649,F649&lt;=J649),1,0)</f>
        <v/>
      </c>
    </row>
    <row r="650">
      <c r="A650" s="4" t="inlineStr">
        <is>
          <t>elongation_pct</t>
        </is>
      </c>
      <c r="B650" s="4" t="inlineStr">
        <is>
          <t>G199</t>
        </is>
      </c>
      <c r="C650" s="4" t="inlineStr">
        <is>
          <t>US20160319102A1</t>
        </is>
      </c>
      <c r="D650" s="4" t="inlineStr">
        <is>
          <t>Comparative Example 4</t>
        </is>
      </c>
      <c r="E650" s="4" t="inlineStr">
        <is>
          <t>dev(OOF)</t>
        </is>
      </c>
      <c r="F650" s="10" t="n">
        <v>280</v>
      </c>
      <c r="G650" s="10" t="n">
        <v>231.9846448541875</v>
      </c>
      <c r="H650" s="10" t="n">
        <v>45.5442991735793</v>
      </c>
      <c r="I650" s="10">
        <f>G650-1.96*H650</f>
        <v/>
      </c>
      <c r="J650" s="10">
        <f>G650+1.96*H650</f>
        <v/>
      </c>
      <c r="K650" s="10">
        <f>G650-F650</f>
        <v/>
      </c>
      <c r="L650" s="4">
        <f>IF(AND(F650&gt;=I650,F650&lt;=J650),1,0)</f>
        <v/>
      </c>
    </row>
    <row r="651">
      <c r="A651" s="4" t="inlineStr">
        <is>
          <t>elongation_pct</t>
        </is>
      </c>
      <c r="B651" s="4" t="inlineStr">
        <is>
          <t>G140</t>
        </is>
      </c>
      <c r="C651" s="4" t="inlineStr">
        <is>
          <t>US7247749B2</t>
        </is>
      </c>
      <c r="D651" s="4" t="inlineStr">
        <is>
          <t>Sample 16</t>
        </is>
      </c>
      <c r="E651" s="4" t="inlineStr">
        <is>
          <t>dev(OOF)</t>
        </is>
      </c>
      <c r="F651" s="10" t="n">
        <v>106</v>
      </c>
      <c r="G651" s="10" t="n">
        <v>129.4418999744044</v>
      </c>
      <c r="H651" s="10" t="n">
        <v>16.95933608022244</v>
      </c>
      <c r="I651" s="10">
        <f>G651-1.96*H651</f>
        <v/>
      </c>
      <c r="J651" s="10">
        <f>G651+1.96*H651</f>
        <v/>
      </c>
      <c r="K651" s="10">
        <f>G651-F651</f>
        <v/>
      </c>
      <c r="L651" s="4">
        <f>IF(AND(F651&gt;=I651,F651&lt;=J651),1,0)</f>
        <v/>
      </c>
    </row>
    <row r="652">
      <c r="A652" s="4" t="inlineStr">
        <is>
          <t>elongation_pct</t>
        </is>
      </c>
      <c r="B652" s="4" t="inlineStr">
        <is>
          <t>G134</t>
        </is>
      </c>
      <c r="C652" s="4" t="inlineStr">
        <is>
          <t>US7247749B2</t>
        </is>
      </c>
      <c r="D652" s="4" t="inlineStr">
        <is>
          <t>Sample 10</t>
        </is>
      </c>
      <c r="E652" s="4" t="inlineStr">
        <is>
          <t>dev(OOF)</t>
        </is>
      </c>
      <c r="F652" s="10" t="n">
        <v>144</v>
      </c>
      <c r="G652" s="10" t="n">
        <v>186.3864232600486</v>
      </c>
      <c r="H652" s="10" t="n">
        <v>30.85711238905747</v>
      </c>
      <c r="I652" s="10">
        <f>G652-1.96*H652</f>
        <v/>
      </c>
      <c r="J652" s="10">
        <f>G652+1.96*H652</f>
        <v/>
      </c>
      <c r="K652" s="10">
        <f>G652-F652</f>
        <v/>
      </c>
      <c r="L652" s="4">
        <f>IF(AND(F652&gt;=I652,F652&lt;=J652),1,0)</f>
        <v/>
      </c>
    </row>
    <row r="653">
      <c r="A653" s="4" t="inlineStr">
        <is>
          <t>elongation_pct</t>
        </is>
      </c>
      <c r="B653" s="4" t="inlineStr">
        <is>
          <t>G164</t>
        </is>
      </c>
      <c r="C653" s="4" t="inlineStr">
        <is>
          <t>US20050107544A1</t>
        </is>
      </c>
      <c r="D653" s="4" t="inlineStr">
        <is>
          <t>Sample 1</t>
        </is>
      </c>
      <c r="E653" s="4" t="inlineStr">
        <is>
          <t>dev(OOF)</t>
        </is>
      </c>
      <c r="F653" s="10" t="n">
        <v>161</v>
      </c>
      <c r="G653" s="10" t="n">
        <v>182.3547668108054</v>
      </c>
      <c r="H653" s="10" t="n">
        <v>25.88674019963956</v>
      </c>
      <c r="I653" s="10">
        <f>G653-1.96*H653</f>
        <v/>
      </c>
      <c r="J653" s="10">
        <f>G653+1.96*H653</f>
        <v/>
      </c>
      <c r="K653" s="10">
        <f>G653-F653</f>
        <v/>
      </c>
      <c r="L653" s="4">
        <f>IF(AND(F653&gt;=I653,F653&lt;=J653),1,0)</f>
        <v/>
      </c>
    </row>
    <row r="654">
      <c r="A654" s="4" t="inlineStr">
        <is>
          <t>elongation_pct</t>
        </is>
      </c>
      <c r="B654" s="4" t="inlineStr">
        <is>
          <t>G112</t>
        </is>
      </c>
      <c r="C654" s="4" t="inlineStr">
        <is>
          <t>US6992143B2</t>
        </is>
      </c>
      <c r="D654" s="4" t="inlineStr">
        <is>
          <t>Example 3</t>
        </is>
      </c>
      <c r="E654" s="4" t="inlineStr">
        <is>
          <t>dev(OOF)</t>
        </is>
      </c>
      <c r="F654" s="10" t="n">
        <v>214</v>
      </c>
      <c r="G654" s="10" t="n">
        <v>165.9583080519322</v>
      </c>
      <c r="H654" s="10" t="n">
        <v>18.35151181876801</v>
      </c>
      <c r="I654" s="10">
        <f>G654-1.96*H654</f>
        <v/>
      </c>
      <c r="J654" s="10">
        <f>G654+1.96*H654</f>
        <v/>
      </c>
      <c r="K654" s="10">
        <f>G654-F654</f>
        <v/>
      </c>
      <c r="L654" s="4">
        <f>IF(AND(F654&gt;=I654,F654&lt;=J654),1,0)</f>
        <v/>
      </c>
    </row>
    <row r="655">
      <c r="A655" s="4" t="inlineStr">
        <is>
          <t>elongation_pct</t>
        </is>
      </c>
      <c r="B655" s="4" t="inlineStr">
        <is>
          <t>G203</t>
        </is>
      </c>
      <c r="C655" s="4" t="inlineStr">
        <is>
          <t>US20160319102A1</t>
        </is>
      </c>
      <c r="D655" s="4" t="inlineStr">
        <is>
          <t>Comparative Example 9</t>
        </is>
      </c>
      <c r="E655" s="4" t="inlineStr">
        <is>
          <t>dev(OOF)</t>
        </is>
      </c>
      <c r="F655" s="10" t="n">
        <v>130</v>
      </c>
      <c r="G655" s="10" t="n">
        <v>213.2133607462449</v>
      </c>
      <c r="H655" s="10" t="n">
        <v>40.26282200906754</v>
      </c>
      <c r="I655" s="10">
        <f>G655-1.96*H655</f>
        <v/>
      </c>
      <c r="J655" s="10">
        <f>G655+1.96*H655</f>
        <v/>
      </c>
      <c r="K655" s="10">
        <f>G655-F655</f>
        <v/>
      </c>
      <c r="L655" s="4">
        <f>IF(AND(F655&gt;=I655,F655&lt;=J655),1,0)</f>
        <v/>
      </c>
    </row>
    <row r="656">
      <c r="A656" s="4" t="inlineStr">
        <is>
          <t>elongation_pct</t>
        </is>
      </c>
      <c r="B656" s="4" t="inlineStr">
        <is>
          <t>G260</t>
        </is>
      </c>
      <c r="C656" s="4" t="inlineStr">
        <is>
          <t>US12584054B2</t>
        </is>
      </c>
      <c r="D656" s="4" t="inlineStr">
        <is>
          <t>Example 8</t>
        </is>
      </c>
      <c r="E656" s="4" t="inlineStr">
        <is>
          <t>dev(OOF)</t>
        </is>
      </c>
      <c r="F656" s="10" t="n">
        <v>220</v>
      </c>
      <c r="G656" s="10" t="n">
        <v>236.0215434862393</v>
      </c>
      <c r="H656" s="10" t="n">
        <v>25.8347651491929</v>
      </c>
      <c r="I656" s="10">
        <f>G656-1.96*H656</f>
        <v/>
      </c>
      <c r="J656" s="10">
        <f>G656+1.96*H656</f>
        <v/>
      </c>
      <c r="K656" s="10">
        <f>G656-F656</f>
        <v/>
      </c>
      <c r="L656" s="4">
        <f>IF(AND(F656&gt;=I656,F656&lt;=J656),1,0)</f>
        <v/>
      </c>
    </row>
    <row r="657">
      <c r="A657" s="4" t="inlineStr">
        <is>
          <t>elongation_pct</t>
        </is>
      </c>
      <c r="B657" s="4" t="inlineStr">
        <is>
          <t>G328</t>
        </is>
      </c>
      <c r="C657" s="4" t="inlineStr">
        <is>
          <t>KR101467101B1</t>
        </is>
      </c>
      <c r="D657" s="4" t="inlineStr">
        <is>
          <t>Comparative Example 1 (Table 3 sample 2)</t>
        </is>
      </c>
      <c r="E657" s="4" t="inlineStr">
        <is>
          <t>dev(OOF)</t>
        </is>
      </c>
      <c r="F657" s="10" t="n">
        <v>156.1</v>
      </c>
      <c r="G657" s="10" t="n">
        <v>188.6964620747942</v>
      </c>
      <c r="H657" s="10" t="n">
        <v>41.83663341702005</v>
      </c>
      <c r="I657" s="10">
        <f>G657-1.96*H657</f>
        <v/>
      </c>
      <c r="J657" s="10">
        <f>G657+1.96*H657</f>
        <v/>
      </c>
      <c r="K657" s="10">
        <f>G657-F657</f>
        <v/>
      </c>
      <c r="L657" s="4">
        <f>IF(AND(F657&gt;=I657,F657&lt;=J657),1,0)</f>
        <v/>
      </c>
    </row>
    <row r="658">
      <c r="A658" s="4" t="inlineStr">
        <is>
          <t>elongation_pct</t>
        </is>
      </c>
      <c r="B658" s="4" t="inlineStr">
        <is>
          <t>G197</t>
        </is>
      </c>
      <c r="C658" s="4" t="inlineStr">
        <is>
          <t>US20160319102A1</t>
        </is>
      </c>
      <c r="D658" s="4" t="inlineStr">
        <is>
          <t>Comparative Example 2</t>
        </is>
      </c>
      <c r="E658" s="4" t="inlineStr">
        <is>
          <t>dev(OOF)</t>
        </is>
      </c>
      <c r="F658" s="10" t="n">
        <v>215</v>
      </c>
      <c r="G658" s="10" t="n">
        <v>210.354676013395</v>
      </c>
      <c r="H658" s="10" t="n">
        <v>40.1237490958957</v>
      </c>
      <c r="I658" s="10">
        <f>G658-1.96*H658</f>
        <v/>
      </c>
      <c r="J658" s="10">
        <f>G658+1.96*H658</f>
        <v/>
      </c>
      <c r="K658" s="10">
        <f>G658-F658</f>
        <v/>
      </c>
      <c r="L658" s="4">
        <f>IF(AND(F658&gt;=I658,F658&lt;=J658),1,0)</f>
        <v/>
      </c>
    </row>
    <row r="659">
      <c r="A659" s="4" t="inlineStr">
        <is>
          <t>elongation_pct</t>
        </is>
      </c>
      <c r="B659" s="4" t="inlineStr">
        <is>
          <t>G266</t>
        </is>
      </c>
      <c r="C659" s="4" t="inlineStr">
        <is>
          <t>US20230174763A1</t>
        </is>
      </c>
      <c r="D659" s="4" t="inlineStr">
        <is>
          <t>Example 3</t>
        </is>
      </c>
      <c r="E659" s="4" t="inlineStr">
        <is>
          <t>dev(OOF)</t>
        </is>
      </c>
      <c r="F659" s="10" t="n">
        <v>190</v>
      </c>
      <c r="G659" s="10" t="n">
        <v>179.5021862805059</v>
      </c>
      <c r="H659" s="10" t="n">
        <v>36.20113851473466</v>
      </c>
      <c r="I659" s="10">
        <f>G659-1.96*H659</f>
        <v/>
      </c>
      <c r="J659" s="10">
        <f>G659+1.96*H659</f>
        <v/>
      </c>
      <c r="K659" s="10">
        <f>G659-F659</f>
        <v/>
      </c>
      <c r="L659" s="4">
        <f>IF(AND(F659&gt;=I659,F659&lt;=J659),1,0)</f>
        <v/>
      </c>
    </row>
    <row r="660">
      <c r="A660" s="4" t="inlineStr">
        <is>
          <t>elongation_pct</t>
        </is>
      </c>
      <c r="B660" s="4" t="inlineStr">
        <is>
          <t>G086</t>
        </is>
      </c>
      <c r="C660" s="4" t="inlineStr">
        <is>
          <t>US8367776B2</t>
        </is>
      </c>
      <c r="D660" s="4" t="inlineStr">
        <is>
          <t>Example 4</t>
        </is>
      </c>
      <c r="E660" s="4" t="inlineStr">
        <is>
          <t>dev(OOF)</t>
        </is>
      </c>
      <c r="F660" s="10" t="n">
        <v>271</v>
      </c>
      <c r="G660" s="10" t="n">
        <v>262.9837540305497</v>
      </c>
      <c r="H660" s="10" t="n">
        <v>38.70377068327853</v>
      </c>
      <c r="I660" s="10">
        <f>G660-1.96*H660</f>
        <v/>
      </c>
      <c r="J660" s="10">
        <f>G660+1.96*H660</f>
        <v/>
      </c>
      <c r="K660" s="10">
        <f>G660-F660</f>
        <v/>
      </c>
      <c r="L660" s="4">
        <f>IF(AND(F660&gt;=I660,F660&lt;=J660),1,0)</f>
        <v/>
      </c>
    </row>
    <row r="661">
      <c r="A661" s="4" t="inlineStr">
        <is>
          <t>elongation_pct</t>
        </is>
      </c>
      <c r="B661" s="4" t="inlineStr">
        <is>
          <t>G084</t>
        </is>
      </c>
      <c r="C661" s="4" t="inlineStr">
        <is>
          <t>US8367776B2</t>
        </is>
      </c>
      <c r="D661" s="4" t="inlineStr">
        <is>
          <t>Comparative Example 1</t>
        </is>
      </c>
      <c r="E661" s="4" t="inlineStr">
        <is>
          <t>dev(OOF)</t>
        </is>
      </c>
      <c r="F661" s="10" t="n">
        <v>275</v>
      </c>
      <c r="G661" s="10" t="n">
        <v>261.6018112989087</v>
      </c>
      <c r="H661" s="10" t="n">
        <v>37.69189427824545</v>
      </c>
      <c r="I661" s="10">
        <f>G661-1.96*H661</f>
        <v/>
      </c>
      <c r="J661" s="10">
        <f>G661+1.96*H661</f>
        <v/>
      </c>
      <c r="K661" s="10">
        <f>G661-F661</f>
        <v/>
      </c>
      <c r="L661" s="4">
        <f>IF(AND(F661&gt;=I661,F661&lt;=J661),1,0)</f>
        <v/>
      </c>
    </row>
    <row r="662">
      <c r="A662" s="4" t="inlineStr">
        <is>
          <t>elongation_pct</t>
        </is>
      </c>
      <c r="B662" s="4" t="inlineStr">
        <is>
          <t>G272</t>
        </is>
      </c>
      <c r="C662" s="4" t="inlineStr">
        <is>
          <t>US20230174763A1</t>
        </is>
      </c>
      <c r="D662" s="4" t="inlineStr">
        <is>
          <t>Comparative Example 11</t>
        </is>
      </c>
      <c r="E662" s="4" t="inlineStr">
        <is>
          <t>dev(OOF)</t>
        </is>
      </c>
      <c r="F662" s="10" t="n">
        <v>250</v>
      </c>
      <c r="G662" s="10" t="n">
        <v>231.832136888383</v>
      </c>
      <c r="H662" s="10" t="n">
        <v>31.9413383424974</v>
      </c>
      <c r="I662" s="10">
        <f>G662-1.96*H662</f>
        <v/>
      </c>
      <c r="J662" s="10">
        <f>G662+1.96*H662</f>
        <v/>
      </c>
      <c r="K662" s="10">
        <f>G662-F662</f>
        <v/>
      </c>
      <c r="L662" s="4">
        <f>IF(AND(F662&gt;=I662,F662&lt;=J662),1,0)</f>
        <v/>
      </c>
    </row>
    <row r="663">
      <c r="A663" s="4" t="inlineStr">
        <is>
          <t>elongation_pct</t>
        </is>
      </c>
      <c r="B663" s="4" t="inlineStr">
        <is>
          <t>G198</t>
        </is>
      </c>
      <c r="C663" s="4" t="inlineStr">
        <is>
          <t>US20160319102A1</t>
        </is>
      </c>
      <c r="D663" s="4" t="inlineStr">
        <is>
          <t>Comparative Example 3</t>
        </is>
      </c>
      <c r="E663" s="4" t="inlineStr">
        <is>
          <t>dev(OOF)</t>
        </is>
      </c>
      <c r="F663" s="10" t="n">
        <v>260</v>
      </c>
      <c r="G663" s="10" t="n">
        <v>266.9574408399484</v>
      </c>
      <c r="H663" s="10" t="n">
        <v>45.1532524035257</v>
      </c>
      <c r="I663" s="10">
        <f>G663-1.96*H663</f>
        <v/>
      </c>
      <c r="J663" s="10">
        <f>G663+1.96*H663</f>
        <v/>
      </c>
      <c r="K663" s="10">
        <f>G663-F663</f>
        <v/>
      </c>
      <c r="L663" s="4">
        <f>IF(AND(F663&gt;=I663,F663&lt;=J663),1,0)</f>
        <v/>
      </c>
    </row>
    <row r="664">
      <c r="A664" s="4" t="inlineStr">
        <is>
          <t>elongation_pct</t>
        </is>
      </c>
      <c r="B664" s="4" t="inlineStr">
        <is>
          <t>G301</t>
        </is>
      </c>
      <c r="C664" s="4" t="inlineStr">
        <is>
          <t>EP4249550A1</t>
        </is>
      </c>
      <c r="D664" s="4" t="inlineStr">
        <is>
          <t>Example 13</t>
        </is>
      </c>
      <c r="E664" s="4" t="inlineStr">
        <is>
          <t>dev(OOF)</t>
        </is>
      </c>
      <c r="F664" s="10" t="n">
        <v>240</v>
      </c>
      <c r="G664" s="10" t="n">
        <v>175.1191152372965</v>
      </c>
      <c r="H664" s="10" t="n">
        <v>20.02192785364178</v>
      </c>
      <c r="I664" s="10">
        <f>G664-1.96*H664</f>
        <v/>
      </c>
      <c r="J664" s="10">
        <f>G664+1.96*H664</f>
        <v/>
      </c>
      <c r="K664" s="10">
        <f>G664-F664</f>
        <v/>
      </c>
      <c r="L664" s="4">
        <f>IF(AND(F664&gt;=I664,F664&lt;=J664),1,0)</f>
        <v/>
      </c>
    </row>
    <row r="665">
      <c r="A665" s="4" t="inlineStr">
        <is>
          <t>elongation_pct</t>
        </is>
      </c>
      <c r="B665" s="4" t="inlineStr">
        <is>
          <t>G070</t>
        </is>
      </c>
      <c r="C665" s="4" t="inlineStr">
        <is>
          <t>US11072700B2</t>
        </is>
      </c>
      <c r="D665" s="4" t="inlineStr">
        <is>
          <t>Comparative Example 1</t>
        </is>
      </c>
      <c r="E665" s="4" t="inlineStr">
        <is>
          <t>dev(OOF)</t>
        </is>
      </c>
      <c r="F665" s="10" t="n">
        <v>300</v>
      </c>
      <c r="G665" s="10" t="n">
        <v>236.2015370680768</v>
      </c>
      <c r="H665" s="10" t="n">
        <v>44.10609432300166</v>
      </c>
      <c r="I665" s="10">
        <f>G665-1.96*H665</f>
        <v/>
      </c>
      <c r="J665" s="10">
        <f>G665+1.96*H665</f>
        <v/>
      </c>
      <c r="K665" s="10">
        <f>G665-F665</f>
        <v/>
      </c>
      <c r="L665" s="4">
        <f>IF(AND(F665&gt;=I665,F665&lt;=J665),1,0)</f>
        <v/>
      </c>
    </row>
    <row r="666">
      <c r="A666" s="4" t="inlineStr">
        <is>
          <t>elongation_pct</t>
        </is>
      </c>
      <c r="B666" s="4" t="inlineStr">
        <is>
          <t>G097</t>
        </is>
      </c>
      <c r="C666" s="4" t="inlineStr">
        <is>
          <t>US7354974B2</t>
        </is>
      </c>
      <c r="D666" s="4" t="inlineStr">
        <is>
          <t>Example 1</t>
        </is>
      </c>
      <c r="E666" s="4" t="inlineStr">
        <is>
          <t>dev(OOF)</t>
        </is>
      </c>
      <c r="F666" s="10" t="n">
        <v>316</v>
      </c>
      <c r="G666" s="10" t="n">
        <v>311.2844939638844</v>
      </c>
      <c r="H666" s="10" t="n">
        <v>48.45273166436783</v>
      </c>
      <c r="I666" s="10">
        <f>G666-1.96*H666</f>
        <v/>
      </c>
      <c r="J666" s="10">
        <f>G666+1.96*H666</f>
        <v/>
      </c>
      <c r="K666" s="10">
        <f>G666-F666</f>
        <v/>
      </c>
      <c r="L666" s="4">
        <f>IF(AND(F666&gt;=I666,F666&lt;=J666),1,0)</f>
        <v/>
      </c>
    </row>
    <row r="667">
      <c r="A667" s="4" t="inlineStr">
        <is>
          <t>elongation_pct</t>
        </is>
      </c>
      <c r="B667" s="4" t="inlineStr">
        <is>
          <t>G176</t>
        </is>
      </c>
      <c r="C667" s="4" t="inlineStr">
        <is>
          <t>US6191208B1</t>
        </is>
      </c>
      <c r="D667" s="4" t="inlineStr">
        <is>
          <t>Example 2</t>
        </is>
      </c>
      <c r="E667" s="4" t="inlineStr">
        <is>
          <t>dev(OOF)</t>
        </is>
      </c>
      <c r="F667" s="10" t="n">
        <v>304</v>
      </c>
      <c r="G667" s="10" t="n">
        <v>258.3288708416531</v>
      </c>
      <c r="H667" s="10" t="n">
        <v>36.66851095897868</v>
      </c>
      <c r="I667" s="10">
        <f>G667-1.96*H667</f>
        <v/>
      </c>
      <c r="J667" s="10">
        <f>G667+1.96*H667</f>
        <v/>
      </c>
      <c r="K667" s="10">
        <f>G667-F667</f>
        <v/>
      </c>
      <c r="L667" s="4">
        <f>IF(AND(F667&gt;=I667,F667&lt;=J667),1,0)</f>
        <v/>
      </c>
    </row>
    <row r="668">
      <c r="A668" s="4" t="inlineStr">
        <is>
          <t>elongation_pct</t>
        </is>
      </c>
      <c r="B668" s="4" t="inlineStr">
        <is>
          <t>G148</t>
        </is>
      </c>
      <c r="C668" s="4" t="inlineStr">
        <is>
          <t>US7247749B2</t>
        </is>
      </c>
      <c r="D668" s="4" t="inlineStr">
        <is>
          <t>Sample 24</t>
        </is>
      </c>
      <c r="E668" s="4" t="inlineStr">
        <is>
          <t>dev(OOF)</t>
        </is>
      </c>
      <c r="F668" s="10" t="n">
        <v>138</v>
      </c>
      <c r="G668" s="10" t="n">
        <v>165.6729447996831</v>
      </c>
      <c r="H668" s="10" t="n">
        <v>23.30967502906422</v>
      </c>
      <c r="I668" s="10">
        <f>G668-1.96*H668</f>
        <v/>
      </c>
      <c r="J668" s="10">
        <f>G668+1.96*H668</f>
        <v/>
      </c>
      <c r="K668" s="10">
        <f>G668-F668</f>
        <v/>
      </c>
      <c r="L668" s="4">
        <f>IF(AND(F668&gt;=I668,F668&lt;=J668),1,0)</f>
        <v/>
      </c>
    </row>
    <row r="669">
      <c r="A669" s="4" t="inlineStr">
        <is>
          <t>elongation_pct</t>
        </is>
      </c>
      <c r="B669" s="4" t="inlineStr">
        <is>
          <t>G172</t>
        </is>
      </c>
      <c r="C669" s="4" t="inlineStr">
        <is>
          <t>US20050107544A1</t>
        </is>
      </c>
      <c r="D669" s="4" t="inlineStr">
        <is>
          <t>Comparative Example C</t>
        </is>
      </c>
      <c r="E669" s="4" t="inlineStr">
        <is>
          <t>dev(OOF)</t>
        </is>
      </c>
      <c r="F669" s="10" t="n">
        <v>242</v>
      </c>
      <c r="G669" s="10" t="n">
        <v>202.1758859105168</v>
      </c>
      <c r="H669" s="10" t="n">
        <v>48.12020202768547</v>
      </c>
      <c r="I669" s="10">
        <f>G669-1.96*H669</f>
        <v/>
      </c>
      <c r="J669" s="10">
        <f>G669+1.96*H669</f>
        <v/>
      </c>
      <c r="K669" s="10">
        <f>G669-F669</f>
        <v/>
      </c>
      <c r="L669" s="4">
        <f>IF(AND(F669&gt;=I669,F669&lt;=J669),1,0)</f>
        <v/>
      </c>
    </row>
    <row r="670">
      <c r="A670" s="4" t="inlineStr">
        <is>
          <t>elongation_pct</t>
        </is>
      </c>
      <c r="B670" s="4" t="inlineStr">
        <is>
          <t>G282</t>
        </is>
      </c>
      <c r="C670" s="4" t="inlineStr">
        <is>
          <t>US20230365800A1</t>
        </is>
      </c>
      <c r="D670" s="4" t="inlineStr">
        <is>
          <t>Example 6</t>
        </is>
      </c>
      <c r="E670" s="4" t="inlineStr">
        <is>
          <t>dev(OOF)</t>
        </is>
      </c>
      <c r="F670" s="10" t="n">
        <v>150</v>
      </c>
      <c r="G670" s="10" t="n">
        <v>150.3296527831374</v>
      </c>
      <c r="H670" s="10" t="n">
        <v>17.34519637149138</v>
      </c>
      <c r="I670" s="10">
        <f>G670-1.96*H670</f>
        <v/>
      </c>
      <c r="J670" s="10">
        <f>G670+1.96*H670</f>
        <v/>
      </c>
      <c r="K670" s="10">
        <f>G670-F670</f>
        <v/>
      </c>
      <c r="L670" s="4">
        <f>IF(AND(F670&gt;=I670,F670&lt;=J670),1,0)</f>
        <v/>
      </c>
    </row>
    <row r="671">
      <c r="A671" s="4" t="inlineStr">
        <is>
          <t>elongation_pct</t>
        </is>
      </c>
      <c r="B671" s="4" t="inlineStr">
        <is>
          <t>G045</t>
        </is>
      </c>
      <c r="C671" s="4" t="inlineStr">
        <is>
          <t>US8211964B2</t>
        </is>
      </c>
      <c r="D671" s="4" t="inlineStr">
        <is>
          <t>Example 4</t>
        </is>
      </c>
      <c r="E671" s="4" t="inlineStr">
        <is>
          <t>dev(OOF)</t>
        </is>
      </c>
      <c r="F671" s="10" t="n">
        <v>180</v>
      </c>
      <c r="G671" s="10" t="n">
        <v>225.4545137378029</v>
      </c>
      <c r="H671" s="10" t="n">
        <v>46.23860194610698</v>
      </c>
      <c r="I671" s="10">
        <f>G671-1.96*H671</f>
        <v/>
      </c>
      <c r="J671" s="10">
        <f>G671+1.96*H671</f>
        <v/>
      </c>
      <c r="K671" s="10">
        <f>G671-F671</f>
        <v/>
      </c>
      <c r="L671" s="4">
        <f>IF(AND(F671&gt;=I671,F671&lt;=J671),1,0)</f>
        <v/>
      </c>
    </row>
    <row r="672">
      <c r="A672" s="4" t="inlineStr">
        <is>
          <t>elongation_pct</t>
        </is>
      </c>
      <c r="B672" s="4" t="inlineStr">
        <is>
          <t>G093</t>
        </is>
      </c>
      <c r="C672" s="4" t="inlineStr">
        <is>
          <t>US8367776B2</t>
        </is>
      </c>
      <c r="D672" s="4" t="inlineStr">
        <is>
          <t>Example 11</t>
        </is>
      </c>
      <c r="E672" s="4" t="inlineStr">
        <is>
          <t>dev(OOF)</t>
        </is>
      </c>
      <c r="F672" s="10" t="n">
        <v>262</v>
      </c>
      <c r="G672" s="10" t="n">
        <v>257.1004409117197</v>
      </c>
      <c r="H672" s="10" t="n">
        <v>39.11132646860334</v>
      </c>
      <c r="I672" s="10">
        <f>G672-1.96*H672</f>
        <v/>
      </c>
      <c r="J672" s="10">
        <f>G672+1.96*H672</f>
        <v/>
      </c>
      <c r="K672" s="10">
        <f>G672-F672</f>
        <v/>
      </c>
      <c r="L672" s="4">
        <f>IF(AND(F672&gt;=I672,F672&lt;=J672),1,0)</f>
        <v/>
      </c>
    </row>
    <row r="673">
      <c r="A673" s="4" t="inlineStr">
        <is>
          <t>elongation_pct</t>
        </is>
      </c>
      <c r="B673" s="4" t="inlineStr">
        <is>
          <t>G083</t>
        </is>
      </c>
      <c r="C673" s="4" t="inlineStr">
        <is>
          <t>US8367776B2</t>
        </is>
      </c>
      <c r="D673" s="4" t="inlineStr">
        <is>
          <t>Example 3</t>
        </is>
      </c>
      <c r="E673" s="4" t="inlineStr">
        <is>
          <t>dev(OOF)</t>
        </is>
      </c>
      <c r="F673" s="10" t="n">
        <v>250</v>
      </c>
      <c r="G673" s="10" t="n">
        <v>267.8029128296447</v>
      </c>
      <c r="H673" s="10" t="n">
        <v>31.9936881491039</v>
      </c>
      <c r="I673" s="10">
        <f>G673-1.96*H673</f>
        <v/>
      </c>
      <c r="J673" s="10">
        <f>G673+1.96*H673</f>
        <v/>
      </c>
      <c r="K673" s="10">
        <f>G673-F673</f>
        <v/>
      </c>
      <c r="L673" s="4">
        <f>IF(AND(F673&gt;=I673,F673&lt;=J673),1,0)</f>
        <v/>
      </c>
    </row>
    <row r="674">
      <c r="A674" s="4" t="inlineStr">
        <is>
          <t>elongation_pct</t>
        </is>
      </c>
      <c r="B674" s="4" t="inlineStr">
        <is>
          <t>G186</t>
        </is>
      </c>
      <c r="C674" s="4" t="inlineStr">
        <is>
          <t>US20040019153A1</t>
        </is>
      </c>
      <c r="D674" s="4" t="inlineStr">
        <is>
          <t>Example 3</t>
        </is>
      </c>
      <c r="E674" s="4" t="inlineStr">
        <is>
          <t>dev(OOF)</t>
        </is>
      </c>
      <c r="F674" s="10" t="n">
        <v>255</v>
      </c>
      <c r="G674" s="10" t="n">
        <v>242.6029706367162</v>
      </c>
      <c r="H674" s="10" t="n">
        <v>32.03057743243293</v>
      </c>
      <c r="I674" s="10">
        <f>G674-1.96*H674</f>
        <v/>
      </c>
      <c r="J674" s="10">
        <f>G674+1.96*H674</f>
        <v/>
      </c>
      <c r="K674" s="10">
        <f>G674-F674</f>
        <v/>
      </c>
      <c r="L674" s="4">
        <f>IF(AND(F674&gt;=I674,F674&lt;=J674),1,0)</f>
        <v/>
      </c>
    </row>
    <row r="675">
      <c r="A675" s="4" t="inlineStr">
        <is>
          <t>elongation_pct</t>
        </is>
      </c>
      <c r="B675" s="4" t="inlineStr">
        <is>
          <t>G141</t>
        </is>
      </c>
      <c r="C675" s="4" t="inlineStr">
        <is>
          <t>US7247749B2</t>
        </is>
      </c>
      <c r="D675" s="4" t="inlineStr">
        <is>
          <t>Sample 17</t>
        </is>
      </c>
      <c r="E675" s="4" t="inlineStr">
        <is>
          <t>dev(OOF)</t>
        </is>
      </c>
      <c r="F675" s="10" t="n">
        <v>328</v>
      </c>
      <c r="G675" s="10" t="n">
        <v>163.1857972671687</v>
      </c>
      <c r="H675" s="10" t="n">
        <v>17.22775593940833</v>
      </c>
      <c r="I675" s="10">
        <f>G675-1.96*H675</f>
        <v/>
      </c>
      <c r="J675" s="10">
        <f>G675+1.96*H675</f>
        <v/>
      </c>
      <c r="K675" s="10">
        <f>G675-F675</f>
        <v/>
      </c>
      <c r="L675" s="4">
        <f>IF(AND(F675&gt;=I675,F675&lt;=J675),1,0)</f>
        <v/>
      </c>
    </row>
    <row r="676">
      <c r="A676" s="4" t="inlineStr">
        <is>
          <t>elongation_pct</t>
        </is>
      </c>
      <c r="B676" s="4" t="inlineStr">
        <is>
          <t>G072</t>
        </is>
      </c>
      <c r="C676" s="4" t="inlineStr">
        <is>
          <t>US11072700B2</t>
        </is>
      </c>
      <c r="D676" s="4" t="inlineStr">
        <is>
          <t>Example 3</t>
        </is>
      </c>
      <c r="E676" s="4" t="inlineStr">
        <is>
          <t>dev(OOF)</t>
        </is>
      </c>
      <c r="F676" s="10" t="n">
        <v>185</v>
      </c>
      <c r="G676" s="10" t="n">
        <v>191.0476410258852</v>
      </c>
      <c r="H676" s="10" t="n">
        <v>39.22675378958271</v>
      </c>
      <c r="I676" s="10">
        <f>G676-1.96*H676</f>
        <v/>
      </c>
      <c r="J676" s="10">
        <f>G676+1.96*H676</f>
        <v/>
      </c>
      <c r="K676" s="10">
        <f>G676-F676</f>
        <v/>
      </c>
      <c r="L676" s="4">
        <f>IF(AND(F676&gt;=I676,F676&lt;=J676),1,0)</f>
        <v/>
      </c>
    </row>
    <row r="677">
      <c r="A677" s="4" t="inlineStr">
        <is>
          <t>elongation_pct</t>
        </is>
      </c>
      <c r="B677" s="4" t="inlineStr">
        <is>
          <t>G081</t>
        </is>
      </c>
      <c r="C677" s="4" t="inlineStr">
        <is>
          <t>US12304984B2</t>
        </is>
      </c>
      <c r="D677" s="4" t="inlineStr">
        <is>
          <t>Example 1</t>
        </is>
      </c>
      <c r="E677" s="4" t="inlineStr">
        <is>
          <t>dev(OOF)</t>
        </is>
      </c>
      <c r="F677" s="10" t="n">
        <v>201</v>
      </c>
      <c r="G677" s="10" t="n">
        <v>256.1456406665296</v>
      </c>
      <c r="H677" s="10" t="n">
        <v>45.69326598322053</v>
      </c>
      <c r="I677" s="10">
        <f>G677-1.96*H677</f>
        <v/>
      </c>
      <c r="J677" s="10">
        <f>G677+1.96*H677</f>
        <v/>
      </c>
      <c r="K677" s="10">
        <f>G677-F677</f>
        <v/>
      </c>
      <c r="L677" s="4">
        <f>IF(AND(F677&gt;=I677,F677&lt;=J677),1,0)</f>
        <v/>
      </c>
    </row>
    <row r="678">
      <c r="A678" s="4" t="inlineStr">
        <is>
          <t>elongation_pct</t>
        </is>
      </c>
      <c r="B678" s="4" t="inlineStr">
        <is>
          <t>G147</t>
        </is>
      </c>
      <c r="C678" s="4" t="inlineStr">
        <is>
          <t>US7247749B2</t>
        </is>
      </c>
      <c r="D678" s="4" t="inlineStr">
        <is>
          <t>Sample 23</t>
        </is>
      </c>
      <c r="E678" s="4" t="inlineStr">
        <is>
          <t>dev(OOF)</t>
        </is>
      </c>
      <c r="F678" s="10" t="n">
        <v>190</v>
      </c>
      <c r="G678" s="10" t="n">
        <v>176.6569005900487</v>
      </c>
      <c r="H678" s="10" t="n">
        <v>24.48041334084532</v>
      </c>
      <c r="I678" s="10">
        <f>G678-1.96*H678</f>
        <v/>
      </c>
      <c r="J678" s="10">
        <f>G678+1.96*H678</f>
        <v/>
      </c>
      <c r="K678" s="10">
        <f>G678-F678</f>
        <v/>
      </c>
      <c r="L678" s="4">
        <f>IF(AND(F678&gt;=I678,F678&lt;=J678),1,0)</f>
        <v/>
      </c>
    </row>
    <row r="679">
      <c r="A679" s="4" t="inlineStr">
        <is>
          <t>elongation_pct</t>
        </is>
      </c>
      <c r="B679" s="4" t="inlineStr">
        <is>
          <t>G262</t>
        </is>
      </c>
      <c r="C679" s="4" t="inlineStr">
        <is>
          <t>US12584054B2</t>
        </is>
      </c>
      <c r="D679" s="4" t="inlineStr">
        <is>
          <t>Comparative Example 11</t>
        </is>
      </c>
      <c r="E679" s="4" t="inlineStr">
        <is>
          <t>dev(OOF)</t>
        </is>
      </c>
      <c r="F679" s="10" t="n">
        <v>220</v>
      </c>
      <c r="G679" s="10" t="n">
        <v>217.821136220312</v>
      </c>
      <c r="H679" s="10" t="n">
        <v>26.01984284163097</v>
      </c>
      <c r="I679" s="10">
        <f>G679-1.96*H679</f>
        <v/>
      </c>
      <c r="J679" s="10">
        <f>G679+1.96*H679</f>
        <v/>
      </c>
      <c r="K679" s="10">
        <f>G679-F679</f>
        <v/>
      </c>
      <c r="L679" s="4">
        <f>IF(AND(F679&gt;=I679,F679&lt;=J679),1,0)</f>
        <v/>
      </c>
    </row>
    <row r="680">
      <c r="A680" s="4" t="inlineStr">
        <is>
          <t>elongation_pct</t>
        </is>
      </c>
      <c r="B680" s="4" t="inlineStr">
        <is>
          <t>G317</t>
        </is>
      </c>
      <c r="C680" s="4" t="inlineStr">
        <is>
          <t>KR102400335B1</t>
        </is>
      </c>
      <c r="D680" s="4" t="inlineStr">
        <is>
          <t>Example 3</t>
        </is>
      </c>
      <c r="E680" s="4" t="inlineStr">
        <is>
          <t>dev(OOF)</t>
        </is>
      </c>
      <c r="F680" s="10" t="n">
        <v>210</v>
      </c>
      <c r="G680" s="10" t="n">
        <v>204.1944645432349</v>
      </c>
      <c r="H680" s="10" t="n">
        <v>46.39119045645782</v>
      </c>
      <c r="I680" s="10">
        <f>G680-1.96*H680</f>
        <v/>
      </c>
      <c r="J680" s="10">
        <f>G680+1.96*H680</f>
        <v/>
      </c>
      <c r="K680" s="10">
        <f>G680-F680</f>
        <v/>
      </c>
      <c r="L680" s="4">
        <f>IF(AND(F680&gt;=I680,F680&lt;=J680),1,0)</f>
        <v/>
      </c>
    </row>
    <row r="681">
      <c r="A681" s="4" t="inlineStr">
        <is>
          <t>elongation_pct</t>
        </is>
      </c>
      <c r="B681" s="4" t="inlineStr">
        <is>
          <t>G105</t>
        </is>
      </c>
      <c r="C681" s="4" t="inlineStr">
        <is>
          <t>US7354974B2</t>
        </is>
      </c>
      <c r="D681" s="4" t="inlineStr">
        <is>
          <t>Control B</t>
        </is>
      </c>
      <c r="E681" s="4" t="inlineStr">
        <is>
          <t>dev(OOF)</t>
        </is>
      </c>
      <c r="F681" s="10" t="n">
        <v>242</v>
      </c>
      <c r="G681" s="10" t="n">
        <v>206.4041610806918</v>
      </c>
      <c r="H681" s="10" t="n">
        <v>49.75933727490916</v>
      </c>
      <c r="I681" s="10">
        <f>G681-1.96*H681</f>
        <v/>
      </c>
      <c r="J681" s="10">
        <f>G681+1.96*H681</f>
        <v/>
      </c>
      <c r="K681" s="10">
        <f>G681-F681</f>
        <v/>
      </c>
      <c r="L681" s="4">
        <f>IF(AND(F681&gt;=I681,F681&lt;=J681),1,0)</f>
        <v/>
      </c>
    </row>
    <row r="682">
      <c r="A682" s="4" t="inlineStr">
        <is>
          <t>elongation_pct</t>
        </is>
      </c>
      <c r="B682" s="4" t="inlineStr">
        <is>
          <t>G270</t>
        </is>
      </c>
      <c r="C682" s="4" t="inlineStr">
        <is>
          <t>US20230174763A1</t>
        </is>
      </c>
      <c r="D682" s="4" t="inlineStr">
        <is>
          <t>Comparative Example 6</t>
        </is>
      </c>
      <c r="E682" s="4" t="inlineStr">
        <is>
          <t>dev(OOF)</t>
        </is>
      </c>
      <c r="F682" s="10" t="n">
        <v>270</v>
      </c>
      <c r="G682" s="10" t="n">
        <v>242.7965765488058</v>
      </c>
      <c r="H682" s="10" t="n">
        <v>35.21566841085887</v>
      </c>
      <c r="I682" s="10">
        <f>G682-1.96*H682</f>
        <v/>
      </c>
      <c r="J682" s="10">
        <f>G682+1.96*H682</f>
        <v/>
      </c>
      <c r="K682" s="10">
        <f>G682-F682</f>
        <v/>
      </c>
      <c r="L682" s="4">
        <f>IF(AND(F682&gt;=I682,F682&lt;=J682),1,0)</f>
        <v/>
      </c>
    </row>
    <row r="683">
      <c r="A683" s="4" t="inlineStr">
        <is>
          <t>elongation_pct</t>
        </is>
      </c>
      <c r="B683" s="4" t="inlineStr">
        <is>
          <t>G115</t>
        </is>
      </c>
      <c r="C683" s="4" t="inlineStr">
        <is>
          <t>US6992143B2</t>
        </is>
      </c>
      <c r="D683" s="4" t="inlineStr">
        <is>
          <t>Comparative Example B</t>
        </is>
      </c>
      <c r="E683" s="4" t="inlineStr">
        <is>
          <t>dev(OOF)</t>
        </is>
      </c>
      <c r="F683" s="10" t="n">
        <v>199</v>
      </c>
      <c r="G683" s="10" t="n">
        <v>223.0065065055625</v>
      </c>
      <c r="H683" s="10" t="n">
        <v>33.93151877224012</v>
      </c>
      <c r="I683" s="10">
        <f>G683-1.96*H683</f>
        <v/>
      </c>
      <c r="J683" s="10">
        <f>G683+1.96*H683</f>
        <v/>
      </c>
      <c r="K683" s="10">
        <f>G683-F683</f>
        <v/>
      </c>
      <c r="L683" s="4">
        <f>IF(AND(F683&gt;=I683,F683&lt;=J683),1,0)</f>
        <v/>
      </c>
    </row>
    <row r="684">
      <c r="A684" s="4" t="inlineStr">
        <is>
          <t>elongation_pct</t>
        </is>
      </c>
      <c r="B684" s="4" t="inlineStr">
        <is>
          <t>G280</t>
        </is>
      </c>
      <c r="C684" s="4" t="inlineStr">
        <is>
          <t>US20230365800A1</t>
        </is>
      </c>
      <c r="D684" s="4" t="inlineStr">
        <is>
          <t>Example 4</t>
        </is>
      </c>
      <c r="E684" s="4" t="inlineStr">
        <is>
          <t>dev(OOF)</t>
        </is>
      </c>
      <c r="F684" s="10" t="n">
        <v>160</v>
      </c>
      <c r="G684" s="10" t="n">
        <v>156.5741911799115</v>
      </c>
      <c r="H684" s="10" t="n">
        <v>21.40678819864008</v>
      </c>
      <c r="I684" s="10">
        <f>G684-1.96*H684</f>
        <v/>
      </c>
      <c r="J684" s="10">
        <f>G684+1.96*H684</f>
        <v/>
      </c>
      <c r="K684" s="10">
        <f>G684-F684</f>
        <v/>
      </c>
      <c r="L684" s="4">
        <f>IF(AND(F684&gt;=I684,F684&lt;=J684),1,0)</f>
        <v/>
      </c>
    </row>
    <row r="685">
      <c r="A685" s="4" t="inlineStr">
        <is>
          <t>elongation_pct</t>
        </is>
      </c>
      <c r="B685" s="4" t="inlineStr">
        <is>
          <t>G166</t>
        </is>
      </c>
      <c r="C685" s="4" t="inlineStr">
        <is>
          <t>US20050107544A1</t>
        </is>
      </c>
      <c r="D685" s="4" t="inlineStr">
        <is>
          <t>Sample 3</t>
        </is>
      </c>
      <c r="E685" s="4" t="inlineStr">
        <is>
          <t>dev(OOF)</t>
        </is>
      </c>
      <c r="F685" s="10" t="n">
        <v>214</v>
      </c>
      <c r="G685" s="10" t="n">
        <v>208.4243281221065</v>
      </c>
      <c r="H685" s="10" t="n">
        <v>26.42854281598989</v>
      </c>
      <c r="I685" s="10">
        <f>G685-1.96*H685</f>
        <v/>
      </c>
      <c r="J685" s="10">
        <f>G685+1.96*H685</f>
        <v/>
      </c>
      <c r="K685" s="10">
        <f>G685-F685</f>
        <v/>
      </c>
      <c r="L685" s="4">
        <f>IF(AND(F685&gt;=I685,F685&lt;=J685),1,0)</f>
        <v/>
      </c>
    </row>
    <row r="686">
      <c r="A686" s="4" t="inlineStr">
        <is>
          <t>elongation_pct</t>
        </is>
      </c>
      <c r="B686" s="4" t="inlineStr">
        <is>
          <t>G271</t>
        </is>
      </c>
      <c r="C686" s="4" t="inlineStr">
        <is>
          <t>US20230174763A1</t>
        </is>
      </c>
      <c r="D686" s="4" t="inlineStr">
        <is>
          <t>Comparative Example 7</t>
        </is>
      </c>
      <c r="E686" s="4" t="inlineStr">
        <is>
          <t>dev(OOF)</t>
        </is>
      </c>
      <c r="F686" s="10" t="n">
        <v>230</v>
      </c>
      <c r="G686" s="10" t="n">
        <v>241.8229798497571</v>
      </c>
      <c r="H686" s="10" t="n">
        <v>39.23254127574761</v>
      </c>
      <c r="I686" s="10">
        <f>G686-1.96*H686</f>
        <v/>
      </c>
      <c r="J686" s="10">
        <f>G686+1.96*H686</f>
        <v/>
      </c>
      <c r="K686" s="10">
        <f>G686-F686</f>
        <v/>
      </c>
      <c r="L686" s="4">
        <f>IF(AND(F686&gt;=I686,F686&lt;=J686),1,0)</f>
        <v/>
      </c>
    </row>
    <row r="687">
      <c r="A687" s="4" t="inlineStr">
        <is>
          <t>elongation_pct</t>
        </is>
      </c>
      <c r="B687" s="4" t="inlineStr">
        <is>
          <t>G273</t>
        </is>
      </c>
      <c r="C687" s="4" t="inlineStr">
        <is>
          <t>US20230174763A1</t>
        </is>
      </c>
      <c r="D687" s="4" t="inlineStr">
        <is>
          <t>Example 6</t>
        </is>
      </c>
      <c r="E687" s="4" t="inlineStr">
        <is>
          <t>dev(OOF)</t>
        </is>
      </c>
      <c r="F687" s="10" t="n">
        <v>240</v>
      </c>
      <c r="G687" s="10" t="n">
        <v>269.794916859791</v>
      </c>
      <c r="H687" s="10" t="n">
        <v>66.59553005983784</v>
      </c>
      <c r="I687" s="10">
        <f>G687-1.96*H687</f>
        <v/>
      </c>
      <c r="J687" s="10">
        <f>G687+1.96*H687</f>
        <v/>
      </c>
      <c r="K687" s="10">
        <f>G687-F687</f>
        <v/>
      </c>
      <c r="L687" s="4">
        <f>IF(AND(F687&gt;=I687,F687&lt;=J687),1,0)</f>
        <v/>
      </c>
    </row>
    <row r="688">
      <c r="A688" s="4" t="inlineStr">
        <is>
          <t>elongation_pct</t>
        </is>
      </c>
      <c r="B688" s="4" t="inlineStr">
        <is>
          <t>G297</t>
        </is>
      </c>
      <c r="C688" s="4" t="inlineStr">
        <is>
          <t>EP4249550A1</t>
        </is>
      </c>
      <c r="D688" s="4" t="inlineStr">
        <is>
          <t>Example 8</t>
        </is>
      </c>
      <c r="E688" s="4" t="inlineStr">
        <is>
          <t>dev(OOF)</t>
        </is>
      </c>
      <c r="F688" s="10" t="n">
        <v>190</v>
      </c>
      <c r="G688" s="10" t="n">
        <v>200.7796399547489</v>
      </c>
      <c r="H688" s="10" t="n">
        <v>28.06451498600152</v>
      </c>
      <c r="I688" s="10">
        <f>G688-1.96*H688</f>
        <v/>
      </c>
      <c r="J688" s="10">
        <f>G688+1.96*H688</f>
        <v/>
      </c>
      <c r="K688" s="10">
        <f>G688-F688</f>
        <v/>
      </c>
      <c r="L688" s="4">
        <f>IF(AND(F688&gt;=I688,F688&lt;=J688),1,0)</f>
        <v/>
      </c>
    </row>
    <row r="689">
      <c r="A689" s="4" t="inlineStr">
        <is>
          <t>elongation_pct</t>
        </is>
      </c>
      <c r="B689" s="4" t="inlineStr">
        <is>
          <t>G304</t>
        </is>
      </c>
      <c r="C689" s="4" t="inlineStr">
        <is>
          <t>EP4249550A1</t>
        </is>
      </c>
      <c r="D689" s="4" t="inlineStr">
        <is>
          <t>Comparative Example 3</t>
        </is>
      </c>
      <c r="E689" s="4" t="inlineStr">
        <is>
          <t>dev(OOF)</t>
        </is>
      </c>
      <c r="F689" s="10" t="n">
        <v>170</v>
      </c>
      <c r="G689" s="10" t="n">
        <v>202.5306081156667</v>
      </c>
      <c r="H689" s="10" t="n">
        <v>22.29042468267584</v>
      </c>
      <c r="I689" s="10">
        <f>G689-1.96*H689</f>
        <v/>
      </c>
      <c r="J689" s="10">
        <f>G689+1.96*H689</f>
        <v/>
      </c>
      <c r="K689" s="10">
        <f>G689-F689</f>
        <v/>
      </c>
      <c r="L689" s="4">
        <f>IF(AND(F689&gt;=I689,F689&lt;=J689),1,0)</f>
        <v/>
      </c>
    </row>
    <row r="690">
      <c r="A690" s="4" t="inlineStr">
        <is>
          <t>elongation_pct</t>
        </is>
      </c>
      <c r="B690" s="4" t="inlineStr">
        <is>
          <t>G327</t>
        </is>
      </c>
      <c r="C690" s="4" t="inlineStr">
        <is>
          <t>KR101467101B1</t>
        </is>
      </c>
      <c r="D690" s="4" t="inlineStr">
        <is>
          <t>Table 2 sample 5</t>
        </is>
      </c>
      <c r="E690" s="4" t="inlineStr">
        <is>
          <t>dev(OOF)</t>
        </is>
      </c>
      <c r="F690" s="10" t="n">
        <v>213.9</v>
      </c>
      <c r="G690" s="10" t="n">
        <v>240.193662746774</v>
      </c>
      <c r="H690" s="10" t="n">
        <v>28.52395762030745</v>
      </c>
      <c r="I690" s="10">
        <f>G690-1.96*H690</f>
        <v/>
      </c>
      <c r="J690" s="10">
        <f>G690+1.96*H690</f>
        <v/>
      </c>
      <c r="K690" s="10">
        <f>G690-F690</f>
        <v/>
      </c>
      <c r="L690" s="4">
        <f>IF(AND(F690&gt;=I690,F690&lt;=J690),1,0)</f>
        <v/>
      </c>
    </row>
    <row r="691">
      <c r="A691" s="4" t="inlineStr">
        <is>
          <t>elongation_pct</t>
        </is>
      </c>
      <c r="B691" s="4" t="inlineStr">
        <is>
          <t>G174</t>
        </is>
      </c>
      <c r="C691" s="4" t="inlineStr">
        <is>
          <t>US6191208B1</t>
        </is>
      </c>
      <c r="D691" s="4" t="inlineStr">
        <is>
          <t>Comparative Example B</t>
        </is>
      </c>
      <c r="E691" s="4" t="inlineStr">
        <is>
          <t>dev(OOF)</t>
        </is>
      </c>
      <c r="F691" s="10" t="n">
        <v>287</v>
      </c>
      <c r="G691" s="10" t="n">
        <v>259.4787741473265</v>
      </c>
      <c r="H691" s="10" t="n">
        <v>41.23125586969693</v>
      </c>
      <c r="I691" s="10">
        <f>G691-1.96*H691</f>
        <v/>
      </c>
      <c r="J691" s="10">
        <f>G691+1.96*H691</f>
        <v/>
      </c>
      <c r="K691" s="10">
        <f>G691-F691</f>
        <v/>
      </c>
      <c r="L691" s="4">
        <f>IF(AND(F691&gt;=I691,F691&lt;=J691),1,0)</f>
        <v/>
      </c>
    </row>
    <row r="692">
      <c r="A692" s="4" t="inlineStr">
        <is>
          <t>elongation_pct</t>
        </is>
      </c>
      <c r="B692" s="4" t="inlineStr">
        <is>
          <t>G261</t>
        </is>
      </c>
      <c r="C692" s="4" t="inlineStr">
        <is>
          <t>US12584054B2</t>
        </is>
      </c>
      <c r="D692" s="4" t="inlineStr">
        <is>
          <t>Example 9</t>
        </is>
      </c>
      <c r="E692" s="4" t="inlineStr">
        <is>
          <t>dev(OOF)</t>
        </is>
      </c>
      <c r="F692" s="10" t="n">
        <v>220</v>
      </c>
      <c r="G692" s="10" t="n">
        <v>184.065164405173</v>
      </c>
      <c r="H692" s="10" t="n">
        <v>39.89666447287553</v>
      </c>
      <c r="I692" s="10">
        <f>G692-1.96*H692</f>
        <v/>
      </c>
      <c r="J692" s="10">
        <f>G692+1.96*H692</f>
        <v/>
      </c>
      <c r="K692" s="10">
        <f>G692-F692</f>
        <v/>
      </c>
      <c r="L692" s="4">
        <f>IF(AND(F692&gt;=I692,F692&lt;=J692),1,0)</f>
        <v/>
      </c>
    </row>
    <row r="693">
      <c r="A693" s="4" t="inlineStr">
        <is>
          <t>elongation_pct</t>
        </is>
      </c>
      <c r="B693" s="4" t="inlineStr">
        <is>
          <t>G036</t>
        </is>
      </c>
      <c r="C693" s="4" t="inlineStr">
        <is>
          <t>US8173727B2</t>
        </is>
      </c>
      <c r="D693" s="4" t="inlineStr">
        <is>
          <t>Example 8</t>
        </is>
      </c>
      <c r="E693" s="4" t="inlineStr">
        <is>
          <t>dev(OOF)</t>
        </is>
      </c>
      <c r="F693" s="10" t="n">
        <v>210</v>
      </c>
      <c r="G693" s="10" t="n">
        <v>216.2937728108994</v>
      </c>
      <c r="H693" s="10" t="n">
        <v>48.76789871745229</v>
      </c>
      <c r="I693" s="10">
        <f>G693-1.96*H693</f>
        <v/>
      </c>
      <c r="J693" s="10">
        <f>G693+1.96*H693</f>
        <v/>
      </c>
      <c r="K693" s="10">
        <f>G693-F693</f>
        <v/>
      </c>
      <c r="L693" s="4">
        <f>IF(AND(F693&gt;=I693,F693&lt;=J693),1,0)</f>
        <v/>
      </c>
    </row>
    <row r="694">
      <c r="A694" s="4" t="inlineStr">
        <is>
          <t>elongation_pct</t>
        </is>
      </c>
      <c r="B694" s="4" t="inlineStr">
        <is>
          <t>G292</t>
        </is>
      </c>
      <c r="C694" s="4" t="inlineStr">
        <is>
          <t>EP4249550A1</t>
        </is>
      </c>
      <c r="D694" s="4" t="inlineStr">
        <is>
          <t>Example 3</t>
        </is>
      </c>
      <c r="E694" s="4" t="inlineStr">
        <is>
          <t>dev(OOF)</t>
        </is>
      </c>
      <c r="F694" s="10" t="n">
        <v>180</v>
      </c>
      <c r="G694" s="10" t="n">
        <v>202.5306081156667</v>
      </c>
      <c r="H694" s="10" t="n">
        <v>22.29042468267584</v>
      </c>
      <c r="I694" s="10">
        <f>G694-1.96*H694</f>
        <v/>
      </c>
      <c r="J694" s="10">
        <f>G694+1.96*H694</f>
        <v/>
      </c>
      <c r="K694" s="10">
        <f>G694-F694</f>
        <v/>
      </c>
      <c r="L694" s="4">
        <f>IF(AND(F694&gt;=I694,F694&lt;=J694),1,0)</f>
        <v/>
      </c>
    </row>
    <row r="695">
      <c r="A695" s="4" t="inlineStr">
        <is>
          <t>elongation_pct</t>
        </is>
      </c>
      <c r="B695" s="4" t="inlineStr">
        <is>
          <t>G091</t>
        </is>
      </c>
      <c r="C695" s="4" t="inlineStr">
        <is>
          <t>US8367776B2</t>
        </is>
      </c>
      <c r="D695" s="4" t="inlineStr">
        <is>
          <t>Example 9</t>
        </is>
      </c>
      <c r="E695" s="4" t="inlineStr">
        <is>
          <t>dev(OOF)</t>
        </is>
      </c>
      <c r="F695" s="10" t="n">
        <v>260</v>
      </c>
      <c r="G695" s="10" t="n">
        <v>261.9263055730224</v>
      </c>
      <c r="H695" s="10" t="n">
        <v>32.42361018480763</v>
      </c>
      <c r="I695" s="10">
        <f>G695-1.96*H695</f>
        <v/>
      </c>
      <c r="J695" s="10">
        <f>G695+1.96*H695</f>
        <v/>
      </c>
      <c r="K695" s="10">
        <f>G695-F695</f>
        <v/>
      </c>
      <c r="L695" s="4">
        <f>IF(AND(F695&gt;=I695,F695&lt;=J695),1,0)</f>
        <v/>
      </c>
    </row>
    <row r="696">
      <c r="A696" s="4" t="inlineStr">
        <is>
          <t>elongation_pct</t>
        </is>
      </c>
      <c r="B696" s="4" t="inlineStr">
        <is>
          <t>G088</t>
        </is>
      </c>
      <c r="C696" s="4" t="inlineStr">
        <is>
          <t>US8367776B2</t>
        </is>
      </c>
      <c r="D696" s="4" t="inlineStr">
        <is>
          <t>Example 6</t>
        </is>
      </c>
      <c r="E696" s="4" t="inlineStr">
        <is>
          <t>dev(OOF)</t>
        </is>
      </c>
      <c r="F696" s="10" t="n">
        <v>261</v>
      </c>
      <c r="G696" s="10" t="n">
        <v>257.096726436762</v>
      </c>
      <c r="H696" s="10" t="n">
        <v>36.41030714011951</v>
      </c>
      <c r="I696" s="10">
        <f>G696-1.96*H696</f>
        <v/>
      </c>
      <c r="J696" s="10">
        <f>G696+1.96*H696</f>
        <v/>
      </c>
      <c r="K696" s="10">
        <f>G696-F696</f>
        <v/>
      </c>
      <c r="L696" s="4">
        <f>IF(AND(F696&gt;=I696,F696&lt;=J696),1,0)</f>
        <v/>
      </c>
    </row>
    <row r="697">
      <c r="A697" s="4" t="inlineStr">
        <is>
          <t>elongation_pct</t>
        </is>
      </c>
      <c r="B697" s="4" t="inlineStr">
        <is>
          <t>G145</t>
        </is>
      </c>
      <c r="C697" s="4" t="inlineStr">
        <is>
          <t>US7247749B2</t>
        </is>
      </c>
      <c r="D697" s="4" t="inlineStr">
        <is>
          <t>Sample 21</t>
        </is>
      </c>
      <c r="E697" s="4" t="inlineStr">
        <is>
          <t>dev(OOF)</t>
        </is>
      </c>
      <c r="F697" s="10" t="n">
        <v>243</v>
      </c>
      <c r="G697" s="10" t="n">
        <v>212.2190785611873</v>
      </c>
      <c r="H697" s="10" t="n">
        <v>39.1692474339013</v>
      </c>
      <c r="I697" s="10">
        <f>G697-1.96*H697</f>
        <v/>
      </c>
      <c r="J697" s="10">
        <f>G697+1.96*H697</f>
        <v/>
      </c>
      <c r="K697" s="10">
        <f>G697-F697</f>
        <v/>
      </c>
      <c r="L697" s="4">
        <f>IF(AND(F697&gt;=I697,F697&lt;=J697),1,0)</f>
        <v/>
      </c>
    </row>
    <row r="698">
      <c r="A698" s="4" t="inlineStr">
        <is>
          <t>elongation_pct</t>
        </is>
      </c>
      <c r="B698" s="4" t="inlineStr">
        <is>
          <t>G310</t>
        </is>
      </c>
      <c r="C698" s="4" t="inlineStr">
        <is>
          <t>US7666948B2</t>
        </is>
      </c>
      <c r="D698" s="4" t="inlineStr">
        <is>
          <t>Comparative Example 1</t>
        </is>
      </c>
      <c r="E698" s="4" t="inlineStr">
        <is>
          <t>dev(OOF)</t>
        </is>
      </c>
      <c r="F698" s="10" t="n">
        <v>270</v>
      </c>
      <c r="G698" s="10" t="n">
        <v>227.7819689310651</v>
      </c>
      <c r="H698" s="10" t="n">
        <v>36.50791764061707</v>
      </c>
      <c r="I698" s="10">
        <f>G698-1.96*H698</f>
        <v/>
      </c>
      <c r="J698" s="10">
        <f>G698+1.96*H698</f>
        <v/>
      </c>
      <c r="K698" s="10">
        <f>G698-F698</f>
        <v/>
      </c>
      <c r="L698" s="4">
        <f>IF(AND(F698&gt;=I698,F698&lt;=J698),1,0)</f>
        <v/>
      </c>
    </row>
    <row r="699">
      <c r="A699" s="4" t="inlineStr">
        <is>
          <t>elongation_pct</t>
        </is>
      </c>
      <c r="B699" s="4" t="inlineStr">
        <is>
          <t>G156</t>
        </is>
      </c>
      <c r="C699" s="4" t="inlineStr">
        <is>
          <t>US7402630B2</t>
        </is>
      </c>
      <c r="D699" s="4" t="inlineStr">
        <is>
          <t>Example 8</t>
        </is>
      </c>
      <c r="E699" s="4" t="inlineStr">
        <is>
          <t>dev(OOF)</t>
        </is>
      </c>
      <c r="F699" s="10" t="n">
        <v>220</v>
      </c>
      <c r="G699" s="10" t="n">
        <v>190.4915365418996</v>
      </c>
      <c r="H699" s="10" t="n">
        <v>42.06754168294723</v>
      </c>
      <c r="I699" s="10">
        <f>G699-1.96*H699</f>
        <v/>
      </c>
      <c r="J699" s="10">
        <f>G699+1.96*H699</f>
        <v/>
      </c>
      <c r="K699" s="10">
        <f>G699-F699</f>
        <v/>
      </c>
      <c r="L699" s="4">
        <f>IF(AND(F699&gt;=I699,F699&lt;=J699),1,0)</f>
        <v/>
      </c>
    </row>
    <row r="700">
      <c r="A700" s="4" t="inlineStr">
        <is>
          <t>elongation_pct</t>
        </is>
      </c>
      <c r="B700" s="4" t="inlineStr">
        <is>
          <t>G120</t>
        </is>
      </c>
      <c r="C700" s="4" t="inlineStr">
        <is>
          <t>US5696189A</t>
        </is>
      </c>
      <c r="D700" s="4" t="inlineStr">
        <is>
          <t>Example 3</t>
        </is>
      </c>
      <c r="E700" s="4" t="inlineStr">
        <is>
          <t>dev(OOF)</t>
        </is>
      </c>
      <c r="F700" s="10" t="n">
        <v>215</v>
      </c>
      <c r="G700" s="10" t="n">
        <v>208.7401958491858</v>
      </c>
      <c r="H700" s="10" t="n">
        <v>39.38158485157359</v>
      </c>
      <c r="I700" s="10">
        <f>G700-1.96*H700</f>
        <v/>
      </c>
      <c r="J700" s="10">
        <f>G700+1.96*H700</f>
        <v/>
      </c>
      <c r="K700" s="10">
        <f>G700-F700</f>
        <v/>
      </c>
      <c r="L700" s="4">
        <f>IF(AND(F700&gt;=I700,F700&lt;=J700),1,0)</f>
        <v/>
      </c>
    </row>
    <row r="701">
      <c r="A701" s="4" t="inlineStr">
        <is>
          <t>elongation_pct</t>
        </is>
      </c>
      <c r="B701" s="4" t="inlineStr">
        <is>
          <t>G289</t>
        </is>
      </c>
      <c r="C701" s="4" t="inlineStr">
        <is>
          <t>US20230365800A1</t>
        </is>
      </c>
      <c r="D701" s="4" t="inlineStr">
        <is>
          <t>Example 11</t>
        </is>
      </c>
      <c r="E701" s="4" t="inlineStr">
        <is>
          <t>dev(OOF)</t>
        </is>
      </c>
      <c r="F701" s="10" t="n">
        <v>135</v>
      </c>
      <c r="G701" s="10" t="n">
        <v>156.2464257907256</v>
      </c>
      <c r="H701" s="10" t="n">
        <v>16.45140232775936</v>
      </c>
      <c r="I701" s="10">
        <f>G701-1.96*H701</f>
        <v/>
      </c>
      <c r="J701" s="10">
        <f>G701+1.96*H701</f>
        <v/>
      </c>
      <c r="K701" s="10">
        <f>G701-F701</f>
        <v/>
      </c>
      <c r="L701" s="4">
        <f>IF(AND(F701&gt;=I701,F701&lt;=J701),1,0)</f>
        <v/>
      </c>
    </row>
    <row r="702">
      <c r="A702" s="4" t="inlineStr">
        <is>
          <t>elongation_pct</t>
        </is>
      </c>
      <c r="B702" s="4" t="inlineStr">
        <is>
          <t>G175</t>
        </is>
      </c>
      <c r="C702" s="4" t="inlineStr">
        <is>
          <t>US6191208B1</t>
        </is>
      </c>
      <c r="D702" s="4" t="inlineStr">
        <is>
          <t>Example 1</t>
        </is>
      </c>
      <c r="E702" s="4" t="inlineStr">
        <is>
          <t>dev(OOF)</t>
        </is>
      </c>
      <c r="F702" s="10" t="n">
        <v>246</v>
      </c>
      <c r="G702" s="10" t="n">
        <v>261.9600007711301</v>
      </c>
      <c r="H702" s="10" t="n">
        <v>44.35099149690014</v>
      </c>
      <c r="I702" s="10">
        <f>G702-1.96*H702</f>
        <v/>
      </c>
      <c r="J702" s="10">
        <f>G702+1.96*H702</f>
        <v/>
      </c>
      <c r="K702" s="10">
        <f>G702-F702</f>
        <v/>
      </c>
      <c r="L702" s="4">
        <f>IF(AND(F702&gt;=I702,F702&lt;=J702),1,0)</f>
        <v/>
      </c>
    </row>
    <row r="703">
      <c r="A703" s="4" t="inlineStr">
        <is>
          <t>elongation_pct</t>
        </is>
      </c>
      <c r="B703" s="4" t="inlineStr">
        <is>
          <t>G281</t>
        </is>
      </c>
      <c r="C703" s="4" t="inlineStr">
        <is>
          <t>US20230365800A1</t>
        </is>
      </c>
      <c r="D703" s="4" t="inlineStr">
        <is>
          <t>Example 5</t>
        </is>
      </c>
      <c r="E703" s="4" t="inlineStr">
        <is>
          <t>dev(OOF)</t>
        </is>
      </c>
      <c r="F703" s="10" t="n">
        <v>150</v>
      </c>
      <c r="G703" s="10" t="n">
        <v>150.3296527831374</v>
      </c>
      <c r="H703" s="10" t="n">
        <v>17.34519637149138</v>
      </c>
      <c r="I703" s="10">
        <f>G703-1.96*H703</f>
        <v/>
      </c>
      <c r="J703" s="10">
        <f>G703+1.96*H703</f>
        <v/>
      </c>
      <c r="K703" s="10">
        <f>G703-F703</f>
        <v/>
      </c>
      <c r="L703" s="4">
        <f>IF(AND(F703&gt;=I703,F703&lt;=J703),1,0)</f>
        <v/>
      </c>
    </row>
    <row r="704">
      <c r="A704" s="4" t="inlineStr">
        <is>
          <t>elongation_pct</t>
        </is>
      </c>
      <c r="B704" s="4" t="inlineStr">
        <is>
          <t>G309</t>
        </is>
      </c>
      <c r="C704" s="4" t="inlineStr">
        <is>
          <t>EP4249550A1</t>
        </is>
      </c>
      <c r="D704" s="4" t="inlineStr">
        <is>
          <t>Example 9</t>
        </is>
      </c>
      <c r="E704" s="4" t="inlineStr">
        <is>
          <t>dev(OOF)</t>
        </is>
      </c>
      <c r="F704" s="10" t="n">
        <v>340</v>
      </c>
      <c r="G704" s="10" t="n">
        <v>311.3468547691488</v>
      </c>
      <c r="H704" s="10" t="n">
        <v>45.69741508828997</v>
      </c>
      <c r="I704" s="10">
        <f>G704-1.96*H704</f>
        <v/>
      </c>
      <c r="J704" s="10">
        <f>G704+1.96*H704</f>
        <v/>
      </c>
      <c r="K704" s="10">
        <f>G704-F704</f>
        <v/>
      </c>
      <c r="L704" s="4">
        <f>IF(AND(F704&gt;=I704,F704&lt;=J704),1,0)</f>
        <v/>
      </c>
    </row>
    <row r="705">
      <c r="A705" s="4" t="inlineStr">
        <is>
          <t>elongation_pct</t>
        </is>
      </c>
      <c r="B705" s="4" t="inlineStr">
        <is>
          <t>G263</t>
        </is>
      </c>
      <c r="C705" s="4" t="inlineStr">
        <is>
          <t>US12584054B2</t>
        </is>
      </c>
      <c r="D705" s="4" t="inlineStr">
        <is>
          <t>Comparative Example 12</t>
        </is>
      </c>
      <c r="E705" s="4" t="inlineStr">
        <is>
          <t>dev(OOF)</t>
        </is>
      </c>
      <c r="F705" s="10" t="n">
        <v>250</v>
      </c>
      <c r="G705" s="10" t="n">
        <v>219.0650620192069</v>
      </c>
      <c r="H705" s="10" t="n">
        <v>48.60779419059669</v>
      </c>
      <c r="I705" s="10">
        <f>G705-1.96*H705</f>
        <v/>
      </c>
      <c r="J705" s="10">
        <f>G705+1.96*H705</f>
        <v/>
      </c>
      <c r="K705" s="10">
        <f>G705-F705</f>
        <v/>
      </c>
      <c r="L705" s="4">
        <f>IF(AND(F705&gt;=I705,F705&lt;=J705),1,0)</f>
        <v/>
      </c>
    </row>
    <row r="706">
      <c r="A706" s="4" t="inlineStr">
        <is>
          <t>elongation_pct</t>
        </is>
      </c>
      <c r="B706" s="4" t="inlineStr">
        <is>
          <t>G021</t>
        </is>
      </c>
      <c r="C706" s="4" t="inlineStr">
        <is>
          <t>US7678858B2</t>
        </is>
      </c>
      <c r="D706" s="4" t="inlineStr">
        <is>
          <t>Example 20</t>
        </is>
      </c>
      <c r="E706" s="4" t="inlineStr">
        <is>
          <t>dev(OOF)</t>
        </is>
      </c>
      <c r="F706" s="10" t="n">
        <v>170</v>
      </c>
      <c r="G706" s="10" t="n">
        <v>197.3468156341885</v>
      </c>
      <c r="H706" s="10" t="n">
        <v>36.48526321965488</v>
      </c>
      <c r="I706" s="10">
        <f>G706-1.96*H706</f>
        <v/>
      </c>
      <c r="J706" s="10">
        <f>G706+1.96*H706</f>
        <v/>
      </c>
      <c r="K706" s="10">
        <f>G706-F706</f>
        <v/>
      </c>
      <c r="L706" s="4">
        <f>IF(AND(F706&gt;=I706,F706&lt;=J706),1,0)</f>
        <v/>
      </c>
    </row>
    <row r="707">
      <c r="A707" s="4" t="inlineStr">
        <is>
          <t>elongation_pct</t>
        </is>
      </c>
      <c r="B707" s="4" t="inlineStr">
        <is>
          <t>G142</t>
        </is>
      </c>
      <c r="C707" s="4" t="inlineStr">
        <is>
          <t>US7247749B2</t>
        </is>
      </c>
      <c r="D707" s="4" t="inlineStr">
        <is>
          <t>Sample 18</t>
        </is>
      </c>
      <c r="E707" s="4" t="inlineStr">
        <is>
          <t>dev(OOF)</t>
        </is>
      </c>
      <c r="F707" s="10" t="n">
        <v>212</v>
      </c>
      <c r="G707" s="10" t="n">
        <v>154.3248732716519</v>
      </c>
      <c r="H707" s="10" t="n">
        <v>24.96929673846816</v>
      </c>
      <c r="I707" s="10">
        <f>G707-1.96*H707</f>
        <v/>
      </c>
      <c r="J707" s="10">
        <f>G707+1.96*H707</f>
        <v/>
      </c>
      <c r="K707" s="10">
        <f>G707-F707</f>
        <v/>
      </c>
      <c r="L707" s="4">
        <f>IF(AND(F707&gt;=I707,F707&lt;=J707),1,0)</f>
        <v/>
      </c>
    </row>
    <row r="708">
      <c r="A708" s="4" t="inlineStr">
        <is>
          <t>elongation_pct</t>
        </is>
      </c>
      <c r="B708" s="4" t="inlineStr">
        <is>
          <t>G293</t>
        </is>
      </c>
      <c r="C708" s="4" t="inlineStr">
        <is>
          <t>EP4249550A1</t>
        </is>
      </c>
      <c r="D708" s="4" t="inlineStr">
        <is>
          <t>Example 4</t>
        </is>
      </c>
      <c r="E708" s="4" t="inlineStr">
        <is>
          <t>test</t>
        </is>
      </c>
      <c r="F708" s="10" t="n">
        <v>180</v>
      </c>
      <c r="G708" s="10" t="n">
        <v>194.5506782791</v>
      </c>
      <c r="H708" s="10" t="n">
        <v>24.93736412179912</v>
      </c>
      <c r="I708" s="10">
        <f>G708-1.96*H708</f>
        <v/>
      </c>
      <c r="J708" s="10">
        <f>G708+1.96*H708</f>
        <v/>
      </c>
      <c r="K708" s="10">
        <f>G708-F708</f>
        <v/>
      </c>
      <c r="L708" s="4">
        <f>IF(AND(F708&gt;=I708,F708&lt;=J708),1,0)</f>
        <v/>
      </c>
    </row>
    <row r="709">
      <c r="A709" s="4" t="inlineStr">
        <is>
          <t>elongation_pct</t>
        </is>
      </c>
      <c r="B709" s="4" t="inlineStr">
        <is>
          <t>G192</t>
        </is>
      </c>
      <c r="C709" s="4" t="inlineStr">
        <is>
          <t>US20160319102A1</t>
        </is>
      </c>
      <c r="D709" s="4" t="inlineStr">
        <is>
          <t>Example 3</t>
        </is>
      </c>
      <c r="E709" s="4" t="inlineStr">
        <is>
          <t>test</t>
        </is>
      </c>
      <c r="F709" s="10" t="n">
        <v>210</v>
      </c>
      <c r="G709" s="10" t="n">
        <v>232.0174113602052</v>
      </c>
      <c r="H709" s="10" t="n">
        <v>41.5781275685941</v>
      </c>
      <c r="I709" s="10">
        <f>G709-1.96*H709</f>
        <v/>
      </c>
      <c r="J709" s="10">
        <f>G709+1.96*H709</f>
        <v/>
      </c>
      <c r="K709" s="10">
        <f>G709-F709</f>
        <v/>
      </c>
      <c r="L709" s="4">
        <f>IF(AND(F709&gt;=I709,F709&lt;=J709),1,0)</f>
        <v/>
      </c>
    </row>
    <row r="710">
      <c r="A710" s="4" t="inlineStr">
        <is>
          <t>elongation_pct</t>
        </is>
      </c>
      <c r="B710" s="4" t="inlineStr">
        <is>
          <t>G042</t>
        </is>
      </c>
      <c r="C710" s="4" t="inlineStr">
        <is>
          <t>US8173727B2</t>
        </is>
      </c>
      <c r="D710" s="4" t="inlineStr">
        <is>
          <t>Example 14</t>
        </is>
      </c>
      <c r="E710" s="4" t="inlineStr">
        <is>
          <t>test</t>
        </is>
      </c>
      <c r="F710" s="10" t="n">
        <v>307</v>
      </c>
      <c r="G710" s="10" t="n">
        <v>291.2148233193005</v>
      </c>
      <c r="H710" s="10" t="n">
        <v>39.92260613115157</v>
      </c>
      <c r="I710" s="10">
        <f>G710-1.96*H710</f>
        <v/>
      </c>
      <c r="J710" s="10">
        <f>G710+1.96*H710</f>
        <v/>
      </c>
      <c r="K710" s="10">
        <f>G710-F710</f>
        <v/>
      </c>
      <c r="L710" s="4">
        <f>IF(AND(F710&gt;=I710,F710&lt;=J710),1,0)</f>
        <v/>
      </c>
    </row>
    <row r="711">
      <c r="A711" s="4" t="inlineStr">
        <is>
          <t>elongation_pct</t>
        </is>
      </c>
      <c r="B711" s="4" t="inlineStr">
        <is>
          <t>G247</t>
        </is>
      </c>
      <c r="C711" s="4" t="inlineStr">
        <is>
          <t>US12584054B2</t>
        </is>
      </c>
      <c r="D711" s="4" t="inlineStr">
        <is>
          <t>Example 4</t>
        </is>
      </c>
      <c r="E711" s="4" t="inlineStr">
        <is>
          <t>test</t>
        </is>
      </c>
      <c r="F711" s="10" t="n">
        <v>120</v>
      </c>
      <c r="G711" s="10" t="n">
        <v>145.9660289515131</v>
      </c>
      <c r="H711" s="10" t="n">
        <v>36.83950669937328</v>
      </c>
      <c r="I711" s="10">
        <f>G711-1.96*H711</f>
        <v/>
      </c>
      <c r="J711" s="10">
        <f>G711+1.96*H711</f>
        <v/>
      </c>
      <c r="K711" s="10">
        <f>G711-F711</f>
        <v/>
      </c>
      <c r="L711" s="4">
        <f>IF(AND(F711&gt;=I711,F711&lt;=J711),1,0)</f>
        <v/>
      </c>
    </row>
    <row r="712">
      <c r="A712" s="4" t="inlineStr">
        <is>
          <t>elongation_pct</t>
        </is>
      </c>
      <c r="B712" s="4" t="inlineStr">
        <is>
          <t>G025</t>
        </is>
      </c>
      <c r="C712" s="4" t="inlineStr">
        <is>
          <t>US6803402B2</t>
        </is>
      </c>
      <c r="D712" s="4" t="inlineStr">
        <is>
          <t>Example 2</t>
        </is>
      </c>
      <c r="E712" s="4" t="inlineStr">
        <is>
          <t>test</t>
        </is>
      </c>
      <c r="F712" s="10" t="n">
        <v>143</v>
      </c>
      <c r="G712" s="10" t="n">
        <v>162.4778961512343</v>
      </c>
      <c r="H712" s="10" t="n">
        <v>21.62571544173256</v>
      </c>
      <c r="I712" s="10">
        <f>G712-1.96*H712</f>
        <v/>
      </c>
      <c r="J712" s="10">
        <f>G712+1.96*H712</f>
        <v/>
      </c>
      <c r="K712" s="10">
        <f>G712-F712</f>
        <v/>
      </c>
      <c r="L712" s="4">
        <f>IF(AND(F712&gt;=I712,F712&lt;=J712),1,0)</f>
        <v/>
      </c>
    </row>
    <row r="713">
      <c r="A713" s="4" t="inlineStr">
        <is>
          <t>elongation_pct</t>
        </is>
      </c>
      <c r="B713" s="4" t="inlineStr">
        <is>
          <t>G008</t>
        </is>
      </c>
      <c r="C713" s="4" t="inlineStr">
        <is>
          <t>US7678858B2</t>
        </is>
      </c>
      <c r="D713" s="4" t="inlineStr">
        <is>
          <t>Example 8</t>
        </is>
      </c>
      <c r="E713" s="4" t="inlineStr">
        <is>
          <t>test</t>
        </is>
      </c>
      <c r="F713" s="10" t="n">
        <v>190</v>
      </c>
      <c r="G713" s="10" t="n">
        <v>166.1298131816671</v>
      </c>
      <c r="H713" s="10" t="n">
        <v>21.09296950849776</v>
      </c>
      <c r="I713" s="10">
        <f>G713-1.96*H713</f>
        <v/>
      </c>
      <c r="J713" s="10">
        <f>G713+1.96*H713</f>
        <v/>
      </c>
      <c r="K713" s="10">
        <f>G713-F713</f>
        <v/>
      </c>
      <c r="L713" s="4">
        <f>IF(AND(F713&gt;=I713,F713&lt;=J713),1,0)</f>
        <v/>
      </c>
    </row>
    <row r="714">
      <c r="A714" s="4" t="inlineStr">
        <is>
          <t>elongation_pct</t>
        </is>
      </c>
      <c r="B714" s="4" t="inlineStr">
        <is>
          <t>G046</t>
        </is>
      </c>
      <c r="C714" s="4" t="inlineStr">
        <is>
          <t>US8211964B2</t>
        </is>
      </c>
      <c r="D714" s="4" t="inlineStr">
        <is>
          <t>Example 5</t>
        </is>
      </c>
      <c r="E714" s="4" t="inlineStr">
        <is>
          <t>test</t>
        </is>
      </c>
      <c r="F714" s="10" t="n">
        <v>170</v>
      </c>
      <c r="G714" s="10" t="n">
        <v>193.2535147057719</v>
      </c>
      <c r="H714" s="10" t="n">
        <v>30.17358908395077</v>
      </c>
      <c r="I714" s="10">
        <f>G714-1.96*H714</f>
        <v/>
      </c>
      <c r="J714" s="10">
        <f>G714+1.96*H714</f>
        <v/>
      </c>
      <c r="K714" s="10">
        <f>G714-F714</f>
        <v/>
      </c>
      <c r="L714" s="4">
        <f>IF(AND(F714&gt;=I714,F714&lt;=J714),1,0)</f>
        <v/>
      </c>
    </row>
    <row r="715">
      <c r="A715" s="4" t="inlineStr">
        <is>
          <t>elongation_pct</t>
        </is>
      </c>
      <c r="B715" s="4" t="inlineStr">
        <is>
          <t>G323</t>
        </is>
      </c>
      <c r="C715" s="4" t="inlineStr">
        <is>
          <t>KR101467101B1</t>
        </is>
      </c>
      <c r="D715" s="4" t="inlineStr">
        <is>
          <t>Table 2 sample 1</t>
        </is>
      </c>
      <c r="E715" s="4" t="inlineStr">
        <is>
          <t>test</t>
        </is>
      </c>
      <c r="F715" s="10" t="n">
        <v>223.2</v>
      </c>
      <c r="G715" s="10" t="n">
        <v>210.3506173008466</v>
      </c>
      <c r="H715" s="10" t="n">
        <v>29.11189231474668</v>
      </c>
      <c r="I715" s="10">
        <f>G715-1.96*H715</f>
        <v/>
      </c>
      <c r="J715" s="10">
        <f>G715+1.96*H715</f>
        <v/>
      </c>
      <c r="K715" s="10">
        <f>G715-F715</f>
        <v/>
      </c>
      <c r="L715" s="4">
        <f>IF(AND(F715&gt;=I715,F715&lt;=J715),1,0)</f>
        <v/>
      </c>
    </row>
    <row r="716">
      <c r="A716" s="4" t="inlineStr">
        <is>
          <t>elongation_pct</t>
        </is>
      </c>
      <c r="B716" s="4" t="inlineStr">
        <is>
          <t>G111</t>
        </is>
      </c>
      <c r="C716" s="4" t="inlineStr">
        <is>
          <t>US6992143B2</t>
        </is>
      </c>
      <c r="D716" s="4" t="inlineStr">
        <is>
          <t>Example 2</t>
        </is>
      </c>
      <c r="E716" s="4" t="inlineStr">
        <is>
          <t>test</t>
        </is>
      </c>
      <c r="F716" s="10" t="n">
        <v>195</v>
      </c>
      <c r="G716" s="10" t="n">
        <v>179.1428742784977</v>
      </c>
      <c r="H716" s="10" t="n">
        <v>23.29526784578636</v>
      </c>
      <c r="I716" s="10">
        <f>G716-1.96*H716</f>
        <v/>
      </c>
      <c r="J716" s="10">
        <f>G716+1.96*H716</f>
        <v/>
      </c>
      <c r="K716" s="10">
        <f>G716-F716</f>
        <v/>
      </c>
      <c r="L716" s="4">
        <f>IF(AND(F716&gt;=I716,F716&lt;=J716),1,0)</f>
        <v/>
      </c>
    </row>
    <row r="717">
      <c r="A717" s="4" t="inlineStr">
        <is>
          <t>elongation_pct</t>
        </is>
      </c>
      <c r="B717" s="4" t="inlineStr">
        <is>
          <t>G324</t>
        </is>
      </c>
      <c r="C717" s="4" t="inlineStr">
        <is>
          <t>KR101467101B1</t>
        </is>
      </c>
      <c r="D717" s="4" t="inlineStr">
        <is>
          <t>Table 2 sample 2</t>
        </is>
      </c>
      <c r="E717" s="4" t="inlineStr">
        <is>
          <t>test</t>
        </is>
      </c>
      <c r="F717" s="10" t="n">
        <v>239.9</v>
      </c>
      <c r="G717" s="10" t="n">
        <v>210.6936058183597</v>
      </c>
      <c r="H717" s="10" t="n">
        <v>29.2782410288346</v>
      </c>
      <c r="I717" s="10">
        <f>G717-1.96*H717</f>
        <v/>
      </c>
      <c r="J717" s="10">
        <f>G717+1.96*H717</f>
        <v/>
      </c>
      <c r="K717" s="10">
        <f>G717-F717</f>
        <v/>
      </c>
      <c r="L717" s="4">
        <f>IF(AND(F717&gt;=I717,F717&lt;=J717),1,0)</f>
        <v/>
      </c>
    </row>
    <row r="718">
      <c r="A718" s="4" t="inlineStr">
        <is>
          <t>elongation_pct</t>
        </is>
      </c>
      <c r="B718" s="4" t="inlineStr">
        <is>
          <t>G131</t>
        </is>
      </c>
      <c r="C718" s="4" t="inlineStr">
        <is>
          <t>US7247749B2</t>
        </is>
      </c>
      <c r="D718" s="4" t="inlineStr">
        <is>
          <t>Sample 7</t>
        </is>
      </c>
      <c r="E718" s="4" t="inlineStr">
        <is>
          <t>test</t>
        </is>
      </c>
      <c r="F718" s="10" t="n">
        <v>148</v>
      </c>
      <c r="G718" s="10" t="n">
        <v>156.0026431132795</v>
      </c>
      <c r="H718" s="10" t="n">
        <v>23.90557799511764</v>
      </c>
      <c r="I718" s="10">
        <f>G718-1.96*H718</f>
        <v/>
      </c>
      <c r="J718" s="10">
        <f>G718+1.96*H718</f>
        <v/>
      </c>
      <c r="K718" s="10">
        <f>G718-F718</f>
        <v/>
      </c>
      <c r="L718" s="4">
        <f>IF(AND(F718&gt;=I718,F718&lt;=J718),1,0)</f>
        <v/>
      </c>
    </row>
    <row r="719">
      <c r="A719" s="4" t="inlineStr">
        <is>
          <t>elongation_pct</t>
        </is>
      </c>
      <c r="B719" s="4" t="inlineStr">
        <is>
          <t>G158</t>
        </is>
      </c>
      <c r="C719" s="4" t="inlineStr">
        <is>
          <t>US6956085B2</t>
        </is>
      </c>
      <c r="D719" s="4" t="inlineStr">
        <is>
          <t>Example 1</t>
        </is>
      </c>
      <c r="E719" s="4" t="inlineStr">
        <is>
          <t>test</t>
        </is>
      </c>
      <c r="F719" s="10" t="n">
        <v>165</v>
      </c>
      <c r="G719" s="10" t="n">
        <v>198.3701365317908</v>
      </c>
      <c r="H719" s="10" t="n">
        <v>36.72046917594454</v>
      </c>
      <c r="I719" s="10">
        <f>G719-1.96*H719</f>
        <v/>
      </c>
      <c r="J719" s="10">
        <f>G719+1.96*H719</f>
        <v/>
      </c>
      <c r="K719" s="10">
        <f>G719-F719</f>
        <v/>
      </c>
      <c r="L719" s="4">
        <f>IF(AND(F719&gt;=I719,F719&lt;=J719),1,0)</f>
        <v/>
      </c>
    </row>
    <row r="720">
      <c r="A720" s="4" t="inlineStr">
        <is>
          <t>elongation_pct</t>
        </is>
      </c>
      <c r="B720" s="4" t="inlineStr">
        <is>
          <t>G325</t>
        </is>
      </c>
      <c r="C720" s="4" t="inlineStr">
        <is>
          <t>KR101467101B1</t>
        </is>
      </c>
      <c r="D720" s="4" t="inlineStr">
        <is>
          <t>Table 2 sample 3</t>
        </is>
      </c>
      <c r="E720" s="4" t="inlineStr">
        <is>
          <t>test</t>
        </is>
      </c>
      <c r="F720" s="10" t="n">
        <v>235.4</v>
      </c>
      <c r="G720" s="10" t="n">
        <v>212.6193964684542</v>
      </c>
      <c r="H720" s="10" t="n">
        <v>29.45361216502115</v>
      </c>
      <c r="I720" s="10">
        <f>G720-1.96*H720</f>
        <v/>
      </c>
      <c r="J720" s="10">
        <f>G720+1.96*H720</f>
        <v/>
      </c>
      <c r="K720" s="10">
        <f>G720-F720</f>
        <v/>
      </c>
      <c r="L720" s="4">
        <f>IF(AND(F720&gt;=I720,F720&lt;=J720),1,0)</f>
        <v/>
      </c>
    </row>
    <row r="721">
      <c r="A721" s="4" t="inlineStr">
        <is>
          <t>elongation_pct</t>
        </is>
      </c>
      <c r="B721" s="4" t="inlineStr">
        <is>
          <t>G077</t>
        </is>
      </c>
      <c r="C721" s="4" t="inlineStr">
        <is>
          <t>US12091537B2</t>
        </is>
      </c>
      <c r="D721" s="4" t="inlineStr">
        <is>
          <t>Example 4</t>
        </is>
      </c>
      <c r="E721" s="4" t="inlineStr">
        <is>
          <t>test</t>
        </is>
      </c>
      <c r="F721" s="10" t="n">
        <v>210</v>
      </c>
      <c r="G721" s="10" t="n">
        <v>194.5962069675917</v>
      </c>
      <c r="H721" s="10" t="n">
        <v>26.73948232983967</v>
      </c>
      <c r="I721" s="10">
        <f>G721-1.96*H721</f>
        <v/>
      </c>
      <c r="J721" s="10">
        <f>G721+1.96*H721</f>
        <v/>
      </c>
      <c r="K721" s="10">
        <f>G721-F721</f>
        <v/>
      </c>
      <c r="L721" s="4">
        <f>IF(AND(F721&gt;=I721,F721&lt;=J721),1,0)</f>
        <v/>
      </c>
    </row>
    <row r="722">
      <c r="A722" s="4" t="inlineStr">
        <is>
          <t>elongation_pct</t>
        </is>
      </c>
      <c r="B722" s="4" t="inlineStr">
        <is>
          <t>G259</t>
        </is>
      </c>
      <c r="C722" s="4" t="inlineStr">
        <is>
          <t>US12584054B2</t>
        </is>
      </c>
      <c r="D722" s="4" t="inlineStr">
        <is>
          <t>Example 6</t>
        </is>
      </c>
      <c r="E722" s="4" t="inlineStr">
        <is>
          <t>test</t>
        </is>
      </c>
      <c r="F722" s="10" t="n">
        <v>200</v>
      </c>
      <c r="G722" s="10" t="n">
        <v>215.4467653472064</v>
      </c>
      <c r="H722" s="10" t="n">
        <v>34.60503399126653</v>
      </c>
      <c r="I722" s="10">
        <f>G722-1.96*H722</f>
        <v/>
      </c>
      <c r="J722" s="10">
        <f>G722+1.96*H722</f>
        <v/>
      </c>
      <c r="K722" s="10">
        <f>G722-F722</f>
        <v/>
      </c>
      <c r="L722" s="4">
        <f>IF(AND(F722&gt;=I722,F722&lt;=J722),1,0)</f>
        <v/>
      </c>
    </row>
    <row r="723">
      <c r="A723" s="4" t="inlineStr">
        <is>
          <t>elongation_pct</t>
        </is>
      </c>
      <c r="B723" s="4" t="inlineStr">
        <is>
          <t>G275</t>
        </is>
      </c>
      <c r="C723" s="4" t="inlineStr">
        <is>
          <t>US20230174763A1</t>
        </is>
      </c>
      <c r="D723" s="4" t="inlineStr">
        <is>
          <t>Comparative Example 13</t>
        </is>
      </c>
      <c r="E723" s="4" t="inlineStr">
        <is>
          <t>test</t>
        </is>
      </c>
      <c r="F723" s="10" t="n">
        <v>250</v>
      </c>
      <c r="G723" s="10" t="n">
        <v>235.0762039638261</v>
      </c>
      <c r="H723" s="10" t="n">
        <v>37.62036262894659</v>
      </c>
      <c r="I723" s="10">
        <f>G723-1.96*H723</f>
        <v/>
      </c>
      <c r="J723" s="10">
        <f>G723+1.96*H723</f>
        <v/>
      </c>
      <c r="K723" s="10">
        <f>G723-F723</f>
        <v/>
      </c>
      <c r="L723" s="4">
        <f>IF(AND(F723&gt;=I723,F723&lt;=J723),1,0)</f>
        <v/>
      </c>
    </row>
    <row r="724">
      <c r="A724" s="4" t="inlineStr">
        <is>
          <t>elongation_pct</t>
        </is>
      </c>
      <c r="B724" s="4" t="inlineStr">
        <is>
          <t>G161</t>
        </is>
      </c>
      <c r="C724" s="4" t="inlineStr">
        <is>
          <t>US6956085B2</t>
        </is>
      </c>
      <c r="D724" s="4" t="inlineStr">
        <is>
          <t>Example 4</t>
        </is>
      </c>
      <c r="E724" s="4" t="inlineStr">
        <is>
          <t>test</t>
        </is>
      </c>
      <c r="F724" s="10" t="n">
        <v>180</v>
      </c>
      <c r="G724" s="10" t="n">
        <v>200.6886166186665</v>
      </c>
      <c r="H724" s="10" t="n">
        <v>31.5413885337502</v>
      </c>
      <c r="I724" s="10">
        <f>G724-1.96*H724</f>
        <v/>
      </c>
      <c r="J724" s="10">
        <f>G724+1.96*H724</f>
        <v/>
      </c>
      <c r="K724" s="10">
        <f>G724-F724</f>
        <v/>
      </c>
      <c r="L724" s="4">
        <f>IF(AND(F724&gt;=I724,F724&lt;=J724),1,0)</f>
        <v/>
      </c>
    </row>
    <row r="725">
      <c r="A725" s="4" t="inlineStr">
        <is>
          <t>elongation_pct</t>
        </is>
      </c>
      <c r="B725" s="4" t="inlineStr">
        <is>
          <t>G185</t>
        </is>
      </c>
      <c r="C725" s="4" t="inlineStr">
        <is>
          <t>US20040019153A1</t>
        </is>
      </c>
      <c r="D725" s="4" t="inlineStr">
        <is>
          <t>Example 2</t>
        </is>
      </c>
      <c r="E725" s="4" t="inlineStr">
        <is>
          <t>test</t>
        </is>
      </c>
      <c r="F725" s="10" t="n">
        <v>399</v>
      </c>
      <c r="G725" s="10" t="n">
        <v>267.0652238650787</v>
      </c>
      <c r="H725" s="10" t="n">
        <v>43.73887087776001</v>
      </c>
      <c r="I725" s="10">
        <f>G725-1.96*H725</f>
        <v/>
      </c>
      <c r="J725" s="10">
        <f>G725+1.96*H725</f>
        <v/>
      </c>
      <c r="K725" s="10">
        <f>G725-F725</f>
        <v/>
      </c>
      <c r="L725" s="4">
        <f>IF(AND(F725&gt;=I725,F725&lt;=J725),1,0)</f>
        <v/>
      </c>
    </row>
    <row r="726">
      <c r="A726" s="4" t="inlineStr">
        <is>
          <t>elongation_pct</t>
        </is>
      </c>
      <c r="B726" s="4" t="inlineStr">
        <is>
          <t>G183</t>
        </is>
      </c>
      <c r="C726" s="4" t="inlineStr">
        <is>
          <t>US6211319B1</t>
        </is>
      </c>
      <c r="D726" s="4" t="inlineStr">
        <is>
          <t>Example 1</t>
        </is>
      </c>
      <c r="E726" s="4" t="inlineStr">
        <is>
          <t>test</t>
        </is>
      </c>
      <c r="F726" s="10" t="n">
        <v>173</v>
      </c>
      <c r="G726" s="10" t="n">
        <v>224.2728817430784</v>
      </c>
      <c r="H726" s="10" t="n">
        <v>34.63337522325052</v>
      </c>
      <c r="I726" s="10">
        <f>G726-1.96*H726</f>
        <v/>
      </c>
      <c r="J726" s="10">
        <f>G726+1.96*H726</f>
        <v/>
      </c>
      <c r="K726" s="10">
        <f>G726-F726</f>
        <v/>
      </c>
      <c r="L726" s="4">
        <f>IF(AND(F726&gt;=I726,F726&lt;=J726),1,0)</f>
        <v/>
      </c>
    </row>
    <row r="727">
      <c r="A727" s="4" t="inlineStr">
        <is>
          <t>elongation_pct</t>
        </is>
      </c>
      <c r="B727" s="4" t="inlineStr">
        <is>
          <t>G201</t>
        </is>
      </c>
      <c r="C727" s="4" t="inlineStr">
        <is>
          <t>US20160319102A1</t>
        </is>
      </c>
      <c r="D727" s="4" t="inlineStr">
        <is>
          <t>Comparative Example 7</t>
        </is>
      </c>
      <c r="E727" s="4" t="inlineStr">
        <is>
          <t>test</t>
        </is>
      </c>
      <c r="F727" s="10" t="n">
        <v>240</v>
      </c>
      <c r="G727" s="10" t="n">
        <v>265.051576166499</v>
      </c>
      <c r="H727" s="10" t="n">
        <v>45.21959403121765</v>
      </c>
      <c r="I727" s="10">
        <f>G727-1.96*H727</f>
        <v/>
      </c>
      <c r="J727" s="10">
        <f>G727+1.96*H727</f>
        <v/>
      </c>
      <c r="K727" s="10">
        <f>G727-F727</f>
        <v/>
      </c>
      <c r="L727" s="4">
        <f>IF(AND(F727&gt;=I727,F727&lt;=J727),1,0)</f>
        <v/>
      </c>
    </row>
    <row r="728">
      <c r="A728" s="4" t="inlineStr">
        <is>
          <t>elongation_pct</t>
        </is>
      </c>
      <c r="B728" s="4" t="inlineStr">
        <is>
          <t>G311</t>
        </is>
      </c>
      <c r="C728" s="4" t="inlineStr">
        <is>
          <t>US7666948B2</t>
        </is>
      </c>
      <c r="D728" s="4" t="inlineStr">
        <is>
          <t>Comparative Example 4</t>
        </is>
      </c>
      <c r="E728" s="4" t="inlineStr">
        <is>
          <t>test</t>
        </is>
      </c>
      <c r="F728" s="10" t="n">
        <v>330</v>
      </c>
      <c r="G728" s="10" t="n">
        <v>245.9684473301105</v>
      </c>
      <c r="H728" s="10" t="n">
        <v>54.85456622085213</v>
      </c>
      <c r="I728" s="10">
        <f>G728-1.96*H728</f>
        <v/>
      </c>
      <c r="J728" s="10">
        <f>G728+1.96*H728</f>
        <v/>
      </c>
      <c r="K728" s="10">
        <f>G728-F728</f>
        <v/>
      </c>
      <c r="L728" s="4">
        <f>IF(AND(F728&gt;=I728,F728&lt;=J728),1,0)</f>
        <v/>
      </c>
    </row>
    <row r="729">
      <c r="A729" s="4" t="inlineStr">
        <is>
          <t>elongation_pct</t>
        </is>
      </c>
      <c r="B729" s="4" t="inlineStr">
        <is>
          <t>G041</t>
        </is>
      </c>
      <c r="C729" s="4" t="inlineStr">
        <is>
          <t>US8173727B2</t>
        </is>
      </c>
      <c r="D729" s="4" t="inlineStr">
        <is>
          <t>Example 13</t>
        </is>
      </c>
      <c r="E729" s="4" t="inlineStr">
        <is>
          <t>test</t>
        </is>
      </c>
      <c r="F729" s="10" t="n">
        <v>275</v>
      </c>
      <c r="G729" s="10" t="n">
        <v>291.2148233193005</v>
      </c>
      <c r="H729" s="10" t="n">
        <v>39.92260613115157</v>
      </c>
      <c r="I729" s="10">
        <f>G729-1.96*H729</f>
        <v/>
      </c>
      <c r="J729" s="10">
        <f>G729+1.96*H729</f>
        <v/>
      </c>
      <c r="K729" s="10">
        <f>G729-F729</f>
        <v/>
      </c>
      <c r="L729" s="4">
        <f>IF(AND(F729&gt;=I729,F729&lt;=J729),1,0)</f>
        <v/>
      </c>
    </row>
    <row r="730">
      <c r="A730" s="4" t="inlineStr">
        <is>
          <t>elongation_pct</t>
        </is>
      </c>
      <c r="B730" s="4" t="inlineStr">
        <is>
          <t>G109</t>
        </is>
      </c>
      <c r="C730" s="4" t="inlineStr">
        <is>
          <t>US6992143B2</t>
        </is>
      </c>
      <c r="D730" s="4" t="inlineStr">
        <is>
          <t>Control Example 3</t>
        </is>
      </c>
      <c r="E730" s="4" t="inlineStr">
        <is>
          <t>test</t>
        </is>
      </c>
      <c r="F730" s="10" t="n">
        <v>160</v>
      </c>
      <c r="G730" s="10" t="n">
        <v>178.3484952222324</v>
      </c>
      <c r="H730" s="10" t="n">
        <v>25.61105159129616</v>
      </c>
      <c r="I730" s="10">
        <f>G730-1.96*H730</f>
        <v/>
      </c>
      <c r="J730" s="10">
        <f>G730+1.96*H730</f>
        <v/>
      </c>
      <c r="K730" s="10">
        <f>G730-F730</f>
        <v/>
      </c>
      <c r="L730" s="4">
        <f>IF(AND(F730&gt;=I730,F730&lt;=J730),1,0)</f>
        <v/>
      </c>
    </row>
    <row r="731">
      <c r="A731" s="4" t="inlineStr">
        <is>
          <t>elongation_pct</t>
        </is>
      </c>
      <c r="B731" s="4" t="inlineStr">
        <is>
          <t>G079</t>
        </is>
      </c>
      <c r="C731" s="4" t="inlineStr">
        <is>
          <t>US12091537B2</t>
        </is>
      </c>
      <c r="D731" s="4" t="inlineStr">
        <is>
          <t>Comparative Example 1</t>
        </is>
      </c>
      <c r="E731" s="4" t="inlineStr">
        <is>
          <t>test</t>
        </is>
      </c>
      <c r="F731" s="10" t="n">
        <v>200</v>
      </c>
      <c r="G731" s="10" t="n">
        <v>194.5962069675917</v>
      </c>
      <c r="H731" s="10" t="n">
        <v>26.73948232983967</v>
      </c>
      <c r="I731" s="10">
        <f>G731-1.96*H731</f>
        <v/>
      </c>
      <c r="J731" s="10">
        <f>G731+1.96*H731</f>
        <v/>
      </c>
      <c r="K731" s="10">
        <f>G731-F731</f>
        <v/>
      </c>
      <c r="L731" s="4">
        <f>IF(AND(F731&gt;=I731,F731&lt;=J731),1,0)</f>
        <v/>
      </c>
    </row>
    <row r="732">
      <c r="A732" s="4" t="inlineStr">
        <is>
          <t>elongation_pct</t>
        </is>
      </c>
      <c r="B732" s="4" t="inlineStr">
        <is>
          <t>G171</t>
        </is>
      </c>
      <c r="C732" s="4" t="inlineStr">
        <is>
          <t>US20050107544A1</t>
        </is>
      </c>
      <c r="D732" s="4" t="inlineStr">
        <is>
          <t>Sample 6</t>
        </is>
      </c>
      <c r="E732" s="4" t="inlineStr">
        <is>
          <t>test</t>
        </is>
      </c>
      <c r="F732" s="10" t="n">
        <v>232</v>
      </c>
      <c r="G732" s="10" t="n">
        <v>233.3785690971914</v>
      </c>
      <c r="H732" s="10" t="n">
        <v>37.12717331104952</v>
      </c>
      <c r="I732" s="10">
        <f>G732-1.96*H732</f>
        <v/>
      </c>
      <c r="J732" s="10">
        <f>G732+1.96*H732</f>
        <v/>
      </c>
      <c r="K732" s="10">
        <f>G732-F732</f>
        <v/>
      </c>
      <c r="L732" s="4">
        <f>IF(AND(F732&gt;=I732,F732&lt;=J732),1,0)</f>
        <v/>
      </c>
    </row>
    <row r="733">
      <c r="A733" s="4" t="inlineStr">
        <is>
          <t>elongation_pct</t>
        </is>
      </c>
      <c r="B733" s="4" t="inlineStr">
        <is>
          <t>G173</t>
        </is>
      </c>
      <c r="C733" s="4" t="inlineStr">
        <is>
          <t>US6191208B1</t>
        </is>
      </c>
      <c r="D733" s="4" t="inlineStr">
        <is>
          <t>Comparative Example A</t>
        </is>
      </c>
      <c r="E733" s="4" t="inlineStr">
        <is>
          <t>test</t>
        </is>
      </c>
      <c r="F733" s="10" t="n">
        <v>145</v>
      </c>
      <c r="G733" s="10" t="n">
        <v>154.4451238311838</v>
      </c>
      <c r="H733" s="10" t="n">
        <v>24.6103322454389</v>
      </c>
      <c r="I733" s="10">
        <f>G733-1.96*H733</f>
        <v/>
      </c>
      <c r="J733" s="10">
        <f>G733+1.96*H733</f>
        <v/>
      </c>
      <c r="K733" s="10">
        <f>G733-F733</f>
        <v/>
      </c>
      <c r="L733" s="4">
        <f>IF(AND(F733&gt;=I733,F733&lt;=J733),1,0)</f>
        <v/>
      </c>
    </row>
    <row r="734">
      <c r="A734" s="4" t="inlineStr">
        <is>
          <t>elongation_pct</t>
        </is>
      </c>
      <c r="B734" s="4" t="inlineStr">
        <is>
          <t>G043</t>
        </is>
      </c>
      <c r="C734" s="4" t="inlineStr">
        <is>
          <t>US8211964B2</t>
        </is>
      </c>
      <c r="D734" s="4" t="inlineStr">
        <is>
          <t>Example 2</t>
        </is>
      </c>
      <c r="E734" s="4" t="inlineStr">
        <is>
          <t>test</t>
        </is>
      </c>
      <c r="F734" s="10" t="n">
        <v>295</v>
      </c>
      <c r="G734" s="10" t="n">
        <v>265.4870431351076</v>
      </c>
      <c r="H734" s="10" t="n">
        <v>41.59189492671003</v>
      </c>
      <c r="I734" s="10">
        <f>G734-1.96*H734</f>
        <v/>
      </c>
      <c r="J734" s="10">
        <f>G734+1.96*H734</f>
        <v/>
      </c>
      <c r="K734" s="10">
        <f>G734-F734</f>
        <v/>
      </c>
      <c r="L734" s="4">
        <f>IF(AND(F734&gt;=I734,F734&lt;=J734),1,0)</f>
        <v/>
      </c>
    </row>
    <row r="735">
      <c r="A735" s="4" t="inlineStr">
        <is>
          <t>elongation_pct</t>
        </is>
      </c>
      <c r="B735" s="4" t="inlineStr">
        <is>
          <t>G101</t>
        </is>
      </c>
      <c r="C735" s="4" t="inlineStr">
        <is>
          <t>US7354974B2</t>
        </is>
      </c>
      <c r="D735" s="4" t="inlineStr">
        <is>
          <t>Example 5</t>
        </is>
      </c>
      <c r="E735" s="4" t="inlineStr">
        <is>
          <t>test</t>
        </is>
      </c>
      <c r="F735" s="10" t="n">
        <v>327</v>
      </c>
      <c r="G735" s="10" t="n">
        <v>450.6748471567325</v>
      </c>
      <c r="H735" s="10" t="n">
        <v>181.9751885834837</v>
      </c>
      <c r="I735" s="10">
        <f>G735-1.96*H735</f>
        <v/>
      </c>
      <c r="J735" s="10">
        <f>G735+1.96*H735</f>
        <v/>
      </c>
      <c r="K735" s="10">
        <f>G735-F735</f>
        <v/>
      </c>
      <c r="L735" s="4">
        <f>IF(AND(F735&gt;=I735,F735&lt;=J735),1,0)</f>
        <v/>
      </c>
    </row>
    <row r="736">
      <c r="A736" s="4" t="inlineStr">
        <is>
          <t>elongation_pct</t>
        </is>
      </c>
      <c r="B736" s="4" t="inlineStr">
        <is>
          <t>G019</t>
        </is>
      </c>
      <c r="C736" s="4" t="inlineStr">
        <is>
          <t>US7678858B2</t>
        </is>
      </c>
      <c r="D736" s="4" t="inlineStr">
        <is>
          <t>Example 18</t>
        </is>
      </c>
      <c r="E736" s="4" t="inlineStr">
        <is>
          <t>test</t>
        </is>
      </c>
      <c r="F736" s="10" t="n">
        <v>130</v>
      </c>
      <c r="G736" s="10" t="n">
        <v>143.7203985010513</v>
      </c>
      <c r="H736" s="10" t="n">
        <v>19.6330193551564</v>
      </c>
      <c r="I736" s="10">
        <f>G736-1.96*H736</f>
        <v/>
      </c>
      <c r="J736" s="10">
        <f>G736+1.96*H736</f>
        <v/>
      </c>
      <c r="K736" s="10">
        <f>G736-F736</f>
        <v/>
      </c>
      <c r="L736" s="4">
        <f>IF(AND(F736&gt;=I736,F736&lt;=J736),1,0)</f>
        <v/>
      </c>
    </row>
    <row r="737">
      <c r="A737" s="4" t="inlineStr">
        <is>
          <t>elongation_pct</t>
        </is>
      </c>
      <c r="B737" s="4" t="inlineStr">
        <is>
          <t>G069</t>
        </is>
      </c>
      <c r="C737" s="4" t="inlineStr">
        <is>
          <t>US11072700B2</t>
        </is>
      </c>
      <c r="D737" s="4" t="inlineStr">
        <is>
          <t>Example 2</t>
        </is>
      </c>
      <c r="E737" s="4" t="inlineStr">
        <is>
          <t>test</t>
        </is>
      </c>
      <c r="F737" s="10" t="n">
        <v>290</v>
      </c>
      <c r="G737" s="10" t="n">
        <v>198.075634051147</v>
      </c>
      <c r="H737" s="10" t="n">
        <v>37.32796307762875</v>
      </c>
      <c r="I737" s="10">
        <f>G737-1.96*H737</f>
        <v/>
      </c>
      <c r="J737" s="10">
        <f>G737+1.96*H737</f>
        <v/>
      </c>
      <c r="K737" s="10">
        <f>G737-F737</f>
        <v/>
      </c>
      <c r="L737" s="4">
        <f>IF(AND(F737&gt;=I737,F737&lt;=J737),1,0)</f>
        <v/>
      </c>
    </row>
    <row r="738">
      <c r="A738" s="4" t="inlineStr">
        <is>
          <t>elongation_pct</t>
        </is>
      </c>
      <c r="B738" s="4" t="inlineStr">
        <is>
          <t>G246</t>
        </is>
      </c>
      <c r="C738" s="4" t="inlineStr">
        <is>
          <t>US12584054B2</t>
        </is>
      </c>
      <c r="D738" s="4" t="inlineStr">
        <is>
          <t>Example 3</t>
        </is>
      </c>
      <c r="E738" s="4" t="inlineStr">
        <is>
          <t>test</t>
        </is>
      </c>
      <c r="F738" s="10" t="n">
        <v>190</v>
      </c>
      <c r="G738" s="10" t="n">
        <v>189.0397675577826</v>
      </c>
      <c r="H738" s="10" t="n">
        <v>30.50210659549818</v>
      </c>
      <c r="I738" s="10">
        <f>G738-1.96*H738</f>
        <v/>
      </c>
      <c r="J738" s="10">
        <f>G738+1.96*H738</f>
        <v/>
      </c>
      <c r="K738" s="10">
        <f>G738-F738</f>
        <v/>
      </c>
      <c r="L738" s="4">
        <f>IF(AND(F738&gt;=I738,F738&lt;=J738),1,0)</f>
        <v/>
      </c>
    </row>
    <row r="739">
      <c r="A739" s="4" t="inlineStr">
        <is>
          <t>elongation_pct</t>
        </is>
      </c>
      <c r="B739" s="4" t="inlineStr">
        <is>
          <t>G255</t>
        </is>
      </c>
      <c r="C739" s="4" t="inlineStr">
        <is>
          <t>US12584054B2</t>
        </is>
      </c>
      <c r="D739" s="4" t="inlineStr">
        <is>
          <t>Comparative Example 7</t>
        </is>
      </c>
      <c r="E739" s="4" t="inlineStr">
        <is>
          <t>test</t>
        </is>
      </c>
      <c r="F739" s="10" t="n">
        <v>280</v>
      </c>
      <c r="G739" s="10" t="n">
        <v>320.8267313178802</v>
      </c>
      <c r="H739" s="10" t="n">
        <v>48.56609728000289</v>
      </c>
      <c r="I739" s="10">
        <f>G739-1.96*H739</f>
        <v/>
      </c>
      <c r="J739" s="10">
        <f>G739+1.96*H739</f>
        <v/>
      </c>
      <c r="K739" s="10">
        <f>G739-F739</f>
        <v/>
      </c>
      <c r="L739" s="4">
        <f>IF(AND(F739&gt;=I739,F739&lt;=J739),1,0)</f>
        <v/>
      </c>
    </row>
    <row r="740">
      <c r="A740" s="4" t="inlineStr">
        <is>
          <t>elongation_pct</t>
        </is>
      </c>
      <c r="B740" s="4" t="inlineStr">
        <is>
          <t>G267</t>
        </is>
      </c>
      <c r="C740" s="4" t="inlineStr">
        <is>
          <t>US20230174763A1</t>
        </is>
      </c>
      <c r="D740" s="4" t="inlineStr">
        <is>
          <t>Example 4</t>
        </is>
      </c>
      <c r="E740" s="4" t="inlineStr">
        <is>
          <t>test</t>
        </is>
      </c>
      <c r="F740" s="10" t="n">
        <v>250</v>
      </c>
      <c r="G740" s="10" t="n">
        <v>222.7185436540209</v>
      </c>
      <c r="H740" s="10" t="n">
        <v>36.002761005097</v>
      </c>
      <c r="I740" s="10">
        <f>G740-1.96*H740</f>
        <v/>
      </c>
      <c r="J740" s="10">
        <f>G740+1.96*H740</f>
        <v/>
      </c>
      <c r="K740" s="10">
        <f>G740-F740</f>
        <v/>
      </c>
      <c r="L740" s="4">
        <f>IF(AND(F740&gt;=I740,F740&lt;=J740),1,0)</f>
        <v/>
      </c>
    </row>
    <row r="741">
      <c r="A741" s="4" t="inlineStr">
        <is>
          <t>elongation_pct</t>
        </is>
      </c>
      <c r="B741" s="4" t="inlineStr">
        <is>
          <t>G004</t>
        </is>
      </c>
      <c r="C741" s="4" t="inlineStr">
        <is>
          <t>US7678858B2</t>
        </is>
      </c>
      <c r="D741" s="4" t="inlineStr">
        <is>
          <t>Example 4</t>
        </is>
      </c>
      <c r="E741" s="4" t="inlineStr">
        <is>
          <t>test</t>
        </is>
      </c>
      <c r="F741" s="10" t="n">
        <v>170</v>
      </c>
      <c r="G741" s="10" t="n">
        <v>166.1298131816671</v>
      </c>
      <c r="H741" s="10" t="n">
        <v>21.09296950849776</v>
      </c>
      <c r="I741" s="10">
        <f>G741-1.96*H741</f>
        <v/>
      </c>
      <c r="J741" s="10">
        <f>G741+1.96*H741</f>
        <v/>
      </c>
      <c r="K741" s="10">
        <f>G741-F741</f>
        <v/>
      </c>
      <c r="L741" s="4">
        <f>IF(AND(F741&gt;=I741,F741&lt;=J741),1,0)</f>
        <v/>
      </c>
    </row>
    <row r="742">
      <c r="A742" s="4" t="inlineStr">
        <is>
          <t>elongation_pct</t>
        </is>
      </c>
      <c r="B742" s="4" t="inlineStr">
        <is>
          <t>G194</t>
        </is>
      </c>
      <c r="C742" s="4" t="inlineStr">
        <is>
          <t>US20160319102A1</t>
        </is>
      </c>
      <c r="D742" s="4" t="inlineStr">
        <is>
          <t>Example 5</t>
        </is>
      </c>
      <c r="E742" s="4" t="inlineStr">
        <is>
          <t>test</t>
        </is>
      </c>
      <c r="F742" s="10" t="n">
        <v>220</v>
      </c>
      <c r="G742" s="10" t="n">
        <v>241.9070096180695</v>
      </c>
      <c r="H742" s="10" t="n">
        <v>39.63852986735594</v>
      </c>
      <c r="I742" s="10">
        <f>G742-1.96*H742</f>
        <v/>
      </c>
      <c r="J742" s="10">
        <f>G742+1.96*H742</f>
        <v/>
      </c>
      <c r="K742" s="10">
        <f>G742-F742</f>
        <v/>
      </c>
      <c r="L742" s="4">
        <f>IF(AND(F742&gt;=I742,F742&lt;=J742),1,0)</f>
        <v/>
      </c>
    </row>
    <row r="743">
      <c r="A743" s="4" t="inlineStr">
        <is>
          <t>elongation_pct</t>
        </is>
      </c>
      <c r="B743" s="4" t="inlineStr">
        <is>
          <t>G279</t>
        </is>
      </c>
      <c r="C743" s="4" t="inlineStr">
        <is>
          <t>US20230365800A1</t>
        </is>
      </c>
      <c r="D743" s="4" t="inlineStr">
        <is>
          <t>Example 3</t>
        </is>
      </c>
      <c r="E743" s="4" t="inlineStr">
        <is>
          <t>test</t>
        </is>
      </c>
      <c r="F743" s="10" t="n">
        <v>170</v>
      </c>
      <c r="G743" s="10" t="n">
        <v>156.9228666989708</v>
      </c>
      <c r="H743" s="10" t="n">
        <v>19.87748728747103</v>
      </c>
      <c r="I743" s="10">
        <f>G743-1.96*H743</f>
        <v/>
      </c>
      <c r="J743" s="10">
        <f>G743+1.96*H743</f>
        <v/>
      </c>
      <c r="K743" s="10">
        <f>G743-F743</f>
        <v/>
      </c>
      <c r="L743" s="4">
        <f>IF(AND(F743&gt;=I743,F743&lt;=J743),1,0)</f>
        <v/>
      </c>
    </row>
    <row r="744">
      <c r="A744" s="4" t="inlineStr">
        <is>
          <t>elongation_pct</t>
        </is>
      </c>
      <c r="B744" s="4" t="inlineStr">
        <is>
          <t>G162</t>
        </is>
      </c>
      <c r="C744" s="4" t="inlineStr">
        <is>
          <t>US6956085B2</t>
        </is>
      </c>
      <c r="D744" s="4" t="inlineStr">
        <is>
          <t>Example 5</t>
        </is>
      </c>
      <c r="E744" s="4" t="inlineStr">
        <is>
          <t>test</t>
        </is>
      </c>
      <c r="F744" s="10" t="n">
        <v>202</v>
      </c>
      <c r="G744" s="10" t="n">
        <v>220.6762852756809</v>
      </c>
      <c r="H744" s="10" t="n">
        <v>46.57123100642261</v>
      </c>
      <c r="I744" s="10">
        <f>G744-1.96*H744</f>
        <v/>
      </c>
      <c r="J744" s="10">
        <f>G744+1.96*H744</f>
        <v/>
      </c>
      <c r="K744" s="10">
        <f>G744-F744</f>
        <v/>
      </c>
      <c r="L744" s="4">
        <f>IF(AND(F744&gt;=I744,F744&lt;=J744),1,0)</f>
        <v/>
      </c>
    </row>
    <row r="745">
      <c r="A745" s="4" t="inlineStr">
        <is>
          <t>elongation_pct</t>
        </is>
      </c>
      <c r="B745" s="4" t="inlineStr">
        <is>
          <t>G089</t>
        </is>
      </c>
      <c r="C745" s="4" t="inlineStr">
        <is>
          <t>US8367776B2</t>
        </is>
      </c>
      <c r="D745" s="4" t="inlineStr">
        <is>
          <t>Example 7</t>
        </is>
      </c>
      <c r="E745" s="4" t="inlineStr">
        <is>
          <t>test</t>
        </is>
      </c>
      <c r="F745" s="10" t="n">
        <v>263</v>
      </c>
      <c r="G745" s="10" t="n">
        <v>264.2446826503729</v>
      </c>
      <c r="H745" s="10" t="n">
        <v>36.42226110934607</v>
      </c>
      <c r="I745" s="10">
        <f>G745-1.96*H745</f>
        <v/>
      </c>
      <c r="J745" s="10">
        <f>G745+1.96*H745</f>
        <v/>
      </c>
      <c r="K745" s="10">
        <f>G745-F745</f>
        <v/>
      </c>
      <c r="L745" s="4">
        <f>IF(AND(F745&gt;=I745,F745&lt;=J745),1,0)</f>
        <v/>
      </c>
    </row>
    <row r="746">
      <c r="A746" s="4" t="inlineStr">
        <is>
          <t>elongation_pct</t>
        </is>
      </c>
      <c r="B746" s="4" t="inlineStr">
        <is>
          <t>G254</t>
        </is>
      </c>
      <c r="C746" s="4" t="inlineStr">
        <is>
          <t>US12584054B2</t>
        </is>
      </c>
      <c r="D746" s="4" t="inlineStr">
        <is>
          <t>Comparative Example 6</t>
        </is>
      </c>
      <c r="E746" s="4" t="inlineStr">
        <is>
          <t>test</t>
        </is>
      </c>
      <c r="F746" s="10" t="n">
        <v>210</v>
      </c>
      <c r="G746" s="10" t="n">
        <v>233.0689982686261</v>
      </c>
      <c r="H746" s="10" t="n">
        <v>30.31836774456421</v>
      </c>
      <c r="I746" s="10">
        <f>G746-1.96*H746</f>
        <v/>
      </c>
      <c r="J746" s="10">
        <f>G746+1.96*H746</f>
        <v/>
      </c>
      <c r="K746" s="10">
        <f>G746-F746</f>
        <v/>
      </c>
      <c r="L746" s="4">
        <f>IF(AND(F746&gt;=I746,F746&lt;=J746),1,0)</f>
        <v/>
      </c>
    </row>
    <row r="747">
      <c r="A747" s="4" t="inlineStr">
        <is>
          <t>elongation_pct</t>
        </is>
      </c>
      <c r="B747" s="4" t="inlineStr">
        <is>
          <t>G268</t>
        </is>
      </c>
      <c r="C747" s="4" t="inlineStr">
        <is>
          <t>US20230174763A1</t>
        </is>
      </c>
      <c r="D747" s="4" t="inlineStr">
        <is>
          <t>Example 5</t>
        </is>
      </c>
      <c r="E747" s="4" t="inlineStr">
        <is>
          <t>test</t>
        </is>
      </c>
      <c r="F747" s="10" t="n">
        <v>110</v>
      </c>
      <c r="G747" s="10" t="n">
        <v>180.4666851484988</v>
      </c>
      <c r="H747" s="10" t="n">
        <v>41.28097003042313</v>
      </c>
      <c r="I747" s="10">
        <f>G747-1.96*H747</f>
        <v/>
      </c>
      <c r="J747" s="10">
        <f>G747+1.96*H747</f>
        <v/>
      </c>
      <c r="K747" s="10">
        <f>G747-F747</f>
        <v/>
      </c>
      <c r="L747" s="4">
        <f>IF(AND(F747&gt;=I747,F747&lt;=J747),1,0)</f>
        <v/>
      </c>
    </row>
    <row r="748">
      <c r="A748" s="4" t="inlineStr">
        <is>
          <t>elongation_pct</t>
        </is>
      </c>
      <c r="B748" s="4" t="inlineStr">
        <is>
          <t>G090</t>
        </is>
      </c>
      <c r="C748" s="4" t="inlineStr">
        <is>
          <t>US8367776B2</t>
        </is>
      </c>
      <c r="D748" s="4" t="inlineStr">
        <is>
          <t>Example 8</t>
        </is>
      </c>
      <c r="E748" s="4" t="inlineStr">
        <is>
          <t>test</t>
        </is>
      </c>
      <c r="F748" s="10" t="n">
        <v>258</v>
      </c>
      <c r="G748" s="10" t="n">
        <v>258.9549954446991</v>
      </c>
      <c r="H748" s="10" t="n">
        <v>35.22344320586498</v>
      </c>
      <c r="I748" s="10">
        <f>G748-1.96*H748</f>
        <v/>
      </c>
      <c r="J748" s="10">
        <f>G748+1.96*H748</f>
        <v/>
      </c>
      <c r="K748" s="10">
        <f>G748-F748</f>
        <v/>
      </c>
      <c r="L748" s="4">
        <f>IF(AND(F748&gt;=I748,F748&lt;=J748),1,0)</f>
        <v/>
      </c>
    </row>
    <row r="749">
      <c r="A749" s="4" t="inlineStr">
        <is>
          <t>elongation_pct</t>
        </is>
      </c>
      <c r="B749" s="4" t="inlineStr">
        <is>
          <t>G078</t>
        </is>
      </c>
      <c r="C749" s="4" t="inlineStr">
        <is>
          <t>US12091537B2</t>
        </is>
      </c>
      <c r="D749" s="4" t="inlineStr">
        <is>
          <t>Example 5</t>
        </is>
      </c>
      <c r="E749" s="4" t="inlineStr">
        <is>
          <t>test</t>
        </is>
      </c>
      <c r="F749" s="10" t="n">
        <v>200</v>
      </c>
      <c r="G749" s="10" t="n">
        <v>194.5962069675917</v>
      </c>
      <c r="H749" s="10" t="n">
        <v>26.73948232983967</v>
      </c>
      <c r="I749" s="10">
        <f>G749-1.96*H749</f>
        <v/>
      </c>
      <c r="J749" s="10">
        <f>G749+1.96*H749</f>
        <v/>
      </c>
      <c r="K749" s="10">
        <f>G749-F749</f>
        <v/>
      </c>
      <c r="L749" s="4">
        <f>IF(AND(F749&gt;=I749,F749&lt;=J749),1,0)</f>
        <v/>
      </c>
    </row>
    <row r="750">
      <c r="A750" s="4" t="inlineStr">
        <is>
          <t>elongation_pct</t>
        </is>
      </c>
      <c r="B750" s="4" t="inlineStr">
        <is>
          <t>G033</t>
        </is>
      </c>
      <c r="C750" s="4" t="inlineStr">
        <is>
          <t>US8173727B2</t>
        </is>
      </c>
      <c r="D750" s="4" t="inlineStr">
        <is>
          <t>Example 5</t>
        </is>
      </c>
      <c r="E750" s="4" t="inlineStr">
        <is>
          <t>test</t>
        </is>
      </c>
      <c r="F750" s="10" t="n">
        <v>190</v>
      </c>
      <c r="G750" s="10" t="n">
        <v>146.677272518675</v>
      </c>
      <c r="H750" s="10" t="n">
        <v>18.76539538429536</v>
      </c>
      <c r="I750" s="10">
        <f>G750-1.96*H750</f>
        <v/>
      </c>
      <c r="J750" s="10">
        <f>G750+1.96*H750</f>
        <v/>
      </c>
      <c r="K750" s="10">
        <f>G750-F750</f>
        <v/>
      </c>
      <c r="L750" s="4">
        <f>IF(AND(F750&gt;=I750,F750&lt;=J750),1,0)</f>
        <v/>
      </c>
    </row>
    <row r="751">
      <c r="A751" s="4" t="inlineStr">
        <is>
          <t>elongation_pct</t>
        </is>
      </c>
      <c r="B751" s="4" t="inlineStr">
        <is>
          <t>G132</t>
        </is>
      </c>
      <c r="C751" s="4" t="inlineStr">
        <is>
          <t>US7247749B2</t>
        </is>
      </c>
      <c r="D751" s="4" t="inlineStr">
        <is>
          <t>Sample 8</t>
        </is>
      </c>
      <c r="E751" s="4" t="inlineStr">
        <is>
          <t>test</t>
        </is>
      </c>
      <c r="F751" s="10" t="n">
        <v>149</v>
      </c>
      <c r="G751" s="10" t="n">
        <v>159.1722237379078</v>
      </c>
      <c r="H751" s="10" t="n">
        <v>38.3144497004176</v>
      </c>
      <c r="I751" s="10">
        <f>G751-1.96*H751</f>
        <v/>
      </c>
      <c r="J751" s="10">
        <f>G751+1.96*H751</f>
        <v/>
      </c>
      <c r="K751" s="10">
        <f>G751-F751</f>
        <v/>
      </c>
      <c r="L751" s="4">
        <f>IF(AND(F751&gt;=I751,F751&lt;=J751),1,0)</f>
        <v/>
      </c>
    </row>
    <row r="752">
      <c r="A752" s="4" t="inlineStr">
        <is>
          <t>elongation_pct</t>
        </is>
      </c>
      <c r="B752" s="4" t="inlineStr">
        <is>
          <t>G104</t>
        </is>
      </c>
      <c r="C752" s="4" t="inlineStr">
        <is>
          <t>US7354974B2</t>
        </is>
      </c>
      <c r="D752" s="4" t="inlineStr">
        <is>
          <t>Control A</t>
        </is>
      </c>
      <c r="E752" s="4" t="inlineStr">
        <is>
          <t>test</t>
        </is>
      </c>
      <c r="F752" s="10" t="n">
        <v>358</v>
      </c>
      <c r="G752" s="10" t="n">
        <v>266.5489908747446</v>
      </c>
      <c r="H752" s="10" t="n">
        <v>41.9537256441977</v>
      </c>
      <c r="I752" s="10">
        <f>G752-1.96*H752</f>
        <v/>
      </c>
      <c r="J752" s="10">
        <f>G752+1.96*H752</f>
        <v/>
      </c>
      <c r="K752" s="10">
        <f>G752-F752</f>
        <v/>
      </c>
      <c r="L752" s="4">
        <f>IF(AND(F752&gt;=I752,F752&lt;=J752),1,0)</f>
        <v/>
      </c>
    </row>
    <row r="753">
      <c r="A753" s="4" t="inlineStr">
        <is>
          <t>elongation_pct</t>
        </is>
      </c>
      <c r="B753" s="4" t="inlineStr">
        <is>
          <t>G288</t>
        </is>
      </c>
      <c r="C753" s="4" t="inlineStr">
        <is>
          <t>US20230365800A1</t>
        </is>
      </c>
      <c r="D753" s="4" t="inlineStr">
        <is>
          <t>Example 10</t>
        </is>
      </c>
      <c r="E753" s="4" t="inlineStr">
        <is>
          <t>test</t>
        </is>
      </c>
      <c r="F753" s="10" t="n">
        <v>150</v>
      </c>
      <c r="G753" s="10" t="n">
        <v>156.9228666989708</v>
      </c>
      <c r="H753" s="10" t="n">
        <v>19.87748728747103</v>
      </c>
      <c r="I753" s="10">
        <f>G753-1.96*H753</f>
        <v/>
      </c>
      <c r="J753" s="10">
        <f>G753+1.96*H753</f>
        <v/>
      </c>
      <c r="K753" s="10">
        <f>G753-F753</f>
        <v/>
      </c>
      <c r="L753" s="4">
        <f>IF(AND(F753&gt;=I753,F753&lt;=J753),1,0)</f>
        <v/>
      </c>
    </row>
    <row r="754">
      <c r="A754" s="4" t="inlineStr">
        <is>
          <t>elongation_pct</t>
        </is>
      </c>
      <c r="B754" s="4" t="inlineStr">
        <is>
          <t>G170</t>
        </is>
      </c>
      <c r="C754" s="4" t="inlineStr">
        <is>
          <t>US20050107544A1</t>
        </is>
      </c>
      <c r="D754" s="4" t="inlineStr">
        <is>
          <t>Comparative Example B</t>
        </is>
      </c>
      <c r="E754" s="4" t="inlineStr">
        <is>
          <t>test</t>
        </is>
      </c>
      <c r="F754" s="10" t="n">
        <v>199</v>
      </c>
      <c r="G754" s="10" t="n">
        <v>214.3065894204952</v>
      </c>
      <c r="H754" s="10" t="n">
        <v>29.20553227420261</v>
      </c>
      <c r="I754" s="10">
        <f>G754-1.96*H754</f>
        <v/>
      </c>
      <c r="J754" s="10">
        <f>G754+1.96*H754</f>
        <v/>
      </c>
      <c r="K754" s="10">
        <f>G754-F754</f>
        <v/>
      </c>
      <c r="L754" s="4">
        <f>IF(AND(F754&gt;=I754,F754&lt;=J754),1,0)</f>
        <v/>
      </c>
    </row>
    <row r="755">
      <c r="A755" s="4" t="inlineStr">
        <is>
          <t>elongation_pct</t>
        </is>
      </c>
      <c r="B755" s="4" t="inlineStr">
        <is>
          <t>G009</t>
        </is>
      </c>
      <c r="C755" s="4" t="inlineStr">
        <is>
          <t>US7678858B2</t>
        </is>
      </c>
      <c r="D755" s="4" t="inlineStr">
        <is>
          <t>Example 9</t>
        </is>
      </c>
      <c r="E755" s="4" t="inlineStr">
        <is>
          <t>test</t>
        </is>
      </c>
      <c r="F755" s="10" t="n">
        <v>170</v>
      </c>
      <c r="G755" s="10" t="n">
        <v>166.1298131816671</v>
      </c>
      <c r="H755" s="10" t="n">
        <v>21.09296950849776</v>
      </c>
      <c r="I755" s="10">
        <f>G755-1.96*H755</f>
        <v/>
      </c>
      <c r="J755" s="10">
        <f>G755+1.96*H755</f>
        <v/>
      </c>
      <c r="K755" s="10">
        <f>G755-F755</f>
        <v/>
      </c>
      <c r="L755" s="4">
        <f>IF(AND(F755&gt;=I755,F755&lt;=J755),1,0)</f>
        <v/>
      </c>
    </row>
    <row r="756">
      <c r="A756" s="4" t="inlineStr">
        <is>
          <t>elongation_pct</t>
        </is>
      </c>
      <c r="B756" s="4" t="inlineStr">
        <is>
          <t>G128</t>
        </is>
      </c>
      <c r="C756" s="4" t="inlineStr">
        <is>
          <t>US7247749B2</t>
        </is>
      </c>
      <c r="D756" s="4" t="inlineStr">
        <is>
          <t>Sample 4</t>
        </is>
      </c>
      <c r="E756" s="4" t="inlineStr">
        <is>
          <t>test</t>
        </is>
      </c>
      <c r="F756" s="10" t="n">
        <v>105</v>
      </c>
      <c r="G756" s="10" t="n">
        <v>126.1134440201558</v>
      </c>
      <c r="H756" s="10" t="n">
        <v>18.68123132666006</v>
      </c>
      <c r="I756" s="10">
        <f>G756-1.96*H756</f>
        <v/>
      </c>
      <c r="J756" s="10">
        <f>G756+1.96*H756</f>
        <v/>
      </c>
      <c r="K756" s="10">
        <f>G756-F756</f>
        <v/>
      </c>
      <c r="L756" s="4">
        <f>IF(AND(F756&gt;=I756,F756&lt;=J756),1,0)</f>
        <v/>
      </c>
    </row>
    <row r="757">
      <c r="A757" s="4" t="inlineStr">
        <is>
          <t>elongation_pct</t>
        </is>
      </c>
      <c r="B757" s="4" t="inlineStr">
        <is>
          <t>G052</t>
        </is>
      </c>
      <c r="C757" s="4" t="inlineStr">
        <is>
          <t>US8211964B2</t>
        </is>
      </c>
      <c r="D757" s="4" t="inlineStr">
        <is>
          <t>Comparative Example 3</t>
        </is>
      </c>
      <c r="E757" s="4" t="inlineStr">
        <is>
          <t>test</t>
        </is>
      </c>
      <c r="F757" s="10" t="n">
        <v>200</v>
      </c>
      <c r="G757" s="10" t="n">
        <v>218.2192854942715</v>
      </c>
      <c r="H757" s="10" t="n">
        <v>38.90700531655147</v>
      </c>
      <c r="I757" s="10">
        <f>G757-1.96*H757</f>
        <v/>
      </c>
      <c r="J757" s="10">
        <f>G757+1.96*H757</f>
        <v/>
      </c>
      <c r="K757" s="10">
        <f>G757-F757</f>
        <v/>
      </c>
      <c r="L757" s="4">
        <f>IF(AND(F757&gt;=I757,F757&lt;=J757),1,0)</f>
        <v/>
      </c>
    </row>
    <row r="758">
      <c r="A758" s="4" t="inlineStr">
        <is>
          <t>elongation_pct</t>
        </is>
      </c>
      <c r="B758" s="4" t="inlineStr">
        <is>
          <t>G190</t>
        </is>
      </c>
      <c r="C758" s="4" t="inlineStr">
        <is>
          <t>US20160319102A1</t>
        </is>
      </c>
      <c r="D758" s="4" t="inlineStr">
        <is>
          <t>Example 1</t>
        </is>
      </c>
      <c r="E758" s="4" t="inlineStr">
        <is>
          <t>test</t>
        </is>
      </c>
      <c r="F758" s="10" t="n">
        <v>220</v>
      </c>
      <c r="G758" s="10" t="n">
        <v>233.7148414646528</v>
      </c>
      <c r="H758" s="10" t="n">
        <v>38.51971398774202</v>
      </c>
      <c r="I758" s="10">
        <f>G758-1.96*H758</f>
        <v/>
      </c>
      <c r="J758" s="10">
        <f>G758+1.96*H758</f>
        <v/>
      </c>
      <c r="K758" s="10">
        <f>G758-F758</f>
        <v/>
      </c>
      <c r="L758" s="4">
        <f>IF(AND(F758&gt;=I758,F758&lt;=J758),1,0)</f>
        <v/>
      </c>
    </row>
    <row r="759">
      <c r="A759" s="4" t="inlineStr">
        <is>
          <t>elongation_pct</t>
        </is>
      </c>
      <c r="B759" s="4" t="inlineStr">
        <is>
          <t>G102</t>
        </is>
      </c>
      <c r="C759" s="4" t="inlineStr">
        <is>
          <t>US7354974B2</t>
        </is>
      </c>
      <c r="D759" s="4" t="inlineStr">
        <is>
          <t>Example 6</t>
        </is>
      </c>
      <c r="E759" s="4" t="inlineStr">
        <is>
          <t>test</t>
        </is>
      </c>
      <c r="F759" s="10" t="n">
        <v>228</v>
      </c>
      <c r="G759" s="10" t="n">
        <v>655.1917239097288</v>
      </c>
      <c r="H759" s="10" t="n">
        <v>369.2461769243147</v>
      </c>
      <c r="I759" s="10">
        <f>G759-1.96*H759</f>
        <v/>
      </c>
      <c r="J759" s="10">
        <f>G759+1.96*H759</f>
        <v/>
      </c>
      <c r="K759" s="10">
        <f>G759-F759</f>
        <v/>
      </c>
      <c r="L759" s="4">
        <f>IF(AND(F759&gt;=I759,F759&lt;=J759),1,0)</f>
        <v/>
      </c>
    </row>
    <row r="760">
      <c r="A760" s="4" t="inlineStr">
        <is>
          <t>elongation_pct</t>
        </is>
      </c>
      <c r="B760" s="4" t="inlineStr">
        <is>
          <t>G290</t>
        </is>
      </c>
      <c r="C760" s="4" t="inlineStr">
        <is>
          <t>EP4249550A1</t>
        </is>
      </c>
      <c r="D760" s="4" t="inlineStr">
        <is>
          <t>Example 1</t>
        </is>
      </c>
      <c r="E760" s="4" t="inlineStr">
        <is>
          <t>test</t>
        </is>
      </c>
      <c r="F760" s="10" t="n">
        <v>150</v>
      </c>
      <c r="G760" s="10" t="n">
        <v>194.5506782791</v>
      </c>
      <c r="H760" s="10" t="n">
        <v>24.93736412179912</v>
      </c>
      <c r="I760" s="10">
        <f>G760-1.96*H760</f>
        <v/>
      </c>
      <c r="J760" s="10">
        <f>G760+1.96*H760</f>
        <v/>
      </c>
      <c r="K760" s="10">
        <f>G760-F760</f>
        <v/>
      </c>
      <c r="L760" s="4">
        <f>IF(AND(F760&gt;=I760,F760&lt;=J760),1,0)</f>
        <v/>
      </c>
    </row>
    <row r="761">
      <c r="A761" s="4" t="inlineStr">
        <is>
          <t>elongation_pct</t>
        </is>
      </c>
      <c r="B761" s="4" t="inlineStr">
        <is>
          <t>G291</t>
        </is>
      </c>
      <c r="C761" s="4" t="inlineStr">
        <is>
          <t>EP4249550A1</t>
        </is>
      </c>
      <c r="D761" s="4" t="inlineStr">
        <is>
          <t>Example 2</t>
        </is>
      </c>
      <c r="E761" s="4" t="inlineStr">
        <is>
          <t>test</t>
        </is>
      </c>
      <c r="F761" s="10" t="n">
        <v>350</v>
      </c>
      <c r="G761" s="10" t="n">
        <v>317.2948128553979</v>
      </c>
      <c r="H761" s="10" t="n">
        <v>42.5780302652219</v>
      </c>
      <c r="I761" s="10">
        <f>G761-1.96*H761</f>
        <v/>
      </c>
      <c r="J761" s="10">
        <f>G761+1.96*H761</f>
        <v/>
      </c>
      <c r="K761" s="10">
        <f>G761-F761</f>
        <v/>
      </c>
      <c r="L761" s="4">
        <f>IF(AND(F761&gt;=I761,F761&lt;=J761),1,0)</f>
        <v/>
      </c>
    </row>
    <row r="762">
      <c r="A762" s="4" t="inlineStr">
        <is>
          <t>m100_MPa</t>
        </is>
      </c>
      <c r="B762" s="4" t="inlineStr">
        <is>
          <t>G269</t>
        </is>
      </c>
      <c r="C762" s="4" t="inlineStr">
        <is>
          <t>US20230174763A1</t>
        </is>
      </c>
      <c r="D762" s="4" t="inlineStr">
        <is>
          <t>Comparative Example 5</t>
        </is>
      </c>
      <c r="E762" s="4" t="inlineStr">
        <is>
          <t>dev(OOF)</t>
        </is>
      </c>
      <c r="F762" s="10" t="n">
        <v>3.9</v>
      </c>
      <c r="G762" s="10" t="n">
        <v>7.262397175432083</v>
      </c>
      <c r="H762" s="10" t="n">
        <v>2.345355828579494</v>
      </c>
      <c r="I762" s="10">
        <f>G762-1.96*H762</f>
        <v/>
      </c>
      <c r="J762" s="10">
        <f>G762+1.96*H762</f>
        <v/>
      </c>
      <c r="K762" s="10">
        <f>G762-F762</f>
        <v/>
      </c>
      <c r="L762" s="4">
        <f>IF(AND(F762&gt;=I762,F762&lt;=J762),1,0)</f>
        <v/>
      </c>
    </row>
    <row r="763">
      <c r="A763" s="4" t="inlineStr">
        <is>
          <t>m100_MPa</t>
        </is>
      </c>
      <c r="B763" s="4" t="inlineStr">
        <is>
          <t>G198</t>
        </is>
      </c>
      <c r="C763" s="4" t="inlineStr">
        <is>
          <t>US20160319102A1</t>
        </is>
      </c>
      <c r="D763" s="4" t="inlineStr">
        <is>
          <t>Comparative Example 3</t>
        </is>
      </c>
      <c r="E763" s="4" t="inlineStr">
        <is>
          <t>dev(OOF)</t>
        </is>
      </c>
      <c r="F763" s="10" t="n">
        <v>2</v>
      </c>
      <c r="G763" s="10" t="n">
        <v>2.045825360419206</v>
      </c>
      <c r="H763" s="10" t="n">
        <v>1.757377481291075</v>
      </c>
      <c r="I763" s="10">
        <f>G763-1.96*H763</f>
        <v/>
      </c>
      <c r="J763" s="10">
        <f>G763+1.96*H763</f>
        <v/>
      </c>
      <c r="K763" s="10">
        <f>G763-F763</f>
        <v/>
      </c>
      <c r="L763" s="4">
        <f>IF(AND(F763&gt;=I763,F763&lt;=J763),1,0)</f>
        <v/>
      </c>
    </row>
    <row r="764">
      <c r="A764" s="4" t="inlineStr">
        <is>
          <t>m100_MPa</t>
        </is>
      </c>
      <c r="B764" s="4" t="inlineStr">
        <is>
          <t>G333</t>
        </is>
      </c>
      <c r="C764" s="4" t="inlineStr">
        <is>
          <t>KR101467101B1</t>
        </is>
      </c>
      <c r="D764" s="4" t="inlineStr">
        <is>
          <t>Example 3</t>
        </is>
      </c>
      <c r="E764" s="4" t="inlineStr">
        <is>
          <t>dev(OOF)</t>
        </is>
      </c>
      <c r="F764" s="10" t="n">
        <v>2.79</v>
      </c>
      <c r="G764" s="10" t="n">
        <v>3.588611600072738</v>
      </c>
      <c r="H764" s="10" t="n">
        <v>2.444496456205922</v>
      </c>
      <c r="I764" s="10">
        <f>G764-1.96*H764</f>
        <v/>
      </c>
      <c r="J764" s="10">
        <f>G764+1.96*H764</f>
        <v/>
      </c>
      <c r="K764" s="10">
        <f>G764-F764</f>
        <v/>
      </c>
      <c r="L764" s="4">
        <f>IF(AND(F764&gt;=I764,F764&lt;=J764),1,0)</f>
        <v/>
      </c>
    </row>
    <row r="765">
      <c r="A765" s="4" t="inlineStr">
        <is>
          <t>m100_MPa</t>
        </is>
      </c>
      <c r="B765" s="4" t="inlineStr">
        <is>
          <t>G327</t>
        </is>
      </c>
      <c r="C765" s="4" t="inlineStr">
        <is>
          <t>KR101467101B1</t>
        </is>
      </c>
      <c r="D765" s="4" t="inlineStr">
        <is>
          <t>Table 2 sample 5</t>
        </is>
      </c>
      <c r="E765" s="4" t="inlineStr">
        <is>
          <t>dev(OOF)</t>
        </is>
      </c>
      <c r="F765" s="10" t="n">
        <v>2.03</v>
      </c>
      <c r="G765" s="10" t="n">
        <v>2.148599166464154</v>
      </c>
      <c r="H765" s="10" t="n">
        <v>1.682158685920417</v>
      </c>
      <c r="I765" s="10">
        <f>G765-1.96*H765</f>
        <v/>
      </c>
      <c r="J765" s="10">
        <f>G765+1.96*H765</f>
        <v/>
      </c>
      <c r="K765" s="10">
        <f>G765-F765</f>
        <v/>
      </c>
      <c r="L765" s="4">
        <f>IF(AND(F765&gt;=I765,F765&lt;=J765),1,0)</f>
        <v/>
      </c>
    </row>
    <row r="766">
      <c r="A766" s="4" t="inlineStr">
        <is>
          <t>m100_MPa</t>
        </is>
      </c>
      <c r="B766" s="4" t="inlineStr">
        <is>
          <t>G147</t>
        </is>
      </c>
      <c r="C766" s="4" t="inlineStr">
        <is>
          <t>US7247749B2</t>
        </is>
      </c>
      <c r="D766" s="4" t="inlineStr">
        <is>
          <t>Sample 23</t>
        </is>
      </c>
      <c r="E766" s="4" t="inlineStr">
        <is>
          <t>dev(OOF)</t>
        </is>
      </c>
      <c r="F766" s="10" t="n">
        <v>3.46</v>
      </c>
      <c r="G766" s="10" t="n">
        <v>6.467917013338328</v>
      </c>
      <c r="H766" s="10" t="n">
        <v>1.619727634642792</v>
      </c>
      <c r="I766" s="10">
        <f>G766-1.96*H766</f>
        <v/>
      </c>
      <c r="J766" s="10">
        <f>G766+1.96*H766</f>
        <v/>
      </c>
      <c r="K766" s="10">
        <f>G766-F766</f>
        <v/>
      </c>
      <c r="L766" s="4">
        <f>IF(AND(F766&gt;=I766,F766&lt;=J766),1,0)</f>
        <v/>
      </c>
    </row>
    <row r="767">
      <c r="A767" s="4" t="inlineStr">
        <is>
          <t>m100_MPa</t>
        </is>
      </c>
      <c r="B767" s="4" t="inlineStr">
        <is>
          <t>G278</t>
        </is>
      </c>
      <c r="C767" s="4" t="inlineStr">
        <is>
          <t>US20230365800A1</t>
        </is>
      </c>
      <c r="D767" s="4" t="inlineStr">
        <is>
          <t>Example 2</t>
        </is>
      </c>
      <c r="E767" s="4" t="inlineStr">
        <is>
          <t>dev(OOF)</t>
        </is>
      </c>
      <c r="F767" s="10" t="n">
        <v>4.5</v>
      </c>
      <c r="G767" s="10" t="n">
        <v>4.631192987842185</v>
      </c>
      <c r="H767" s="10" t="n">
        <v>1.646421136681092</v>
      </c>
      <c r="I767" s="10">
        <f>G767-1.96*H767</f>
        <v/>
      </c>
      <c r="J767" s="10">
        <f>G767+1.96*H767</f>
        <v/>
      </c>
      <c r="K767" s="10">
        <f>G767-F767</f>
        <v/>
      </c>
      <c r="L767" s="4">
        <f>IF(AND(F767&gt;=I767,F767&lt;=J767),1,0)</f>
        <v/>
      </c>
    </row>
    <row r="768">
      <c r="A768" s="4" t="inlineStr">
        <is>
          <t>m100_MPa</t>
        </is>
      </c>
      <c r="B768" s="4" t="inlineStr">
        <is>
          <t>G202</t>
        </is>
      </c>
      <c r="C768" s="4" t="inlineStr">
        <is>
          <t>US20160319102A1</t>
        </is>
      </c>
      <c r="D768" s="4" t="inlineStr">
        <is>
          <t>Comparative Example 8</t>
        </is>
      </c>
      <c r="E768" s="4" t="inlineStr">
        <is>
          <t>dev(OOF)</t>
        </is>
      </c>
      <c r="F768" s="10" t="n">
        <v>2.7</v>
      </c>
      <c r="G768" s="10" t="n">
        <v>3.060932095375562</v>
      </c>
      <c r="H768" s="10" t="n">
        <v>1.793101035731033</v>
      </c>
      <c r="I768" s="10">
        <f>G768-1.96*H768</f>
        <v/>
      </c>
      <c r="J768" s="10">
        <f>G768+1.96*H768</f>
        <v/>
      </c>
      <c r="K768" s="10">
        <f>G768-F768</f>
        <v/>
      </c>
      <c r="L768" s="4">
        <f>IF(AND(F768&gt;=I768,F768&lt;=J768),1,0)</f>
        <v/>
      </c>
    </row>
    <row r="769">
      <c r="A769" s="4" t="inlineStr">
        <is>
          <t>m100_MPa</t>
        </is>
      </c>
      <c r="B769" s="4" t="inlineStr">
        <is>
          <t>G305</t>
        </is>
      </c>
      <c r="C769" s="4" t="inlineStr">
        <is>
          <t>EP4249550A1</t>
        </is>
      </c>
      <c r="D769" s="4" t="inlineStr">
        <is>
          <t>Comparative Example 4</t>
        </is>
      </c>
      <c r="E769" s="4" t="inlineStr">
        <is>
          <t>dev(OOF)</t>
        </is>
      </c>
      <c r="F769" s="10" t="n">
        <v>3.1</v>
      </c>
      <c r="G769" s="10" t="n">
        <v>4.603143103759443</v>
      </c>
      <c r="H769" s="10" t="n">
        <v>1.821940791142086</v>
      </c>
      <c r="I769" s="10">
        <f>G769-1.96*H769</f>
        <v/>
      </c>
      <c r="J769" s="10">
        <f>G769+1.96*H769</f>
        <v/>
      </c>
      <c r="K769" s="10">
        <f>G769-F769</f>
        <v/>
      </c>
      <c r="L769" s="4">
        <f>IF(AND(F769&gt;=I769,F769&lt;=J769),1,0)</f>
        <v/>
      </c>
    </row>
    <row r="770">
      <c r="A770" s="4" t="inlineStr">
        <is>
          <t>m100_MPa</t>
        </is>
      </c>
      <c r="B770" s="4" t="inlineStr">
        <is>
          <t>G311</t>
        </is>
      </c>
      <c r="C770" s="4" t="inlineStr">
        <is>
          <t>US7666948B2</t>
        </is>
      </c>
      <c r="D770" s="4" t="inlineStr">
        <is>
          <t>Comparative Example 4</t>
        </is>
      </c>
      <c r="E770" s="4" t="inlineStr">
        <is>
          <t>dev(OOF)</t>
        </is>
      </c>
      <c r="F770" s="10" t="n">
        <v>1.08</v>
      </c>
      <c r="G770" s="10" t="n">
        <v>1.428468327850232</v>
      </c>
      <c r="H770" s="10" t="n">
        <v>2.240270037458852</v>
      </c>
      <c r="I770" s="10">
        <f>G770-1.96*H770</f>
        <v/>
      </c>
      <c r="J770" s="10">
        <f>G770+1.96*H770</f>
        <v/>
      </c>
      <c r="K770" s="10">
        <f>G770-F770</f>
        <v/>
      </c>
      <c r="L770" s="4">
        <f>IF(AND(F770&gt;=I770,F770&lt;=J770),1,0)</f>
        <v/>
      </c>
    </row>
    <row r="771">
      <c r="A771" s="4" t="inlineStr">
        <is>
          <t>m100_MPa</t>
        </is>
      </c>
      <c r="B771" s="4" t="inlineStr">
        <is>
          <t>G090</t>
        </is>
      </c>
      <c r="C771" s="4" t="inlineStr">
        <is>
          <t>US8367776B2</t>
        </is>
      </c>
      <c r="D771" s="4" t="inlineStr">
        <is>
          <t>Example 8</t>
        </is>
      </c>
      <c r="E771" s="4" t="inlineStr">
        <is>
          <t>dev(OOF)</t>
        </is>
      </c>
      <c r="F771" s="10" t="n">
        <v>1.63</v>
      </c>
      <c r="G771" s="10" t="n">
        <v>1.533235544651824</v>
      </c>
      <c r="H771" s="10" t="n">
        <v>1.661693806855429</v>
      </c>
      <c r="I771" s="10">
        <f>G771-1.96*H771</f>
        <v/>
      </c>
      <c r="J771" s="10">
        <f>G771+1.96*H771</f>
        <v/>
      </c>
      <c r="K771" s="10">
        <f>G771-F771</f>
        <v/>
      </c>
      <c r="L771" s="4">
        <f>IF(AND(F771&gt;=I771,F771&lt;=J771),1,0)</f>
        <v/>
      </c>
    </row>
    <row r="772">
      <c r="A772" s="4" t="inlineStr">
        <is>
          <t>m100_MPa</t>
        </is>
      </c>
      <c r="B772" s="4" t="inlineStr">
        <is>
          <t>G186</t>
        </is>
      </c>
      <c r="C772" s="4" t="inlineStr">
        <is>
          <t>US20040019153A1</t>
        </is>
      </c>
      <c r="D772" s="4" t="inlineStr">
        <is>
          <t>Example 3</t>
        </is>
      </c>
      <c r="E772" s="4" t="inlineStr">
        <is>
          <t>dev(OOF)</t>
        </is>
      </c>
      <c r="F772" s="10" t="n">
        <v>1.4</v>
      </c>
      <c r="G772" s="10" t="n">
        <v>4.270505065608797</v>
      </c>
      <c r="H772" s="10" t="n">
        <v>2.363878321143489</v>
      </c>
      <c r="I772" s="10">
        <f>G772-1.96*H772</f>
        <v/>
      </c>
      <c r="J772" s="10">
        <f>G772+1.96*H772</f>
        <v/>
      </c>
      <c r="K772" s="10">
        <f>G772-F772</f>
        <v/>
      </c>
      <c r="L772" s="4">
        <f>IF(AND(F772&gt;=I772,F772&lt;=J772),1,0)</f>
        <v/>
      </c>
    </row>
    <row r="773">
      <c r="A773" s="4" t="inlineStr">
        <is>
          <t>m100_MPa</t>
        </is>
      </c>
      <c r="B773" s="4" t="inlineStr">
        <is>
          <t>G299</t>
        </is>
      </c>
      <c r="C773" s="4" t="inlineStr">
        <is>
          <t>EP4249550A1</t>
        </is>
      </c>
      <c r="D773" s="4" t="inlineStr">
        <is>
          <t>Example 11</t>
        </is>
      </c>
      <c r="E773" s="4" t="inlineStr">
        <is>
          <t>dev(OOF)</t>
        </is>
      </c>
      <c r="F773" s="10" t="n">
        <v>3.9</v>
      </c>
      <c r="G773" s="10" t="n">
        <v>4.603143103759443</v>
      </c>
      <c r="H773" s="10" t="n">
        <v>1.821940791142086</v>
      </c>
      <c r="I773" s="10">
        <f>G773-1.96*H773</f>
        <v/>
      </c>
      <c r="J773" s="10">
        <f>G773+1.96*H773</f>
        <v/>
      </c>
      <c r="K773" s="10">
        <f>G773-F773</f>
        <v/>
      </c>
      <c r="L773" s="4">
        <f>IF(AND(F773&gt;=I773,F773&lt;=J773),1,0)</f>
        <v/>
      </c>
    </row>
    <row r="774">
      <c r="A774" s="4" t="inlineStr">
        <is>
          <t>m100_MPa</t>
        </is>
      </c>
      <c r="B774" s="4" t="inlineStr">
        <is>
          <t>G143</t>
        </is>
      </c>
      <c r="C774" s="4" t="inlineStr">
        <is>
          <t>US7247749B2</t>
        </is>
      </c>
      <c r="D774" s="4" t="inlineStr">
        <is>
          <t>Sample 19</t>
        </is>
      </c>
      <c r="E774" s="4" t="inlineStr">
        <is>
          <t>dev(OOF)</t>
        </is>
      </c>
      <c r="F774" s="10" t="n">
        <v>4.12</v>
      </c>
      <c r="G774" s="10" t="n">
        <v>4.811660792993006</v>
      </c>
      <c r="H774" s="10" t="n">
        <v>2.69716443856126</v>
      </c>
      <c r="I774" s="10">
        <f>G774-1.96*H774</f>
        <v/>
      </c>
      <c r="J774" s="10">
        <f>G774+1.96*H774</f>
        <v/>
      </c>
      <c r="K774" s="10">
        <f>G774-F774</f>
        <v/>
      </c>
      <c r="L774" s="4">
        <f>IF(AND(F774&gt;=I774,F774&lt;=J774),1,0)</f>
        <v/>
      </c>
    </row>
    <row r="775">
      <c r="A775" s="4" t="inlineStr">
        <is>
          <t>m100_MPa</t>
        </is>
      </c>
      <c r="B775" s="4" t="inlineStr">
        <is>
          <t>G332</t>
        </is>
      </c>
      <c r="C775" s="4" t="inlineStr">
        <is>
          <t>KR101467101B1</t>
        </is>
      </c>
      <c r="D775" s="4" t="inlineStr">
        <is>
          <t>Comparative Example 2</t>
        </is>
      </c>
      <c r="E775" s="4" t="inlineStr">
        <is>
          <t>dev(OOF)</t>
        </is>
      </c>
      <c r="F775" s="10" t="n">
        <v>4.27</v>
      </c>
      <c r="G775" s="10" t="n">
        <v>4.750499220731199</v>
      </c>
      <c r="H775" s="10" t="n">
        <v>2.853096422104185</v>
      </c>
      <c r="I775" s="10">
        <f>G775-1.96*H775</f>
        <v/>
      </c>
      <c r="J775" s="10">
        <f>G775+1.96*H775</f>
        <v/>
      </c>
      <c r="K775" s="10">
        <f>G775-F775</f>
        <v/>
      </c>
      <c r="L775" s="4">
        <f>IF(AND(F775&gt;=I775,F775&lt;=J775),1,0)</f>
        <v/>
      </c>
    </row>
    <row r="776">
      <c r="A776" s="4" t="inlineStr">
        <is>
          <t>m100_MPa</t>
        </is>
      </c>
      <c r="B776" s="4" t="inlineStr">
        <is>
          <t>G150</t>
        </is>
      </c>
      <c r="C776" s="4" t="inlineStr">
        <is>
          <t>US7247749B2</t>
        </is>
      </c>
      <c r="D776" s="4" t="inlineStr">
        <is>
          <t>Sample 26</t>
        </is>
      </c>
      <c r="E776" s="4" t="inlineStr">
        <is>
          <t>dev(OOF)</t>
        </is>
      </c>
      <c r="F776" s="10" t="n">
        <v>5.52</v>
      </c>
      <c r="G776" s="10" t="n">
        <v>5.416541349950994</v>
      </c>
      <c r="H776" s="10" t="n">
        <v>1.71845572694543</v>
      </c>
      <c r="I776" s="10">
        <f>G776-1.96*H776</f>
        <v/>
      </c>
      <c r="J776" s="10">
        <f>G776+1.96*H776</f>
        <v/>
      </c>
      <c r="K776" s="10">
        <f>G776-F776</f>
        <v/>
      </c>
      <c r="L776" s="4">
        <f>IF(AND(F776&gt;=I776,F776&lt;=J776),1,0)</f>
        <v/>
      </c>
    </row>
    <row r="777">
      <c r="A777" s="4" t="inlineStr">
        <is>
          <t>m100_MPa</t>
        </is>
      </c>
      <c r="B777" s="4" t="inlineStr">
        <is>
          <t>G331</t>
        </is>
      </c>
      <c r="C777" s="4" t="inlineStr">
        <is>
          <t>KR101467101B1</t>
        </is>
      </c>
      <c r="D777" s="4" t="inlineStr">
        <is>
          <t>Example 2</t>
        </is>
      </c>
      <c r="E777" s="4" t="inlineStr">
        <is>
          <t>dev(OOF)</t>
        </is>
      </c>
      <c r="F777" s="10" t="n">
        <v>2.56</v>
      </c>
      <c r="G777" s="10" t="n">
        <v>1.670146901408299</v>
      </c>
      <c r="H777" s="10" t="n">
        <v>2.463631124527839</v>
      </c>
      <c r="I777" s="10">
        <f>G777-1.96*H777</f>
        <v/>
      </c>
      <c r="J777" s="10">
        <f>G777+1.96*H777</f>
        <v/>
      </c>
      <c r="K777" s="10">
        <f>G777-F777</f>
        <v/>
      </c>
      <c r="L777" s="4">
        <f>IF(AND(F777&gt;=I777,F777&lt;=J777),1,0)</f>
        <v/>
      </c>
    </row>
    <row r="778">
      <c r="A778" s="4" t="inlineStr">
        <is>
          <t>m100_MPa</t>
        </is>
      </c>
      <c r="B778" s="4" t="inlineStr">
        <is>
          <t>G279</t>
        </is>
      </c>
      <c r="C778" s="4" t="inlineStr">
        <is>
          <t>US20230365800A1</t>
        </is>
      </c>
      <c r="D778" s="4" t="inlineStr">
        <is>
          <t>Example 3</t>
        </is>
      </c>
      <c r="E778" s="4" t="inlineStr">
        <is>
          <t>dev(OOF)</t>
        </is>
      </c>
      <c r="F778" s="10" t="n">
        <v>5</v>
      </c>
      <c r="G778" s="10" t="n">
        <v>4.807003399892926</v>
      </c>
      <c r="H778" s="10" t="n">
        <v>1.611939660855922</v>
      </c>
      <c r="I778" s="10">
        <f>G778-1.96*H778</f>
        <v/>
      </c>
      <c r="J778" s="10">
        <f>G778+1.96*H778</f>
        <v/>
      </c>
      <c r="K778" s="10">
        <f>G778-F778</f>
        <v/>
      </c>
      <c r="L778" s="4">
        <f>IF(AND(F778&gt;=I778,F778&lt;=J778),1,0)</f>
        <v/>
      </c>
    </row>
    <row r="779">
      <c r="A779" s="4" t="inlineStr">
        <is>
          <t>m100_MPa</t>
        </is>
      </c>
      <c r="B779" s="4" t="inlineStr">
        <is>
          <t>G179</t>
        </is>
      </c>
      <c r="C779" s="4" t="inlineStr">
        <is>
          <t>US6281296B1</t>
        </is>
      </c>
      <c r="D779" s="4" t="inlineStr">
        <is>
          <t>Control A</t>
        </is>
      </c>
      <c r="E779" s="4" t="inlineStr">
        <is>
          <t>dev(OOF)</t>
        </is>
      </c>
      <c r="F779" s="10" t="n">
        <v>2.3</v>
      </c>
      <c r="G779" s="10" t="n">
        <v>4.769179345741886</v>
      </c>
      <c r="H779" s="10" t="n">
        <v>2.80300422646757</v>
      </c>
      <c r="I779" s="10">
        <f>G779-1.96*H779</f>
        <v/>
      </c>
      <c r="J779" s="10">
        <f>G779+1.96*H779</f>
        <v/>
      </c>
      <c r="K779" s="10">
        <f>G779-F779</f>
        <v/>
      </c>
      <c r="L779" s="4">
        <f>IF(AND(F779&gt;=I779,F779&lt;=J779),1,0)</f>
        <v/>
      </c>
    </row>
    <row r="780">
      <c r="A780" s="4" t="inlineStr">
        <is>
          <t>m100_MPa</t>
        </is>
      </c>
      <c r="B780" s="4" t="inlineStr">
        <is>
          <t>G032</t>
        </is>
      </c>
      <c r="C780" s="4" t="inlineStr">
        <is>
          <t>US8173727B2</t>
        </is>
      </c>
      <c r="D780" s="4" t="inlineStr">
        <is>
          <t>Example 4</t>
        </is>
      </c>
      <c r="E780" s="4" t="inlineStr">
        <is>
          <t>dev(OOF)</t>
        </is>
      </c>
      <c r="F780" s="10" t="n">
        <v>16.18</v>
      </c>
      <c r="G780" s="10" t="n">
        <v>11.57936182972889</v>
      </c>
      <c r="H780" s="10" t="n">
        <v>1.69263894561876</v>
      </c>
      <c r="I780" s="10">
        <f>G780-1.96*H780</f>
        <v/>
      </c>
      <c r="J780" s="10">
        <f>G780+1.96*H780</f>
        <v/>
      </c>
      <c r="K780" s="10">
        <f>G780-F780</f>
        <v/>
      </c>
      <c r="L780" s="4">
        <f>IF(AND(F780&gt;=I780,F780&lt;=J780),1,0)</f>
        <v/>
      </c>
    </row>
    <row r="781">
      <c r="A781" s="4" t="inlineStr">
        <is>
          <t>m100_MPa</t>
        </is>
      </c>
      <c r="B781" s="4" t="inlineStr">
        <is>
          <t>G282</t>
        </is>
      </c>
      <c r="C781" s="4" t="inlineStr">
        <is>
          <t>US20230365800A1</t>
        </is>
      </c>
      <c r="D781" s="4" t="inlineStr">
        <is>
          <t>Example 6</t>
        </is>
      </c>
      <c r="E781" s="4" t="inlineStr">
        <is>
          <t>dev(OOF)</t>
        </is>
      </c>
      <c r="F781" s="10" t="n">
        <v>5.7</v>
      </c>
      <c r="G781" s="10" t="n">
        <v>4.706563173558559</v>
      </c>
      <c r="H781" s="10" t="n">
        <v>1.498326019628171</v>
      </c>
      <c r="I781" s="10">
        <f>G781-1.96*H781</f>
        <v/>
      </c>
      <c r="J781" s="10">
        <f>G781+1.96*H781</f>
        <v/>
      </c>
      <c r="K781" s="10">
        <f>G781-F781</f>
        <v/>
      </c>
      <c r="L781" s="4">
        <f>IF(AND(F781&gt;=I781,F781&lt;=J781),1,0)</f>
        <v/>
      </c>
    </row>
    <row r="782">
      <c r="A782" s="4" t="inlineStr">
        <is>
          <t>m100_MPa</t>
        </is>
      </c>
      <c r="B782" s="4" t="inlineStr">
        <is>
          <t>G068</t>
        </is>
      </c>
      <c r="C782" s="4" t="inlineStr">
        <is>
          <t>US11072700B2</t>
        </is>
      </c>
      <c r="D782" s="4" t="inlineStr">
        <is>
          <t>Example 1</t>
        </is>
      </c>
      <c r="E782" s="4" t="inlineStr">
        <is>
          <t>dev(OOF)</t>
        </is>
      </c>
      <c r="F782" s="10" t="n">
        <v>1.2</v>
      </c>
      <c r="G782" s="10" t="n">
        <v>1.620258795068455</v>
      </c>
      <c r="H782" s="10" t="n">
        <v>1.786826925939279</v>
      </c>
      <c r="I782" s="10">
        <f>G782-1.96*H782</f>
        <v/>
      </c>
      <c r="J782" s="10">
        <f>G782+1.96*H782</f>
        <v/>
      </c>
      <c r="K782" s="10">
        <f>G782-F782</f>
        <v/>
      </c>
      <c r="L782" s="4">
        <f>IF(AND(F782&gt;=I782,F782&lt;=J782),1,0)</f>
        <v/>
      </c>
    </row>
    <row r="783">
      <c r="A783" s="4" t="inlineStr">
        <is>
          <t>m100_MPa</t>
        </is>
      </c>
      <c r="B783" s="4" t="inlineStr">
        <is>
          <t>G153</t>
        </is>
      </c>
      <c r="C783" s="4" t="inlineStr">
        <is>
          <t>US7247749B2</t>
        </is>
      </c>
      <c r="D783" s="4" t="inlineStr">
        <is>
          <t>Sample 33</t>
        </is>
      </c>
      <c r="E783" s="4" t="inlineStr">
        <is>
          <t>dev(OOF)</t>
        </is>
      </c>
      <c r="F783" s="10" t="n">
        <v>13.27</v>
      </c>
      <c r="G783" s="10" t="n">
        <v>11.26105130890914</v>
      </c>
      <c r="H783" s="10" t="n">
        <v>2.053398990692472</v>
      </c>
      <c r="I783" s="10">
        <f>G783-1.96*H783</f>
        <v/>
      </c>
      <c r="J783" s="10">
        <f>G783+1.96*H783</f>
        <v/>
      </c>
      <c r="K783" s="10">
        <f>G783-F783</f>
        <v/>
      </c>
      <c r="L783" s="4">
        <f>IF(AND(F783&gt;=I783,F783&lt;=J783),1,0)</f>
        <v/>
      </c>
    </row>
    <row r="784">
      <c r="A784" s="4" t="inlineStr">
        <is>
          <t>m100_MPa</t>
        </is>
      </c>
      <c r="B784" s="4" t="inlineStr">
        <is>
          <t>G259</t>
        </is>
      </c>
      <c r="C784" s="4" t="inlineStr">
        <is>
          <t>US12584054B2</t>
        </is>
      </c>
      <c r="D784" s="4" t="inlineStr">
        <is>
          <t>Example 6</t>
        </is>
      </c>
      <c r="E784" s="4" t="inlineStr">
        <is>
          <t>dev(OOF)</t>
        </is>
      </c>
      <c r="F784" s="10" t="n">
        <v>5.1</v>
      </c>
      <c r="G784" s="10" t="n">
        <v>4.91482055668567</v>
      </c>
      <c r="H784" s="10" t="n">
        <v>2.000166145472813</v>
      </c>
      <c r="I784" s="10">
        <f>G784-1.96*H784</f>
        <v/>
      </c>
      <c r="J784" s="10">
        <f>G784+1.96*H784</f>
        <v/>
      </c>
      <c r="K784" s="10">
        <f>G784-F784</f>
        <v/>
      </c>
      <c r="L784" s="4">
        <f>IF(AND(F784&gt;=I784,F784&lt;=J784),1,0)</f>
        <v/>
      </c>
    </row>
    <row r="785">
      <c r="A785" s="4" t="inlineStr">
        <is>
          <t>m100_MPa</t>
        </is>
      </c>
      <c r="B785" s="4" t="inlineStr">
        <is>
          <t>G250</t>
        </is>
      </c>
      <c r="C785" s="4" t="inlineStr">
        <is>
          <t>US12584054B2</t>
        </is>
      </c>
      <c r="D785" s="4" t="inlineStr">
        <is>
          <t>Comparative Example 2</t>
        </is>
      </c>
      <c r="E785" s="4" t="inlineStr">
        <is>
          <t>dev(OOF)</t>
        </is>
      </c>
      <c r="F785" s="10" t="n">
        <v>2.8</v>
      </c>
      <c r="G785" s="10" t="n">
        <v>3.236466629744344</v>
      </c>
      <c r="H785" s="10" t="n">
        <v>1.837538335418224</v>
      </c>
      <c r="I785" s="10">
        <f>G785-1.96*H785</f>
        <v/>
      </c>
      <c r="J785" s="10">
        <f>G785+1.96*H785</f>
        <v/>
      </c>
      <c r="K785" s="10">
        <f>G785-F785</f>
        <v/>
      </c>
      <c r="L785" s="4">
        <f>IF(AND(F785&gt;=I785,F785&lt;=J785),1,0)</f>
        <v/>
      </c>
    </row>
    <row r="786">
      <c r="A786" s="4" t="inlineStr">
        <is>
          <t>m100_MPa</t>
        </is>
      </c>
      <c r="B786" s="4" t="inlineStr">
        <is>
          <t>G268</t>
        </is>
      </c>
      <c r="C786" s="4" t="inlineStr">
        <is>
          <t>US20230174763A1</t>
        </is>
      </c>
      <c r="D786" s="4" t="inlineStr">
        <is>
          <t>Example 5</t>
        </is>
      </c>
      <c r="E786" s="4" t="inlineStr">
        <is>
          <t>dev(OOF)</t>
        </is>
      </c>
      <c r="F786" s="10" t="n">
        <v>20.9</v>
      </c>
      <c r="G786" s="10" t="n">
        <v>13.18309984335306</v>
      </c>
      <c r="H786" s="10" t="n">
        <v>3.230133308043125</v>
      </c>
      <c r="I786" s="10">
        <f>G786-1.96*H786</f>
        <v/>
      </c>
      <c r="J786" s="10">
        <f>G786+1.96*H786</f>
        <v/>
      </c>
      <c r="K786" s="10">
        <f>G786-F786</f>
        <v/>
      </c>
      <c r="L786" s="4">
        <f>IF(AND(F786&gt;=I786,F786&lt;=J786),1,0)</f>
        <v/>
      </c>
    </row>
    <row r="787">
      <c r="A787" s="4" t="inlineStr">
        <is>
          <t>m100_MPa</t>
        </is>
      </c>
      <c r="B787" s="4" t="inlineStr">
        <is>
          <t>G043</t>
        </is>
      </c>
      <c r="C787" s="4" t="inlineStr">
        <is>
          <t>US8211964B2</t>
        </is>
      </c>
      <c r="D787" s="4" t="inlineStr">
        <is>
          <t>Example 2</t>
        </is>
      </c>
      <c r="E787" s="4" t="inlineStr">
        <is>
          <t>dev(OOF)</t>
        </is>
      </c>
      <c r="F787" s="10" t="n">
        <v>1.18</v>
      </c>
      <c r="G787" s="10" t="n">
        <v>1.464014192605141</v>
      </c>
      <c r="H787" s="10" t="n">
        <v>1.648527897961106</v>
      </c>
      <c r="I787" s="10">
        <f>G787-1.96*H787</f>
        <v/>
      </c>
      <c r="J787" s="10">
        <f>G787+1.96*H787</f>
        <v/>
      </c>
      <c r="K787" s="10">
        <f>G787-F787</f>
        <v/>
      </c>
      <c r="L787" s="4">
        <f>IF(AND(F787&gt;=I787,F787&lt;=J787),1,0)</f>
        <v/>
      </c>
    </row>
    <row r="788">
      <c r="A788" s="4" t="inlineStr">
        <is>
          <t>m100_MPa</t>
        </is>
      </c>
      <c r="B788" s="4" t="inlineStr">
        <is>
          <t>G307</t>
        </is>
      </c>
      <c r="C788" s="4" t="inlineStr">
        <is>
          <t>EP4249550A1</t>
        </is>
      </c>
      <c r="D788" s="4" t="inlineStr">
        <is>
          <t>Comparative Example 6</t>
        </is>
      </c>
      <c r="E788" s="4" t="inlineStr">
        <is>
          <t>dev(OOF)</t>
        </is>
      </c>
      <c r="F788" s="10" t="n">
        <v>4.3</v>
      </c>
      <c r="G788" s="10" t="n">
        <v>3.610463603839705</v>
      </c>
      <c r="H788" s="10" t="n">
        <v>2.10412423150778</v>
      </c>
      <c r="I788" s="10">
        <f>G788-1.96*H788</f>
        <v/>
      </c>
      <c r="J788" s="10">
        <f>G788+1.96*H788</f>
        <v/>
      </c>
      <c r="K788" s="10">
        <f>G788-F788</f>
        <v/>
      </c>
      <c r="L788" s="4">
        <f>IF(AND(F788&gt;=I788,F788&lt;=J788),1,0)</f>
        <v/>
      </c>
    </row>
    <row r="789">
      <c r="A789" s="4" t="inlineStr">
        <is>
          <t>m100_MPa</t>
        </is>
      </c>
      <c r="B789" s="4" t="inlineStr">
        <is>
          <t>G069</t>
        </is>
      </c>
      <c r="C789" s="4" t="inlineStr">
        <is>
          <t>US11072700B2</t>
        </is>
      </c>
      <c r="D789" s="4" t="inlineStr">
        <is>
          <t>Example 2</t>
        </is>
      </c>
      <c r="E789" s="4" t="inlineStr">
        <is>
          <t>dev(OOF)</t>
        </is>
      </c>
      <c r="F789" s="10" t="n">
        <v>1.4</v>
      </c>
      <c r="G789" s="10" t="n">
        <v>1.730918078006358</v>
      </c>
      <c r="H789" s="10" t="n">
        <v>2.193220944856797</v>
      </c>
      <c r="I789" s="10">
        <f>G789-1.96*H789</f>
        <v/>
      </c>
      <c r="J789" s="10">
        <f>G789+1.96*H789</f>
        <v/>
      </c>
      <c r="K789" s="10">
        <f>G789-F789</f>
        <v/>
      </c>
      <c r="L789" s="4">
        <f>IF(AND(F789&gt;=I789,F789&lt;=J789),1,0)</f>
        <v/>
      </c>
    </row>
    <row r="790">
      <c r="A790" s="4" t="inlineStr">
        <is>
          <t>m100_MPa</t>
        </is>
      </c>
      <c r="B790" s="4" t="inlineStr">
        <is>
          <t>G127</t>
        </is>
      </c>
      <c r="C790" s="4" t="inlineStr">
        <is>
          <t>US7247749B2</t>
        </is>
      </c>
      <c r="D790" s="4" t="inlineStr">
        <is>
          <t>Sample 3</t>
        </is>
      </c>
      <c r="E790" s="4" t="inlineStr">
        <is>
          <t>dev(OOF)</t>
        </is>
      </c>
      <c r="F790" s="10" t="n">
        <v>4.27</v>
      </c>
      <c r="G790" s="10" t="n">
        <v>5.387317735012846</v>
      </c>
      <c r="H790" s="10" t="n">
        <v>1.654989753777506</v>
      </c>
      <c r="I790" s="10">
        <f>G790-1.96*H790</f>
        <v/>
      </c>
      <c r="J790" s="10">
        <f>G790+1.96*H790</f>
        <v/>
      </c>
      <c r="K790" s="10">
        <f>G790-F790</f>
        <v/>
      </c>
      <c r="L790" s="4">
        <f>IF(AND(F790&gt;=I790,F790&lt;=J790),1,0)</f>
        <v/>
      </c>
    </row>
    <row r="791">
      <c r="A791" s="4" t="inlineStr">
        <is>
          <t>m100_MPa</t>
        </is>
      </c>
      <c r="B791" s="4" t="inlineStr">
        <is>
          <t>G126</t>
        </is>
      </c>
      <c r="C791" s="4" t="inlineStr">
        <is>
          <t>US7247749B2</t>
        </is>
      </c>
      <c r="D791" s="4" t="inlineStr">
        <is>
          <t>Sample 2</t>
        </is>
      </c>
      <c r="E791" s="4" t="inlineStr">
        <is>
          <t>dev(OOF)</t>
        </is>
      </c>
      <c r="F791" s="10" t="n">
        <v>5.7</v>
      </c>
      <c r="G791" s="10" t="n">
        <v>7.152604365418048</v>
      </c>
      <c r="H791" s="10" t="n">
        <v>1.800686612182025</v>
      </c>
      <c r="I791" s="10">
        <f>G791-1.96*H791</f>
        <v/>
      </c>
      <c r="J791" s="10">
        <f>G791+1.96*H791</f>
        <v/>
      </c>
      <c r="K791" s="10">
        <f>G791-F791</f>
        <v/>
      </c>
      <c r="L791" s="4">
        <f>IF(AND(F791&gt;=I791,F791&lt;=J791),1,0)</f>
        <v/>
      </c>
    </row>
    <row r="792">
      <c r="A792" s="4" t="inlineStr">
        <is>
          <t>m100_MPa</t>
        </is>
      </c>
      <c r="B792" s="4" t="inlineStr">
        <is>
          <t>G136</t>
        </is>
      </c>
      <c r="C792" s="4" t="inlineStr">
        <is>
          <t>US7247749B2</t>
        </is>
      </c>
      <c r="D792" s="4" t="inlineStr">
        <is>
          <t>Sample 12</t>
        </is>
      </c>
      <c r="E792" s="4" t="inlineStr">
        <is>
          <t>dev(OOF)</t>
        </is>
      </c>
      <c r="F792" s="10" t="n">
        <v>9.1</v>
      </c>
      <c r="G792" s="10" t="n">
        <v>6.835367927735891</v>
      </c>
      <c r="H792" s="10" t="n">
        <v>1.920327956616258</v>
      </c>
      <c r="I792" s="10">
        <f>G792-1.96*H792</f>
        <v/>
      </c>
      <c r="J792" s="10">
        <f>G792+1.96*H792</f>
        <v/>
      </c>
      <c r="K792" s="10">
        <f>G792-F792</f>
        <v/>
      </c>
      <c r="L792" s="4">
        <f>IF(AND(F792&gt;=I792,F792&lt;=J792),1,0)</f>
        <v/>
      </c>
    </row>
    <row r="793">
      <c r="A793" s="4" t="inlineStr">
        <is>
          <t>m100_MPa</t>
        </is>
      </c>
      <c r="B793" s="4" t="inlineStr">
        <is>
          <t>G183</t>
        </is>
      </c>
      <c r="C793" s="4" t="inlineStr">
        <is>
          <t>US6211319B1</t>
        </is>
      </c>
      <c r="D793" s="4" t="inlineStr">
        <is>
          <t>Example 1</t>
        </is>
      </c>
      <c r="E793" s="4" t="inlineStr">
        <is>
          <t>dev(OOF)</t>
        </is>
      </c>
      <c r="F793" s="10" t="n">
        <v>14.8</v>
      </c>
      <c r="G793" s="10" t="n">
        <v>12.54022701262576</v>
      </c>
      <c r="H793" s="10" t="n">
        <v>2.199594996873924</v>
      </c>
      <c r="I793" s="10">
        <f>G793-1.96*H793</f>
        <v/>
      </c>
      <c r="J793" s="10">
        <f>G793+1.96*H793</f>
        <v/>
      </c>
      <c r="K793" s="10">
        <f>G793-F793</f>
        <v/>
      </c>
      <c r="L793" s="4">
        <f>IF(AND(F793&gt;=I793,F793&lt;=J793),1,0)</f>
        <v/>
      </c>
    </row>
    <row r="794">
      <c r="A794" s="4" t="inlineStr">
        <is>
          <t>m100_MPa</t>
        </is>
      </c>
      <c r="B794" s="4" t="inlineStr">
        <is>
          <t>G196</t>
        </is>
      </c>
      <c r="C794" s="4" t="inlineStr">
        <is>
          <t>US20160319102A1</t>
        </is>
      </c>
      <c r="D794" s="4" t="inlineStr">
        <is>
          <t>Comparative Example 1</t>
        </is>
      </c>
      <c r="E794" s="4" t="inlineStr">
        <is>
          <t>dev(OOF)</t>
        </is>
      </c>
      <c r="F794" s="10" t="n">
        <v>1.5</v>
      </c>
      <c r="G794" s="10" t="n">
        <v>3.039100606708439</v>
      </c>
      <c r="H794" s="10" t="n">
        <v>1.606656428954823</v>
      </c>
      <c r="I794" s="10">
        <f>G794-1.96*H794</f>
        <v/>
      </c>
      <c r="J794" s="10">
        <f>G794+1.96*H794</f>
        <v/>
      </c>
      <c r="K794" s="10">
        <f>G794-F794</f>
        <v/>
      </c>
      <c r="L794" s="4">
        <f>IF(AND(F794&gt;=I794,F794&lt;=J794),1,0)</f>
        <v/>
      </c>
    </row>
    <row r="795">
      <c r="A795" s="4" t="inlineStr">
        <is>
          <t>m100_MPa</t>
        </is>
      </c>
      <c r="B795" s="4" t="inlineStr">
        <is>
          <t>G040</t>
        </is>
      </c>
      <c r="C795" s="4" t="inlineStr">
        <is>
          <t>US8173727B2</t>
        </is>
      </c>
      <c r="D795" s="4" t="inlineStr">
        <is>
          <t>Example 12</t>
        </is>
      </c>
      <c r="E795" s="4" t="inlineStr">
        <is>
          <t>dev(OOF)</t>
        </is>
      </c>
      <c r="F795" s="10" t="n">
        <v>5</v>
      </c>
      <c r="G795" s="10" t="n">
        <v>6.039099237069848</v>
      </c>
      <c r="H795" s="10" t="n">
        <v>1.602823568345911</v>
      </c>
      <c r="I795" s="10">
        <f>G795-1.96*H795</f>
        <v/>
      </c>
      <c r="J795" s="10">
        <f>G795+1.96*H795</f>
        <v/>
      </c>
      <c r="K795" s="10">
        <f>G795-F795</f>
        <v/>
      </c>
      <c r="L795" s="4">
        <f>IF(AND(F795&gt;=I795,F795&lt;=J795),1,0)</f>
        <v/>
      </c>
    </row>
    <row r="796">
      <c r="A796" s="4" t="inlineStr">
        <is>
          <t>m100_MPa</t>
        </is>
      </c>
      <c r="B796" s="4" t="inlineStr">
        <is>
          <t>G078</t>
        </is>
      </c>
      <c r="C796" s="4" t="inlineStr">
        <is>
          <t>US12091537B2</t>
        </is>
      </c>
      <c r="D796" s="4" t="inlineStr">
        <is>
          <t>Example 5</t>
        </is>
      </c>
      <c r="E796" s="4" t="inlineStr">
        <is>
          <t>dev(OOF)</t>
        </is>
      </c>
      <c r="F796" s="10" t="n">
        <v>8.199999999999999</v>
      </c>
      <c r="G796" s="10" t="n">
        <v>7.710009734363514</v>
      </c>
      <c r="H796" s="10" t="n">
        <v>1.721362513099902</v>
      </c>
      <c r="I796" s="10">
        <f>G796-1.96*H796</f>
        <v/>
      </c>
      <c r="J796" s="10">
        <f>G796+1.96*H796</f>
        <v/>
      </c>
      <c r="K796" s="10">
        <f>G796-F796</f>
        <v/>
      </c>
      <c r="L796" s="4">
        <f>IF(AND(F796&gt;=I796,F796&lt;=J796),1,0)</f>
        <v/>
      </c>
    </row>
    <row r="797">
      <c r="A797" s="4" t="inlineStr">
        <is>
          <t>m100_MPa</t>
        </is>
      </c>
      <c r="B797" s="4" t="inlineStr">
        <is>
          <t>G072</t>
        </is>
      </c>
      <c r="C797" s="4" t="inlineStr">
        <is>
          <t>US11072700B2</t>
        </is>
      </c>
      <c r="D797" s="4" t="inlineStr">
        <is>
          <t>Example 3</t>
        </is>
      </c>
      <c r="E797" s="4" t="inlineStr">
        <is>
          <t>dev(OOF)</t>
        </is>
      </c>
      <c r="F797" s="10" t="n">
        <v>7</v>
      </c>
      <c r="G797" s="10" t="n">
        <v>6.824968379494961</v>
      </c>
      <c r="H797" s="10" t="n">
        <v>2.055150581624448</v>
      </c>
      <c r="I797" s="10">
        <f>G797-1.96*H797</f>
        <v/>
      </c>
      <c r="J797" s="10">
        <f>G797+1.96*H797</f>
        <v/>
      </c>
      <c r="K797" s="10">
        <f>G797-F797</f>
        <v/>
      </c>
      <c r="L797" s="4">
        <f>IF(AND(F797&gt;=I797,F797&lt;=J797),1,0)</f>
        <v/>
      </c>
    </row>
    <row r="798">
      <c r="A798" s="4" t="inlineStr">
        <is>
          <t>m100_MPa</t>
        </is>
      </c>
      <c r="B798" s="4" t="inlineStr">
        <is>
          <t>G125</t>
        </is>
      </c>
      <c r="C798" s="4" t="inlineStr">
        <is>
          <t>US7247749B2</t>
        </is>
      </c>
      <c r="D798" s="4" t="inlineStr">
        <is>
          <t>Sample 1</t>
        </is>
      </c>
      <c r="E798" s="4" t="inlineStr">
        <is>
          <t>dev(OOF)</t>
        </is>
      </c>
      <c r="F798" s="10" t="n">
        <v>4.28</v>
      </c>
      <c r="G798" s="10" t="n">
        <v>6.773276105542572</v>
      </c>
      <c r="H798" s="10" t="n">
        <v>1.892803037399822</v>
      </c>
      <c r="I798" s="10">
        <f>G798-1.96*H798</f>
        <v/>
      </c>
      <c r="J798" s="10">
        <f>G798+1.96*H798</f>
        <v/>
      </c>
      <c r="K798" s="10">
        <f>G798-F798</f>
        <v/>
      </c>
      <c r="L798" s="4">
        <f>IF(AND(F798&gt;=I798,F798&lt;=J798),1,0)</f>
        <v/>
      </c>
    </row>
    <row r="799">
      <c r="A799" s="4" t="inlineStr">
        <is>
          <t>m100_MPa</t>
        </is>
      </c>
      <c r="B799" s="4" t="inlineStr">
        <is>
          <t>G291</t>
        </is>
      </c>
      <c r="C799" s="4" t="inlineStr">
        <is>
          <t>EP4249550A1</t>
        </is>
      </c>
      <c r="D799" s="4" t="inlineStr">
        <is>
          <t>Example 2</t>
        </is>
      </c>
      <c r="E799" s="4" t="inlineStr">
        <is>
          <t>dev(OOF)</t>
        </is>
      </c>
      <c r="F799" s="10" t="n">
        <v>1.4</v>
      </c>
      <c r="G799" s="10" t="n">
        <v>1.623225128782212</v>
      </c>
      <c r="H799" s="10" t="n">
        <v>1.774142779700297</v>
      </c>
      <c r="I799" s="10">
        <f>G799-1.96*H799</f>
        <v/>
      </c>
      <c r="J799" s="10">
        <f>G799+1.96*H799</f>
        <v/>
      </c>
      <c r="K799" s="10">
        <f>G799-F799</f>
        <v/>
      </c>
      <c r="L799" s="4">
        <f>IF(AND(F799&gt;=I799,F799&lt;=J799),1,0)</f>
        <v/>
      </c>
    </row>
    <row r="800">
      <c r="A800" s="4" t="inlineStr">
        <is>
          <t>m100_MPa</t>
        </is>
      </c>
      <c r="B800" s="4" t="inlineStr">
        <is>
          <t>G199</t>
        </is>
      </c>
      <c r="C800" s="4" t="inlineStr">
        <is>
          <t>US20160319102A1</t>
        </is>
      </c>
      <c r="D800" s="4" t="inlineStr">
        <is>
          <t>Comparative Example 4</t>
        </is>
      </c>
      <c r="E800" s="4" t="inlineStr">
        <is>
          <t>dev(OOF)</t>
        </is>
      </c>
      <c r="F800" s="10" t="n">
        <v>2.5</v>
      </c>
      <c r="G800" s="10" t="n">
        <v>2.434335439322554</v>
      </c>
      <c r="H800" s="10" t="n">
        <v>1.786565437025117</v>
      </c>
      <c r="I800" s="10">
        <f>G800-1.96*H800</f>
        <v/>
      </c>
      <c r="J800" s="10">
        <f>G800+1.96*H800</f>
        <v/>
      </c>
      <c r="K800" s="10">
        <f>G800-F800</f>
        <v/>
      </c>
      <c r="L800" s="4">
        <f>IF(AND(F800&gt;=I800,F800&lt;=J800),1,0)</f>
        <v/>
      </c>
    </row>
    <row r="801">
      <c r="A801" s="4" t="inlineStr">
        <is>
          <t>m100_MPa</t>
        </is>
      </c>
      <c r="B801" s="4" t="inlineStr">
        <is>
          <t>G103</t>
        </is>
      </c>
      <c r="C801" s="4" t="inlineStr">
        <is>
          <t>US7354974B2</t>
        </is>
      </c>
      <c r="D801" s="4" t="inlineStr">
        <is>
          <t>Example 7</t>
        </is>
      </c>
      <c r="E801" s="4" t="inlineStr">
        <is>
          <t>dev(OOF)</t>
        </is>
      </c>
      <c r="F801" s="10" t="n">
        <v>6.2</v>
      </c>
      <c r="G801" s="10" t="n">
        <v>5.813201965637425</v>
      </c>
      <c r="H801" s="10" t="n">
        <v>1.725752216133127</v>
      </c>
      <c r="I801" s="10">
        <f>G801-1.96*H801</f>
        <v/>
      </c>
      <c r="J801" s="10">
        <f>G801+1.96*H801</f>
        <v/>
      </c>
      <c r="K801" s="10">
        <f>G801-F801</f>
        <v/>
      </c>
      <c r="L801" s="4">
        <f>IF(AND(F801&gt;=I801,F801&lt;=J801),1,0)</f>
        <v/>
      </c>
    </row>
    <row r="802">
      <c r="A802" s="4" t="inlineStr">
        <is>
          <t>m100_MPa</t>
        </is>
      </c>
      <c r="B802" s="4" t="inlineStr">
        <is>
          <t>G117</t>
        </is>
      </c>
      <c r="C802" s="4" t="inlineStr">
        <is>
          <t>US5696189A</t>
        </is>
      </c>
      <c r="D802" s="4" t="inlineStr">
        <is>
          <t>Comparative Example B</t>
        </is>
      </c>
      <c r="E802" s="4" t="inlineStr">
        <is>
          <t>dev(OOF)</t>
        </is>
      </c>
      <c r="F802" s="10" t="n">
        <v>2.28</v>
      </c>
      <c r="G802" s="10" t="n">
        <v>2.977374598968034</v>
      </c>
      <c r="H802" s="10" t="n">
        <v>2.593153427653307</v>
      </c>
      <c r="I802" s="10">
        <f>G802-1.96*H802</f>
        <v/>
      </c>
      <c r="J802" s="10">
        <f>G802+1.96*H802</f>
        <v/>
      </c>
      <c r="K802" s="10">
        <f>G802-F802</f>
        <v/>
      </c>
      <c r="L802" s="4">
        <f>IF(AND(F802&gt;=I802,F802&lt;=J802),1,0)</f>
        <v/>
      </c>
    </row>
    <row r="803">
      <c r="A803" s="4" t="inlineStr">
        <is>
          <t>m100_MPa</t>
        </is>
      </c>
      <c r="B803" s="4" t="inlineStr">
        <is>
          <t>G164</t>
        </is>
      </c>
      <c r="C803" s="4" t="inlineStr">
        <is>
          <t>US20050107544A1</t>
        </is>
      </c>
      <c r="D803" s="4" t="inlineStr">
        <is>
          <t>Sample 1</t>
        </is>
      </c>
      <c r="E803" s="4" t="inlineStr">
        <is>
          <t>dev(OOF)</t>
        </is>
      </c>
      <c r="F803" s="10" t="n">
        <v>1.6</v>
      </c>
      <c r="G803" s="10" t="n">
        <v>2.506026652602152</v>
      </c>
      <c r="H803" s="10" t="n">
        <v>1.909542254724023</v>
      </c>
      <c r="I803" s="10">
        <f>G803-1.96*H803</f>
        <v/>
      </c>
      <c r="J803" s="10">
        <f>G803+1.96*H803</f>
        <v/>
      </c>
      <c r="K803" s="10">
        <f>G803-F803</f>
        <v/>
      </c>
      <c r="L803" s="4">
        <f>IF(AND(F803&gt;=I803,F803&lt;=J803),1,0)</f>
        <v/>
      </c>
    </row>
    <row r="804">
      <c r="A804" s="4" t="inlineStr">
        <is>
          <t>m100_MPa</t>
        </is>
      </c>
      <c r="B804" s="4" t="inlineStr">
        <is>
          <t>G012</t>
        </is>
      </c>
      <c r="C804" s="4" t="inlineStr">
        <is>
          <t>US7678858B2</t>
        </is>
      </c>
      <c r="D804" s="4" t="inlineStr">
        <is>
          <t>Example 11</t>
        </is>
      </c>
      <c r="E804" s="4" t="inlineStr">
        <is>
          <t>dev(OOF)</t>
        </is>
      </c>
      <c r="F804" s="10" t="n">
        <v>13.73</v>
      </c>
      <c r="G804" s="10" t="n">
        <v>12.97177299843857</v>
      </c>
      <c r="H804" s="10" t="n">
        <v>2.436025703703403</v>
      </c>
      <c r="I804" s="10">
        <f>G804-1.96*H804</f>
        <v/>
      </c>
      <c r="J804" s="10">
        <f>G804+1.96*H804</f>
        <v/>
      </c>
      <c r="K804" s="10">
        <f>G804-F804</f>
        <v/>
      </c>
      <c r="L804" s="4">
        <f>IF(AND(F804&gt;=I804,F804&lt;=J804),1,0)</f>
        <v/>
      </c>
    </row>
    <row r="805">
      <c r="A805" s="4" t="inlineStr">
        <is>
          <t>m100_MPa</t>
        </is>
      </c>
      <c r="B805" s="4" t="inlineStr">
        <is>
          <t>G151</t>
        </is>
      </c>
      <c r="C805" s="4" t="inlineStr">
        <is>
          <t>US7247749B2</t>
        </is>
      </c>
      <c r="D805" s="4" t="inlineStr">
        <is>
          <t>Control Sample 31</t>
        </is>
      </c>
      <c r="E805" s="4" t="inlineStr">
        <is>
          <t>dev(OOF)</t>
        </is>
      </c>
      <c r="F805" s="10" t="n">
        <v>16.5</v>
      </c>
      <c r="G805" s="10" t="n">
        <v>12.02846826955789</v>
      </c>
      <c r="H805" s="10" t="n">
        <v>1.828296810069569</v>
      </c>
      <c r="I805" s="10">
        <f>G805-1.96*H805</f>
        <v/>
      </c>
      <c r="J805" s="10">
        <f>G805+1.96*H805</f>
        <v/>
      </c>
      <c r="K805" s="10">
        <f>G805-F805</f>
        <v/>
      </c>
      <c r="L805" s="4">
        <f>IF(AND(F805&gt;=I805,F805&lt;=J805),1,0)</f>
        <v/>
      </c>
    </row>
    <row r="806">
      <c r="A806" s="4" t="inlineStr">
        <is>
          <t>m100_MPa</t>
        </is>
      </c>
      <c r="B806" s="4" t="inlineStr">
        <is>
          <t>G328</t>
        </is>
      </c>
      <c r="C806" s="4" t="inlineStr">
        <is>
          <t>KR101467101B1</t>
        </is>
      </c>
      <c r="D806" s="4" t="inlineStr">
        <is>
          <t>Comparative Example 1 (Table 3 sample 2)</t>
        </is>
      </c>
      <c r="E806" s="4" t="inlineStr">
        <is>
          <t>dev(OOF)</t>
        </is>
      </c>
      <c r="F806" s="10" t="n">
        <v>3.16</v>
      </c>
      <c r="G806" s="10" t="n">
        <v>4.502706249256149</v>
      </c>
      <c r="H806" s="10" t="n">
        <v>1.816602453611103</v>
      </c>
      <c r="I806" s="10">
        <f>G806-1.96*H806</f>
        <v/>
      </c>
      <c r="J806" s="10">
        <f>G806+1.96*H806</f>
        <v/>
      </c>
      <c r="K806" s="10">
        <f>G806-F806</f>
        <v/>
      </c>
      <c r="L806" s="4">
        <f>IF(AND(F806&gt;=I806,F806&lt;=J806),1,0)</f>
        <v/>
      </c>
    </row>
    <row r="807">
      <c r="A807" s="4" t="inlineStr">
        <is>
          <t>m100_MPa</t>
        </is>
      </c>
      <c r="B807" s="4" t="inlineStr">
        <is>
          <t>G017</t>
        </is>
      </c>
      <c r="C807" s="4" t="inlineStr">
        <is>
          <t>US7678858B2</t>
        </is>
      </c>
      <c r="D807" s="4" t="inlineStr">
        <is>
          <t>Example 16</t>
        </is>
      </c>
      <c r="E807" s="4" t="inlineStr">
        <is>
          <t>dev(OOF)</t>
        </is>
      </c>
      <c r="F807" s="10" t="n">
        <v>15.2</v>
      </c>
      <c r="G807" s="10" t="n">
        <v>12.05402121121711</v>
      </c>
      <c r="H807" s="10" t="n">
        <v>1.673593466677361</v>
      </c>
      <c r="I807" s="10">
        <f>G807-1.96*H807</f>
        <v/>
      </c>
      <c r="J807" s="10">
        <f>G807+1.96*H807</f>
        <v/>
      </c>
      <c r="K807" s="10">
        <f>G807-F807</f>
        <v/>
      </c>
      <c r="L807" s="4">
        <f>IF(AND(F807&gt;=I807,F807&lt;=J807),1,0)</f>
        <v/>
      </c>
    </row>
    <row r="808">
      <c r="A808" s="4" t="inlineStr">
        <is>
          <t>m100_MPa</t>
        </is>
      </c>
      <c r="B808" s="4" t="inlineStr">
        <is>
          <t>G168</t>
        </is>
      </c>
      <c r="C808" s="4" t="inlineStr">
        <is>
          <t>US20050107544A1</t>
        </is>
      </c>
      <c r="D808" s="4" t="inlineStr">
        <is>
          <t>Sample 5</t>
        </is>
      </c>
      <c r="E808" s="4" t="inlineStr">
        <is>
          <t>dev(OOF)</t>
        </is>
      </c>
      <c r="F808" s="10" t="n">
        <v>3.4</v>
      </c>
      <c r="G808" s="10" t="n">
        <v>7.208329849012091</v>
      </c>
      <c r="H808" s="10" t="n">
        <v>3.419023299522187</v>
      </c>
      <c r="I808" s="10">
        <f>G808-1.96*H808</f>
        <v/>
      </c>
      <c r="J808" s="10">
        <f>G808+1.96*H808</f>
        <v/>
      </c>
      <c r="K808" s="10">
        <f>G808-F808</f>
        <v/>
      </c>
      <c r="L808" s="4">
        <f>IF(AND(F808&gt;=I808,F808&lt;=J808),1,0)</f>
        <v/>
      </c>
    </row>
    <row r="809">
      <c r="A809" s="4" t="inlineStr">
        <is>
          <t>m100_MPa</t>
        </is>
      </c>
      <c r="B809" s="4" t="inlineStr">
        <is>
          <t>G130</t>
        </is>
      </c>
      <c r="C809" s="4" t="inlineStr">
        <is>
          <t>US7247749B2</t>
        </is>
      </c>
      <c r="D809" s="4" t="inlineStr">
        <is>
          <t>Sample 6</t>
        </is>
      </c>
      <c r="E809" s="4" t="inlineStr">
        <is>
          <t>dev(OOF)</t>
        </is>
      </c>
      <c r="F809" s="10" t="n">
        <v>6.93</v>
      </c>
      <c r="G809" s="10" t="n">
        <v>7.091514597011349</v>
      </c>
      <c r="H809" s="10" t="n">
        <v>2.63884601290915</v>
      </c>
      <c r="I809" s="10">
        <f>G809-1.96*H809</f>
        <v/>
      </c>
      <c r="J809" s="10">
        <f>G809+1.96*H809</f>
        <v/>
      </c>
      <c r="K809" s="10">
        <f>G809-F809</f>
        <v/>
      </c>
      <c r="L809" s="4">
        <f>IF(AND(F809&gt;=I809,F809&lt;=J809),1,0)</f>
        <v/>
      </c>
    </row>
    <row r="810">
      <c r="A810" s="4" t="inlineStr">
        <is>
          <t>m100_MPa</t>
        </is>
      </c>
      <c r="B810" s="4" t="inlineStr">
        <is>
          <t>G290</t>
        </is>
      </c>
      <c r="C810" s="4" t="inlineStr">
        <is>
          <t>EP4249550A1</t>
        </is>
      </c>
      <c r="D810" s="4" t="inlineStr">
        <is>
          <t>Example 1</t>
        </is>
      </c>
      <c r="E810" s="4" t="inlineStr">
        <is>
          <t>dev(OOF)</t>
        </is>
      </c>
      <c r="F810" s="10" t="n">
        <v>6</v>
      </c>
      <c r="G810" s="10" t="n">
        <v>5.018369629147575</v>
      </c>
      <c r="H810" s="10" t="n">
        <v>2.240100741478802</v>
      </c>
      <c r="I810" s="10">
        <f>G810-1.96*H810</f>
        <v/>
      </c>
      <c r="J810" s="10">
        <f>G810+1.96*H810</f>
        <v/>
      </c>
      <c r="K810" s="10">
        <f>G810-F810</f>
        <v/>
      </c>
      <c r="L810" s="4">
        <f>IF(AND(F810&gt;=I810,F810&lt;=J810),1,0)</f>
        <v/>
      </c>
    </row>
    <row r="811">
      <c r="A811" s="4" t="inlineStr">
        <is>
          <t>m100_MPa</t>
        </is>
      </c>
      <c r="B811" s="4" t="inlineStr">
        <is>
          <t>G201</t>
        </is>
      </c>
      <c r="C811" s="4" t="inlineStr">
        <is>
          <t>US20160319102A1</t>
        </is>
      </c>
      <c r="D811" s="4" t="inlineStr">
        <is>
          <t>Comparative Example 7</t>
        </is>
      </c>
      <c r="E811" s="4" t="inlineStr">
        <is>
          <t>dev(OOF)</t>
        </is>
      </c>
      <c r="F811" s="10" t="n">
        <v>1.7</v>
      </c>
      <c r="G811" s="10" t="n">
        <v>1.88073824919325</v>
      </c>
      <c r="H811" s="10" t="n">
        <v>1.763562060795054</v>
      </c>
      <c r="I811" s="10">
        <f>G811-1.96*H811</f>
        <v/>
      </c>
      <c r="J811" s="10">
        <f>G811+1.96*H811</f>
        <v/>
      </c>
      <c r="K811" s="10">
        <f>G811-F811</f>
        <v/>
      </c>
      <c r="L811" s="4">
        <f>IF(AND(F811&gt;=I811,F811&lt;=J811),1,0)</f>
        <v/>
      </c>
    </row>
    <row r="812">
      <c r="A812" s="4" t="inlineStr">
        <is>
          <t>m100_MPa</t>
        </is>
      </c>
      <c r="B812" s="4" t="inlineStr">
        <is>
          <t>G157</t>
        </is>
      </c>
      <c r="C812" s="4" t="inlineStr">
        <is>
          <t>US7402630B2</t>
        </is>
      </c>
      <c r="D812" s="4" t="inlineStr">
        <is>
          <t>Comparative Example A</t>
        </is>
      </c>
      <c r="E812" s="4" t="inlineStr">
        <is>
          <t>dev(OOF)</t>
        </is>
      </c>
      <c r="F812" s="10" t="n">
        <v>7.21</v>
      </c>
      <c r="G812" s="10" t="n">
        <v>5.617186004538448</v>
      </c>
      <c r="H812" s="10" t="n">
        <v>2.194176221893342</v>
      </c>
      <c r="I812" s="10">
        <f>G812-1.96*H812</f>
        <v/>
      </c>
      <c r="J812" s="10">
        <f>G812+1.96*H812</f>
        <v/>
      </c>
      <c r="K812" s="10">
        <f>G812-F812</f>
        <v/>
      </c>
      <c r="L812" s="4">
        <f>IF(AND(F812&gt;=I812,F812&lt;=J812),1,0)</f>
        <v/>
      </c>
    </row>
    <row r="813">
      <c r="A813" s="4" t="inlineStr">
        <is>
          <t>m100_MPa</t>
        </is>
      </c>
      <c r="B813" s="4" t="inlineStr">
        <is>
          <t>G042</t>
        </is>
      </c>
      <c r="C813" s="4" t="inlineStr">
        <is>
          <t>US8173727B2</t>
        </is>
      </c>
      <c r="D813" s="4" t="inlineStr">
        <is>
          <t>Example 14</t>
        </is>
      </c>
      <c r="E813" s="4" t="inlineStr">
        <is>
          <t>dev(OOF)</t>
        </is>
      </c>
      <c r="F813" s="10" t="n">
        <v>2.26</v>
      </c>
      <c r="G813" s="10" t="n">
        <v>5.454739801229677</v>
      </c>
      <c r="H813" s="10" t="n">
        <v>3.299830247007094</v>
      </c>
      <c r="I813" s="10">
        <f>G813-1.96*H813</f>
        <v/>
      </c>
      <c r="J813" s="10">
        <f>G813+1.96*H813</f>
        <v/>
      </c>
      <c r="K813" s="10">
        <f>G813-F813</f>
        <v/>
      </c>
      <c r="L813" s="4">
        <f>IF(AND(F813&gt;=I813,F813&lt;=J813),1,0)</f>
        <v/>
      </c>
    </row>
    <row r="814">
      <c r="A814" s="4" t="inlineStr">
        <is>
          <t>m100_MPa</t>
        </is>
      </c>
      <c r="B814" s="4" t="inlineStr">
        <is>
          <t>G252</t>
        </is>
      </c>
      <c r="C814" s="4" t="inlineStr">
        <is>
          <t>US12584054B2</t>
        </is>
      </c>
      <c r="D814" s="4" t="inlineStr">
        <is>
          <t>Comparative Example 4</t>
        </is>
      </c>
      <c r="E814" s="4" t="inlineStr">
        <is>
          <t>dev(OOF)</t>
        </is>
      </c>
      <c r="F814" s="10" t="n">
        <v>3.7</v>
      </c>
      <c r="G814" s="10" t="n">
        <v>3.054866438047756</v>
      </c>
      <c r="H814" s="10" t="n">
        <v>1.726434086690852</v>
      </c>
      <c r="I814" s="10">
        <f>G814-1.96*H814</f>
        <v/>
      </c>
      <c r="J814" s="10">
        <f>G814+1.96*H814</f>
        <v/>
      </c>
      <c r="K814" s="10">
        <f>G814-F814</f>
        <v/>
      </c>
      <c r="L814" s="4">
        <f>IF(AND(F814&gt;=I814,F814&lt;=J814),1,0)</f>
        <v/>
      </c>
    </row>
    <row r="815">
      <c r="A815" s="4" t="inlineStr">
        <is>
          <t>m100_MPa</t>
        </is>
      </c>
      <c r="B815" s="4" t="inlineStr">
        <is>
          <t>G135</t>
        </is>
      </c>
      <c r="C815" s="4" t="inlineStr">
        <is>
          <t>US7247749B2</t>
        </is>
      </c>
      <c r="D815" s="4" t="inlineStr">
        <is>
          <t>Comparative Sample 11</t>
        </is>
      </c>
      <c r="E815" s="4" t="inlineStr">
        <is>
          <t>dev(OOF)</t>
        </is>
      </c>
      <c r="F815" s="10" t="n">
        <v>7.4</v>
      </c>
      <c r="G815" s="10" t="n">
        <v>6.857950996289551</v>
      </c>
      <c r="H815" s="10" t="n">
        <v>1.672283717556375</v>
      </c>
      <c r="I815" s="10">
        <f>G815-1.96*H815</f>
        <v/>
      </c>
      <c r="J815" s="10">
        <f>G815+1.96*H815</f>
        <v/>
      </c>
      <c r="K815" s="10">
        <f>G815-F815</f>
        <v/>
      </c>
      <c r="L815" s="4">
        <f>IF(AND(F815&gt;=I815,F815&lt;=J815),1,0)</f>
        <v/>
      </c>
    </row>
    <row r="816">
      <c r="A816" s="4" t="inlineStr">
        <is>
          <t>m100_MPa</t>
        </is>
      </c>
      <c r="B816" s="4" t="inlineStr">
        <is>
          <t>G077</t>
        </is>
      </c>
      <c r="C816" s="4" t="inlineStr">
        <is>
          <t>US12091537B2</t>
        </is>
      </c>
      <c r="D816" s="4" t="inlineStr">
        <is>
          <t>Example 4</t>
        </is>
      </c>
      <c r="E816" s="4" t="inlineStr">
        <is>
          <t>dev(OOF)</t>
        </is>
      </c>
      <c r="F816" s="10" t="n">
        <v>7.9</v>
      </c>
      <c r="G816" s="10" t="n">
        <v>8.065955484730924</v>
      </c>
      <c r="H816" s="10" t="n">
        <v>1.673294253224745</v>
      </c>
      <c r="I816" s="10">
        <f>G816-1.96*H816</f>
        <v/>
      </c>
      <c r="J816" s="10">
        <f>G816+1.96*H816</f>
        <v/>
      </c>
      <c r="K816" s="10">
        <f>G816-F816</f>
        <v/>
      </c>
      <c r="L816" s="4">
        <f>IF(AND(F816&gt;=I816,F816&lt;=J816),1,0)</f>
        <v/>
      </c>
    </row>
    <row r="817">
      <c r="A817" s="4" t="inlineStr">
        <is>
          <t>m100_MPa</t>
        </is>
      </c>
      <c r="B817" s="4" t="inlineStr">
        <is>
          <t>G010</t>
        </is>
      </c>
      <c r="C817" s="4" t="inlineStr">
        <is>
          <t>US7678858B2</t>
        </is>
      </c>
      <c r="D817" s="4" t="inlineStr">
        <is>
          <t>Comparative Example 1</t>
        </is>
      </c>
      <c r="E817" s="4" t="inlineStr">
        <is>
          <t>dev(OOF)</t>
        </is>
      </c>
      <c r="F817" s="10" t="n">
        <v>8.83</v>
      </c>
      <c r="G817" s="10" t="n">
        <v>8.495875621407476</v>
      </c>
      <c r="H817" s="10" t="n">
        <v>1.802209304926646</v>
      </c>
      <c r="I817" s="10">
        <f>G817-1.96*H817</f>
        <v/>
      </c>
      <c r="J817" s="10">
        <f>G817+1.96*H817</f>
        <v/>
      </c>
      <c r="K817" s="10">
        <f>G817-F817</f>
        <v/>
      </c>
      <c r="L817" s="4">
        <f>IF(AND(F817&gt;=I817,F817&lt;=J817),1,0)</f>
        <v/>
      </c>
    </row>
    <row r="818">
      <c r="A818" s="4" t="inlineStr">
        <is>
          <t>m100_MPa</t>
        </is>
      </c>
      <c r="B818" s="4" t="inlineStr">
        <is>
          <t>G022</t>
        </is>
      </c>
      <c r="C818" s="4" t="inlineStr">
        <is>
          <t>US7678858B2</t>
        </is>
      </c>
      <c r="D818" s="4" t="inlineStr">
        <is>
          <t>Comparative Example 2</t>
        </is>
      </c>
      <c r="E818" s="4" t="inlineStr">
        <is>
          <t>dev(OOF)</t>
        </is>
      </c>
      <c r="F818" s="10" t="n">
        <v>14.51</v>
      </c>
      <c r="G818" s="10" t="n">
        <v>11.63978207659812</v>
      </c>
      <c r="H818" s="10" t="n">
        <v>1.653353461341003</v>
      </c>
      <c r="I818" s="10">
        <f>G818-1.96*H818</f>
        <v/>
      </c>
      <c r="J818" s="10">
        <f>G818+1.96*H818</f>
        <v/>
      </c>
      <c r="K818" s="10">
        <f>G818-F818</f>
        <v/>
      </c>
      <c r="L818" s="4">
        <f>IF(AND(F818&gt;=I818,F818&lt;=J818),1,0)</f>
        <v/>
      </c>
    </row>
    <row r="819">
      <c r="A819" s="4" t="inlineStr">
        <is>
          <t>m100_MPa</t>
        </is>
      </c>
      <c r="B819" s="4" t="inlineStr">
        <is>
          <t>G001</t>
        </is>
      </c>
      <c r="C819" s="4" t="inlineStr">
        <is>
          <t>US7678858B2</t>
        </is>
      </c>
      <c r="D819" s="4" t="inlineStr">
        <is>
          <t>Example 1</t>
        </is>
      </c>
      <c r="E819" s="4" t="inlineStr">
        <is>
          <t>dev(OOF)</t>
        </is>
      </c>
      <c r="F819" s="10" t="n">
        <v>9.02</v>
      </c>
      <c r="G819" s="10" t="n">
        <v>8.449201268626474</v>
      </c>
      <c r="H819" s="10" t="n">
        <v>1.583559010733611</v>
      </c>
      <c r="I819" s="10">
        <f>G819-1.96*H819</f>
        <v/>
      </c>
      <c r="J819" s="10">
        <f>G819+1.96*H819</f>
        <v/>
      </c>
      <c r="K819" s="10">
        <f>G819-F819</f>
        <v/>
      </c>
      <c r="L819" s="4">
        <f>IF(AND(F819&gt;=I819,F819&lt;=J819),1,0)</f>
        <v/>
      </c>
    </row>
    <row r="820">
      <c r="A820" s="4" t="inlineStr">
        <is>
          <t>m100_MPa</t>
        </is>
      </c>
      <c r="B820" s="4" t="inlineStr">
        <is>
          <t>G016</t>
        </is>
      </c>
      <c r="C820" s="4" t="inlineStr">
        <is>
          <t>US7678858B2</t>
        </is>
      </c>
      <c r="D820" s="4" t="inlineStr">
        <is>
          <t>Example 15</t>
        </is>
      </c>
      <c r="E820" s="4" t="inlineStr">
        <is>
          <t>dev(OOF)</t>
        </is>
      </c>
      <c r="F820" s="10" t="n">
        <v>10.89</v>
      </c>
      <c r="G820" s="10" t="n">
        <v>8.350334180769737</v>
      </c>
      <c r="H820" s="10" t="n">
        <v>1.666848446047622</v>
      </c>
      <c r="I820" s="10">
        <f>G820-1.96*H820</f>
        <v/>
      </c>
      <c r="J820" s="10">
        <f>G820+1.96*H820</f>
        <v/>
      </c>
      <c r="K820" s="10">
        <f>G820-F820</f>
        <v/>
      </c>
      <c r="L820" s="4">
        <f>IF(AND(F820&gt;=I820,F820&lt;=J820),1,0)</f>
        <v/>
      </c>
    </row>
    <row r="821">
      <c r="A821" s="4" t="inlineStr">
        <is>
          <t>m100_MPa</t>
        </is>
      </c>
      <c r="B821" s="4" t="inlineStr">
        <is>
          <t>G288</t>
        </is>
      </c>
      <c r="C821" s="4" t="inlineStr">
        <is>
          <t>US20230365800A1</t>
        </is>
      </c>
      <c r="D821" s="4" t="inlineStr">
        <is>
          <t>Example 10</t>
        </is>
      </c>
      <c r="E821" s="4" t="inlineStr">
        <is>
          <t>dev(OOF)</t>
        </is>
      </c>
      <c r="F821" s="10" t="n">
        <v>5.6</v>
      </c>
      <c r="G821" s="10" t="n">
        <v>4.706563173558559</v>
      </c>
      <c r="H821" s="10" t="n">
        <v>1.498326019628171</v>
      </c>
      <c r="I821" s="10">
        <f>G821-1.96*H821</f>
        <v/>
      </c>
      <c r="J821" s="10">
        <f>G821+1.96*H821</f>
        <v/>
      </c>
      <c r="K821" s="10">
        <f>G821-F821</f>
        <v/>
      </c>
      <c r="L821" s="4">
        <f>IF(AND(F821&gt;=I821,F821&lt;=J821),1,0)</f>
        <v/>
      </c>
    </row>
    <row r="822">
      <c r="A822" s="4" t="inlineStr">
        <is>
          <t>m100_MPa</t>
        </is>
      </c>
      <c r="B822" s="4" t="inlineStr">
        <is>
          <t>G119</t>
        </is>
      </c>
      <c r="C822" s="4" t="inlineStr">
        <is>
          <t>US5696189A</t>
        </is>
      </c>
      <c r="D822" s="4" t="inlineStr">
        <is>
          <t>Example 2</t>
        </is>
      </c>
      <c r="E822" s="4" t="inlineStr">
        <is>
          <t>dev(OOF)</t>
        </is>
      </c>
      <c r="F822" s="10" t="n">
        <v>3.76</v>
      </c>
      <c r="G822" s="10" t="n">
        <v>4.249528821677183</v>
      </c>
      <c r="H822" s="10" t="n">
        <v>3.157666218119392</v>
      </c>
      <c r="I822" s="10">
        <f>G822-1.96*H822</f>
        <v/>
      </c>
      <c r="J822" s="10">
        <f>G822+1.96*H822</f>
        <v/>
      </c>
      <c r="K822" s="10">
        <f>G822-F822</f>
        <v/>
      </c>
      <c r="L822" s="4">
        <f>IF(AND(F822&gt;=I822,F822&lt;=J822),1,0)</f>
        <v/>
      </c>
    </row>
    <row r="823">
      <c r="A823" s="4" t="inlineStr">
        <is>
          <t>m100_MPa</t>
        </is>
      </c>
      <c r="B823" s="4" t="inlineStr">
        <is>
          <t>G134</t>
        </is>
      </c>
      <c r="C823" s="4" t="inlineStr">
        <is>
          <t>US7247749B2</t>
        </is>
      </c>
      <c r="D823" s="4" t="inlineStr">
        <is>
          <t>Sample 10</t>
        </is>
      </c>
      <c r="E823" s="4" t="inlineStr">
        <is>
          <t>dev(OOF)</t>
        </is>
      </c>
      <c r="F823" s="10" t="n">
        <v>6.17</v>
      </c>
      <c r="G823" s="10" t="n">
        <v>6.589501359698936</v>
      </c>
      <c r="H823" s="10" t="n">
        <v>2.000152811594494</v>
      </c>
      <c r="I823" s="10">
        <f>G823-1.96*H823</f>
        <v/>
      </c>
      <c r="J823" s="10">
        <f>G823+1.96*H823</f>
        <v/>
      </c>
      <c r="K823" s="10">
        <f>G823-F823</f>
        <v/>
      </c>
      <c r="L823" s="4">
        <f>IF(AND(F823&gt;=I823,F823&lt;=J823),1,0)</f>
        <v/>
      </c>
    </row>
    <row r="824">
      <c r="A824" s="4" t="inlineStr">
        <is>
          <t>m100_MPa</t>
        </is>
      </c>
      <c r="B824" s="4" t="inlineStr">
        <is>
          <t>G330</t>
        </is>
      </c>
      <c r="C824" s="4" t="inlineStr">
        <is>
          <t>KR101467101B1</t>
        </is>
      </c>
      <c r="D824" s="4" t="inlineStr">
        <is>
          <t>Comparative Example 1 (Table 3 sample 4)</t>
        </is>
      </c>
      <c r="E824" s="4" t="inlineStr">
        <is>
          <t>dev(OOF)</t>
        </is>
      </c>
      <c r="F824" s="10" t="n">
        <v>3.32</v>
      </c>
      <c r="G824" s="10" t="n">
        <v>5.256119516459703</v>
      </c>
      <c r="H824" s="10" t="n">
        <v>2.365620480292869</v>
      </c>
      <c r="I824" s="10">
        <f>G824-1.96*H824</f>
        <v/>
      </c>
      <c r="J824" s="10">
        <f>G824+1.96*H824</f>
        <v/>
      </c>
      <c r="K824" s="10">
        <f>G824-F824</f>
        <v/>
      </c>
      <c r="L824" s="4">
        <f>IF(AND(F824&gt;=I824,F824&lt;=J824),1,0)</f>
        <v/>
      </c>
    </row>
    <row r="825">
      <c r="A825" s="4" t="inlineStr">
        <is>
          <t>m100_MPa</t>
        </is>
      </c>
      <c r="B825" s="4" t="inlineStr">
        <is>
          <t>G190</t>
        </is>
      </c>
      <c r="C825" s="4" t="inlineStr">
        <is>
          <t>US20160319102A1</t>
        </is>
      </c>
      <c r="D825" s="4" t="inlineStr">
        <is>
          <t>Example 1</t>
        </is>
      </c>
      <c r="E825" s="4" t="inlineStr">
        <is>
          <t>dev(OOF)</t>
        </is>
      </c>
      <c r="F825" s="10" t="n">
        <v>2.8</v>
      </c>
      <c r="G825" s="10" t="n">
        <v>2.939888392490408</v>
      </c>
      <c r="H825" s="10" t="n">
        <v>1.820126390467962</v>
      </c>
      <c r="I825" s="10">
        <f>G825-1.96*H825</f>
        <v/>
      </c>
      <c r="J825" s="10">
        <f>G825+1.96*H825</f>
        <v/>
      </c>
      <c r="K825" s="10">
        <f>G825-F825</f>
        <v/>
      </c>
      <c r="L825" s="4">
        <f>IF(AND(F825&gt;=I825,F825&lt;=J825),1,0)</f>
        <v/>
      </c>
    </row>
    <row r="826">
      <c r="A826" s="4" t="inlineStr">
        <is>
          <t>m100_MPa</t>
        </is>
      </c>
      <c r="B826" s="4" t="inlineStr">
        <is>
          <t>G245</t>
        </is>
      </c>
      <c r="C826" s="4" t="inlineStr">
        <is>
          <t>US12584054B2</t>
        </is>
      </c>
      <c r="D826" s="4" t="inlineStr">
        <is>
          <t>Example 2</t>
        </is>
      </c>
      <c r="E826" s="4" t="inlineStr">
        <is>
          <t>dev(OOF)</t>
        </is>
      </c>
      <c r="F826" s="10" t="n">
        <v>2.8</v>
      </c>
      <c r="G826" s="10" t="n">
        <v>2.866232398003442</v>
      </c>
      <c r="H826" s="10" t="n">
        <v>1.679315973811846</v>
      </c>
      <c r="I826" s="10">
        <f>G826-1.96*H826</f>
        <v/>
      </c>
      <c r="J826" s="10">
        <f>G826+1.96*H826</f>
        <v/>
      </c>
      <c r="K826" s="10">
        <f>G826-F826</f>
        <v/>
      </c>
      <c r="L826" s="4">
        <f>IF(AND(F826&gt;=I826,F826&lt;=J826),1,0)</f>
        <v/>
      </c>
    </row>
    <row r="827">
      <c r="A827" s="4" t="inlineStr">
        <is>
          <t>m100_MPa</t>
        </is>
      </c>
      <c r="B827" s="4" t="inlineStr">
        <is>
          <t>G051</t>
        </is>
      </c>
      <c r="C827" s="4" t="inlineStr">
        <is>
          <t>US8211964B2</t>
        </is>
      </c>
      <c r="D827" s="4" t="inlineStr">
        <is>
          <t>Example 8</t>
        </is>
      </c>
      <c r="E827" s="4" t="inlineStr">
        <is>
          <t>dev(OOF)</t>
        </is>
      </c>
      <c r="F827" s="10" t="n">
        <v>6.37</v>
      </c>
      <c r="G827" s="10" t="n">
        <v>6.401740441167295</v>
      </c>
      <c r="H827" s="10" t="n">
        <v>2.701819248667133</v>
      </c>
      <c r="I827" s="10">
        <f>G827-1.96*H827</f>
        <v/>
      </c>
      <c r="J827" s="10">
        <f>G827+1.96*H827</f>
        <v/>
      </c>
      <c r="K827" s="10">
        <f>G827-F827</f>
        <v/>
      </c>
      <c r="L827" s="4">
        <f>IF(AND(F827&gt;=I827,F827&lt;=J827),1,0)</f>
        <v/>
      </c>
    </row>
    <row r="828">
      <c r="A828" s="4" t="inlineStr">
        <is>
          <t>m100_MPa</t>
        </is>
      </c>
      <c r="B828" s="4" t="inlineStr">
        <is>
          <t>G177</t>
        </is>
      </c>
      <c r="C828" s="4" t="inlineStr">
        <is>
          <t>US6281296B1</t>
        </is>
      </c>
      <c r="D828" s="4" t="inlineStr">
        <is>
          <t>Example 1</t>
        </is>
      </c>
      <c r="E828" s="4" t="inlineStr">
        <is>
          <t>dev(OOF)</t>
        </is>
      </c>
      <c r="F828" s="10" t="n">
        <v>2.4</v>
      </c>
      <c r="G828" s="10" t="n">
        <v>4.740131944027176</v>
      </c>
      <c r="H828" s="10" t="n">
        <v>2.801201117745123</v>
      </c>
      <c r="I828" s="10">
        <f>G828-1.96*H828</f>
        <v/>
      </c>
      <c r="J828" s="10">
        <f>G828+1.96*H828</f>
        <v/>
      </c>
      <c r="K828" s="10">
        <f>G828-F828</f>
        <v/>
      </c>
      <c r="L828" s="4">
        <f>IF(AND(F828&gt;=I828,F828&lt;=J828),1,0)</f>
        <v/>
      </c>
    </row>
    <row r="829">
      <c r="A829" s="4" t="inlineStr">
        <is>
          <t>m100_MPa</t>
        </is>
      </c>
      <c r="B829" s="4" t="inlineStr">
        <is>
          <t>G176</t>
        </is>
      </c>
      <c r="C829" s="4" t="inlineStr">
        <is>
          <t>US6191208B1</t>
        </is>
      </c>
      <c r="D829" s="4" t="inlineStr">
        <is>
          <t>Example 2</t>
        </is>
      </c>
      <c r="E829" s="4" t="inlineStr">
        <is>
          <t>dev(OOF)</t>
        </is>
      </c>
      <c r="F829" s="10" t="n">
        <v>2.3</v>
      </c>
      <c r="G829" s="10" t="n">
        <v>2.764061532076144</v>
      </c>
      <c r="H829" s="10" t="n">
        <v>1.916682789518022</v>
      </c>
      <c r="I829" s="10">
        <f>G829-1.96*H829</f>
        <v/>
      </c>
      <c r="J829" s="10">
        <f>G829+1.96*H829</f>
        <v/>
      </c>
      <c r="K829" s="10">
        <f>G829-F829</f>
        <v/>
      </c>
      <c r="L829" s="4">
        <f>IF(AND(F829&gt;=I829,F829&lt;=J829),1,0)</f>
        <v/>
      </c>
    </row>
    <row r="830">
      <c r="A830" s="4" t="inlineStr">
        <is>
          <t>m100_MPa</t>
        </is>
      </c>
      <c r="B830" s="4" t="inlineStr">
        <is>
          <t>G034</t>
        </is>
      </c>
      <c r="C830" s="4" t="inlineStr">
        <is>
          <t>US8173727B2</t>
        </is>
      </c>
      <c r="D830" s="4" t="inlineStr">
        <is>
          <t>Example 6</t>
        </is>
      </c>
      <c r="E830" s="4" t="inlineStr">
        <is>
          <t>dev(OOF)</t>
        </is>
      </c>
      <c r="F830" s="10" t="n">
        <v>9.81</v>
      </c>
      <c r="G830" s="10" t="n">
        <v>7.698225404515593</v>
      </c>
      <c r="H830" s="10" t="n">
        <v>1.677940739120872</v>
      </c>
      <c r="I830" s="10">
        <f>G830-1.96*H830</f>
        <v/>
      </c>
      <c r="J830" s="10">
        <f>G830+1.96*H830</f>
        <v/>
      </c>
      <c r="K830" s="10">
        <f>G830-F830</f>
        <v/>
      </c>
      <c r="L830" s="4">
        <f>IF(AND(F830&gt;=I830,F830&lt;=J830),1,0)</f>
        <v/>
      </c>
    </row>
    <row r="831">
      <c r="A831" s="4" t="inlineStr">
        <is>
          <t>m100_MPa</t>
        </is>
      </c>
      <c r="B831" s="4" t="inlineStr">
        <is>
          <t>G264</t>
        </is>
      </c>
      <c r="C831" s="4" t="inlineStr">
        <is>
          <t>US20230174763A1</t>
        </is>
      </c>
      <c r="D831" s="4" t="inlineStr">
        <is>
          <t>Example 1</t>
        </is>
      </c>
      <c r="E831" s="4" t="inlineStr">
        <is>
          <t>dev(OOF)</t>
        </is>
      </c>
      <c r="F831" s="10" t="n">
        <v>3.9</v>
      </c>
      <c r="G831" s="10" t="n">
        <v>3.320821861589152</v>
      </c>
      <c r="H831" s="10" t="n">
        <v>2.117374293002876</v>
      </c>
      <c r="I831" s="10">
        <f>G831-1.96*H831</f>
        <v/>
      </c>
      <c r="J831" s="10">
        <f>G831+1.96*H831</f>
        <v/>
      </c>
      <c r="K831" s="10">
        <f>G831-F831</f>
        <v/>
      </c>
      <c r="L831" s="4">
        <f>IF(AND(F831&gt;=I831,F831&lt;=J831),1,0)</f>
        <v/>
      </c>
    </row>
    <row r="832">
      <c r="A832" s="4" t="inlineStr">
        <is>
          <t>m100_MPa</t>
        </is>
      </c>
      <c r="B832" s="4" t="inlineStr">
        <is>
          <t>G156</t>
        </is>
      </c>
      <c r="C832" s="4" t="inlineStr">
        <is>
          <t>US7402630B2</t>
        </is>
      </c>
      <c r="D832" s="4" t="inlineStr">
        <is>
          <t>Example 8</t>
        </is>
      </c>
      <c r="E832" s="4" t="inlineStr">
        <is>
          <t>dev(OOF)</t>
        </is>
      </c>
      <c r="F832" s="10" t="n">
        <v>8.58</v>
      </c>
      <c r="G832" s="10" t="n">
        <v>8.725630641526847</v>
      </c>
      <c r="H832" s="10" t="n">
        <v>1.868372408013242</v>
      </c>
      <c r="I832" s="10">
        <f>G832-1.96*H832</f>
        <v/>
      </c>
      <c r="J832" s="10">
        <f>G832+1.96*H832</f>
        <v/>
      </c>
      <c r="K832" s="10">
        <f>G832-F832</f>
        <v/>
      </c>
      <c r="L832" s="4">
        <f>IF(AND(F832&gt;=I832,F832&lt;=J832),1,0)</f>
        <v/>
      </c>
    </row>
    <row r="833">
      <c r="A833" s="4" t="inlineStr">
        <is>
          <t>m100_MPa</t>
        </is>
      </c>
      <c r="B833" s="4" t="inlineStr">
        <is>
          <t>G276</t>
        </is>
      </c>
      <c r="C833" s="4" t="inlineStr">
        <is>
          <t>US20230174763A1</t>
        </is>
      </c>
      <c r="D833" s="4" t="inlineStr">
        <is>
          <t>Comparative Example 14</t>
        </is>
      </c>
      <c r="E833" s="4" t="inlineStr">
        <is>
          <t>dev(OOF)</t>
        </is>
      </c>
      <c r="F833" s="10" t="n">
        <v>4.7</v>
      </c>
      <c r="G833" s="10" t="n">
        <v>2.325894869812767</v>
      </c>
      <c r="H833" s="10" t="n">
        <v>2.960233018483126</v>
      </c>
      <c r="I833" s="10">
        <f>G833-1.96*H833</f>
        <v/>
      </c>
      <c r="J833" s="10">
        <f>G833+1.96*H833</f>
        <v/>
      </c>
      <c r="K833" s="10">
        <f>G833-F833</f>
        <v/>
      </c>
      <c r="L833" s="4">
        <f>IF(AND(F833&gt;=I833,F833&lt;=J833),1,0)</f>
        <v/>
      </c>
    </row>
    <row r="834">
      <c r="A834" s="4" t="inlineStr">
        <is>
          <t>m100_MPa</t>
        </is>
      </c>
      <c r="B834" s="4" t="inlineStr">
        <is>
          <t>G192</t>
        </is>
      </c>
      <c r="C834" s="4" t="inlineStr">
        <is>
          <t>US20160319102A1</t>
        </is>
      </c>
      <c r="D834" s="4" t="inlineStr">
        <is>
          <t>Example 3</t>
        </is>
      </c>
      <c r="E834" s="4" t="inlineStr">
        <is>
          <t>dev(OOF)</t>
        </is>
      </c>
      <c r="F834" s="10" t="n">
        <v>4.3</v>
      </c>
      <c r="G834" s="10" t="n">
        <v>4.284223100723603</v>
      </c>
      <c r="H834" s="10" t="n">
        <v>1.831920779406579</v>
      </c>
      <c r="I834" s="10">
        <f>G834-1.96*H834</f>
        <v/>
      </c>
      <c r="J834" s="10">
        <f>G834+1.96*H834</f>
        <v/>
      </c>
      <c r="K834" s="10">
        <f>G834-F834</f>
        <v/>
      </c>
      <c r="L834" s="4">
        <f>IF(AND(F834&gt;=I834,F834&lt;=J834),1,0)</f>
        <v/>
      </c>
    </row>
    <row r="835">
      <c r="A835" s="4" t="inlineStr">
        <is>
          <t>m100_MPa</t>
        </is>
      </c>
      <c r="B835" s="4" t="inlineStr">
        <is>
          <t>G045</t>
        </is>
      </c>
      <c r="C835" s="4" t="inlineStr">
        <is>
          <t>US8211964B2</t>
        </is>
      </c>
      <c r="D835" s="4" t="inlineStr">
        <is>
          <t>Example 4</t>
        </is>
      </c>
      <c r="E835" s="4" t="inlineStr">
        <is>
          <t>dev(OOF)</t>
        </is>
      </c>
      <c r="F835" s="10" t="n">
        <v>5</v>
      </c>
      <c r="G835" s="10" t="n">
        <v>7.842170175087908</v>
      </c>
      <c r="H835" s="10" t="n">
        <v>3.773337838255489</v>
      </c>
      <c r="I835" s="10">
        <f>G835-1.96*H835</f>
        <v/>
      </c>
      <c r="J835" s="10">
        <f>G835+1.96*H835</f>
        <v/>
      </c>
      <c r="K835" s="10">
        <f>G835-F835</f>
        <v/>
      </c>
      <c r="L835" s="4">
        <f>IF(AND(F835&gt;=I835,F835&lt;=J835),1,0)</f>
        <v/>
      </c>
    </row>
    <row r="836">
      <c r="A836" s="4" t="inlineStr">
        <is>
          <t>m100_MPa</t>
        </is>
      </c>
      <c r="B836" s="4" t="inlineStr">
        <is>
          <t>G086</t>
        </is>
      </c>
      <c r="C836" s="4" t="inlineStr">
        <is>
          <t>US8367776B2</t>
        </is>
      </c>
      <c r="D836" s="4" t="inlineStr">
        <is>
          <t>Example 4</t>
        </is>
      </c>
      <c r="E836" s="4" t="inlineStr">
        <is>
          <t>dev(OOF)</t>
        </is>
      </c>
      <c r="F836" s="10" t="n">
        <v>1.33</v>
      </c>
      <c r="G836" s="10" t="n">
        <v>1.561198236267652</v>
      </c>
      <c r="H836" s="10" t="n">
        <v>1.649683832384053</v>
      </c>
      <c r="I836" s="10">
        <f>G836-1.96*H836</f>
        <v/>
      </c>
      <c r="J836" s="10">
        <f>G836+1.96*H836</f>
        <v/>
      </c>
      <c r="K836" s="10">
        <f>G836-F836</f>
        <v/>
      </c>
      <c r="L836" s="4">
        <f>IF(AND(F836&gt;=I836,F836&lt;=J836),1,0)</f>
        <v/>
      </c>
    </row>
    <row r="837">
      <c r="A837" s="4" t="inlineStr">
        <is>
          <t>m100_MPa</t>
        </is>
      </c>
      <c r="B837" s="4" t="inlineStr">
        <is>
          <t>G204</t>
        </is>
      </c>
      <c r="C837" s="4" t="inlineStr">
        <is>
          <t>US20160319102A1</t>
        </is>
      </c>
      <c r="D837" s="4" t="inlineStr">
        <is>
          <t>Comparative Example 6</t>
        </is>
      </c>
      <c r="E837" s="4" t="inlineStr">
        <is>
          <t>dev(OOF)</t>
        </is>
      </c>
      <c r="F837" s="10" t="n">
        <v>2.5</v>
      </c>
      <c r="G837" s="10" t="n">
        <v>5.608544279315971</v>
      </c>
      <c r="H837" s="10" t="n">
        <v>2.239330260812926</v>
      </c>
      <c r="I837" s="10">
        <f>G837-1.96*H837</f>
        <v/>
      </c>
      <c r="J837" s="10">
        <f>G837+1.96*H837</f>
        <v/>
      </c>
      <c r="K837" s="10">
        <f>G837-F837</f>
        <v/>
      </c>
      <c r="L837" s="4">
        <f>IF(AND(F837&gt;=I837,F837&lt;=J837),1,0)</f>
        <v/>
      </c>
    </row>
    <row r="838">
      <c r="A838" s="4" t="inlineStr">
        <is>
          <t>m100_MPa</t>
        </is>
      </c>
      <c r="B838" s="4" t="inlineStr">
        <is>
          <t>G171</t>
        </is>
      </c>
      <c r="C838" s="4" t="inlineStr">
        <is>
          <t>US20050107544A1</t>
        </is>
      </c>
      <c r="D838" s="4" t="inlineStr">
        <is>
          <t>Sample 6</t>
        </is>
      </c>
      <c r="E838" s="4" t="inlineStr">
        <is>
          <t>dev(OOF)</t>
        </is>
      </c>
      <c r="F838" s="10" t="n">
        <v>1.7</v>
      </c>
      <c r="G838" s="10" t="n">
        <v>6.559557769497094</v>
      </c>
      <c r="H838" s="10" t="n">
        <v>3.276091869743064</v>
      </c>
      <c r="I838" s="10">
        <f>G838-1.96*H838</f>
        <v/>
      </c>
      <c r="J838" s="10">
        <f>G838+1.96*H838</f>
        <v/>
      </c>
      <c r="K838" s="10">
        <f>G838-F838</f>
        <v/>
      </c>
      <c r="L838" s="4">
        <f>IF(AND(F838&gt;=I838,F838&lt;=J838),1,0)</f>
        <v/>
      </c>
    </row>
    <row r="839">
      <c r="A839" s="4" t="inlineStr">
        <is>
          <t>m100_MPa</t>
        </is>
      </c>
      <c r="B839" s="4" t="inlineStr">
        <is>
          <t>G095</t>
        </is>
      </c>
      <c r="C839" s="4" t="inlineStr">
        <is>
          <t>US8367776B2</t>
        </is>
      </c>
      <c r="D839" s="4" t="inlineStr">
        <is>
          <t>Example 13</t>
        </is>
      </c>
      <c r="E839" s="4" t="inlineStr">
        <is>
          <t>dev(OOF)</t>
        </is>
      </c>
      <c r="F839" s="10" t="n">
        <v>1.59</v>
      </c>
      <c r="G839" s="10" t="n">
        <v>1.565125973800792</v>
      </c>
      <c r="H839" s="10" t="n">
        <v>1.659790635179084</v>
      </c>
      <c r="I839" s="10">
        <f>G839-1.96*H839</f>
        <v/>
      </c>
      <c r="J839" s="10">
        <f>G839+1.96*H839</f>
        <v/>
      </c>
      <c r="K839" s="10">
        <f>G839-F839</f>
        <v/>
      </c>
      <c r="L839" s="4">
        <f>IF(AND(F839&gt;=I839,F839&lt;=J839),1,0)</f>
        <v/>
      </c>
    </row>
    <row r="840">
      <c r="A840" s="4" t="inlineStr">
        <is>
          <t>m100_MPa</t>
        </is>
      </c>
      <c r="B840" s="4" t="inlineStr">
        <is>
          <t>G108</t>
        </is>
      </c>
      <c r="C840" s="4" t="inlineStr">
        <is>
          <t>US6992143B2</t>
        </is>
      </c>
      <c r="D840" s="4" t="inlineStr">
        <is>
          <t>Control Example 2</t>
        </is>
      </c>
      <c r="E840" s="4" t="inlineStr">
        <is>
          <t>dev(OOF)</t>
        </is>
      </c>
      <c r="F840" s="10" t="n">
        <v>6.6</v>
      </c>
      <c r="G840" s="10" t="n">
        <v>6.724612588930842</v>
      </c>
      <c r="H840" s="10" t="n">
        <v>1.866964459216199</v>
      </c>
      <c r="I840" s="10">
        <f>G840-1.96*H840</f>
        <v/>
      </c>
      <c r="J840" s="10">
        <f>G840+1.96*H840</f>
        <v/>
      </c>
      <c r="K840" s="10">
        <f>G840-F840</f>
        <v/>
      </c>
      <c r="L840" s="4">
        <f>IF(AND(F840&gt;=I840,F840&lt;=J840),1,0)</f>
        <v/>
      </c>
    </row>
    <row r="841">
      <c r="A841" s="4" t="inlineStr">
        <is>
          <t>m100_MPa</t>
        </is>
      </c>
      <c r="B841" s="4" t="inlineStr">
        <is>
          <t>G260</t>
        </is>
      </c>
      <c r="C841" s="4" t="inlineStr">
        <is>
          <t>US12584054B2</t>
        </is>
      </c>
      <c r="D841" s="4" t="inlineStr">
        <is>
          <t>Example 8</t>
        </is>
      </c>
      <c r="E841" s="4" t="inlineStr">
        <is>
          <t>dev(OOF)</t>
        </is>
      </c>
      <c r="F841" s="10" t="n">
        <v>2.7</v>
      </c>
      <c r="G841" s="10" t="n">
        <v>2.929657365881864</v>
      </c>
      <c r="H841" s="10" t="n">
        <v>1.736372553469063</v>
      </c>
      <c r="I841" s="10">
        <f>G841-1.96*H841</f>
        <v/>
      </c>
      <c r="J841" s="10">
        <f>G841+1.96*H841</f>
        <v/>
      </c>
      <c r="K841" s="10">
        <f>G841-F841</f>
        <v/>
      </c>
      <c r="L841" s="4">
        <f>IF(AND(F841&gt;=I841,F841&lt;=J841),1,0)</f>
        <v/>
      </c>
    </row>
    <row r="842">
      <c r="A842" s="4" t="inlineStr">
        <is>
          <t>m100_MPa</t>
        </is>
      </c>
      <c r="B842" s="4" t="inlineStr">
        <is>
          <t>G104</t>
        </is>
      </c>
      <c r="C842" s="4" t="inlineStr">
        <is>
          <t>US7354974B2</t>
        </is>
      </c>
      <c r="D842" s="4" t="inlineStr">
        <is>
          <t>Control A</t>
        </is>
      </c>
      <c r="E842" s="4" t="inlineStr">
        <is>
          <t>dev(OOF)</t>
        </is>
      </c>
      <c r="F842" s="10" t="n">
        <v>1.5</v>
      </c>
      <c r="G842" s="10" t="n">
        <v>1.389101245232549</v>
      </c>
      <c r="H842" s="10" t="n">
        <v>1.554272136187696</v>
      </c>
      <c r="I842" s="10">
        <f>G842-1.96*H842</f>
        <v/>
      </c>
      <c r="J842" s="10">
        <f>G842+1.96*H842</f>
        <v/>
      </c>
      <c r="K842" s="10">
        <f>G842-F842</f>
        <v/>
      </c>
      <c r="L842" s="4">
        <f>IF(AND(F842&gt;=I842,F842&lt;=J842),1,0)</f>
        <v/>
      </c>
    </row>
    <row r="843">
      <c r="A843" s="4" t="inlineStr">
        <is>
          <t>m100_MPa</t>
        </is>
      </c>
      <c r="B843" s="4" t="inlineStr">
        <is>
          <t>G263</t>
        </is>
      </c>
      <c r="C843" s="4" t="inlineStr">
        <is>
          <t>US12584054B2</t>
        </is>
      </c>
      <c r="D843" s="4" t="inlineStr">
        <is>
          <t>Comparative Example 12</t>
        </is>
      </c>
      <c r="E843" s="4" t="inlineStr">
        <is>
          <t>dev(OOF)</t>
        </is>
      </c>
      <c r="F843" s="10" t="n">
        <v>2.2</v>
      </c>
      <c r="G843" s="10" t="n">
        <v>3.663175460271862</v>
      </c>
      <c r="H843" s="10" t="n">
        <v>2.602299016499024</v>
      </c>
      <c r="I843" s="10">
        <f>G843-1.96*H843</f>
        <v/>
      </c>
      <c r="J843" s="10">
        <f>G843+1.96*H843</f>
        <v/>
      </c>
      <c r="K843" s="10">
        <f>G843-F843</f>
        <v/>
      </c>
      <c r="L843" s="4">
        <f>IF(AND(F843&gt;=I843,F843&lt;=J843),1,0)</f>
        <v/>
      </c>
    </row>
    <row r="844">
      <c r="A844" s="4" t="inlineStr">
        <is>
          <t>m100_MPa</t>
        </is>
      </c>
      <c r="B844" s="4" t="inlineStr">
        <is>
          <t>G324</t>
        </is>
      </c>
      <c r="C844" s="4" t="inlineStr">
        <is>
          <t>KR101467101B1</t>
        </is>
      </c>
      <c r="D844" s="4" t="inlineStr">
        <is>
          <t>Table 2 sample 2</t>
        </is>
      </c>
      <c r="E844" s="4" t="inlineStr">
        <is>
          <t>dev(OOF)</t>
        </is>
      </c>
      <c r="F844" s="10" t="n">
        <v>1.76</v>
      </c>
      <c r="G844" s="10" t="n">
        <v>5.433295685007827</v>
      </c>
      <c r="H844" s="10" t="n">
        <v>1.767490950286661</v>
      </c>
      <c r="I844" s="10">
        <f>G844-1.96*H844</f>
        <v/>
      </c>
      <c r="J844" s="10">
        <f>G844+1.96*H844</f>
        <v/>
      </c>
      <c r="K844" s="10">
        <f>G844-F844</f>
        <v/>
      </c>
      <c r="L844" s="4">
        <f>IF(AND(F844&gt;=I844,F844&lt;=J844),1,0)</f>
        <v/>
      </c>
    </row>
    <row r="845">
      <c r="A845" s="4" t="inlineStr">
        <is>
          <t>m100_MPa</t>
        </is>
      </c>
      <c r="B845" s="4" t="inlineStr">
        <is>
          <t>G167</t>
        </is>
      </c>
      <c r="C845" s="4" t="inlineStr">
        <is>
          <t>US20050107544A1</t>
        </is>
      </c>
      <c r="D845" s="4" t="inlineStr">
        <is>
          <t>Sample 4</t>
        </is>
      </c>
      <c r="E845" s="4" t="inlineStr">
        <is>
          <t>dev(OOF)</t>
        </is>
      </c>
      <c r="F845" s="10" t="n">
        <v>2.9</v>
      </c>
      <c r="G845" s="10" t="n">
        <v>3.215639839122743</v>
      </c>
      <c r="H845" s="10" t="n">
        <v>2.407117806691689</v>
      </c>
      <c r="I845" s="10">
        <f>G845-1.96*H845</f>
        <v/>
      </c>
      <c r="J845" s="10">
        <f>G845+1.96*H845</f>
        <v/>
      </c>
      <c r="K845" s="10">
        <f>G845-F845</f>
        <v/>
      </c>
      <c r="L845" s="4">
        <f>IF(AND(F845&gt;=I845,F845&lt;=J845),1,0)</f>
        <v/>
      </c>
    </row>
    <row r="846">
      <c r="A846" s="4" t="inlineStr">
        <is>
          <t>m100_MPa</t>
        </is>
      </c>
      <c r="B846" s="4" t="inlineStr">
        <is>
          <t>G172</t>
        </is>
      </c>
      <c r="C846" s="4" t="inlineStr">
        <is>
          <t>US20050107544A1</t>
        </is>
      </c>
      <c r="D846" s="4" t="inlineStr">
        <is>
          <t>Comparative Example C</t>
        </is>
      </c>
      <c r="E846" s="4" t="inlineStr">
        <is>
          <t>dev(OOF)</t>
        </is>
      </c>
      <c r="F846" s="10" t="n">
        <v>1.6</v>
      </c>
      <c r="G846" s="10" t="n">
        <v>6.559557769497094</v>
      </c>
      <c r="H846" s="10" t="n">
        <v>3.276091869743064</v>
      </c>
      <c r="I846" s="10">
        <f>G846-1.96*H846</f>
        <v/>
      </c>
      <c r="J846" s="10">
        <f>G846+1.96*H846</f>
        <v/>
      </c>
      <c r="K846" s="10">
        <f>G846-F846</f>
        <v/>
      </c>
      <c r="L846" s="4">
        <f>IF(AND(F846&gt;=I846,F846&lt;=J846),1,0)</f>
        <v/>
      </c>
    </row>
    <row r="847">
      <c r="A847" s="4" t="inlineStr">
        <is>
          <t>m100_MPa</t>
        </is>
      </c>
      <c r="B847" s="4" t="inlineStr">
        <is>
          <t>G154</t>
        </is>
      </c>
      <c r="C847" s="4" t="inlineStr">
        <is>
          <t>US7247749B2</t>
        </is>
      </c>
      <c r="D847" s="4" t="inlineStr">
        <is>
          <t>Sample 34</t>
        </is>
      </c>
      <c r="E847" s="4" t="inlineStr">
        <is>
          <t>dev(OOF)</t>
        </is>
      </c>
      <c r="F847" s="10" t="n">
        <v>4.31</v>
      </c>
      <c r="G847" s="10" t="n">
        <v>6.839694715073171</v>
      </c>
      <c r="H847" s="10" t="n">
        <v>1.873451797392558</v>
      </c>
      <c r="I847" s="10">
        <f>G847-1.96*H847</f>
        <v/>
      </c>
      <c r="J847" s="10">
        <f>G847+1.96*H847</f>
        <v/>
      </c>
      <c r="K847" s="10">
        <f>G847-F847</f>
        <v/>
      </c>
      <c r="L847" s="4">
        <f>IF(AND(F847&gt;=I847,F847&lt;=J847),1,0)</f>
        <v/>
      </c>
    </row>
    <row r="848">
      <c r="A848" s="4" t="inlineStr">
        <is>
          <t>m100_MPa</t>
        </is>
      </c>
      <c r="B848" s="4" t="inlineStr">
        <is>
          <t>G306</t>
        </is>
      </c>
      <c r="C848" s="4" t="inlineStr">
        <is>
          <t>EP4249550A1</t>
        </is>
      </c>
      <c r="D848" s="4" t="inlineStr">
        <is>
          <t>Comparative Example 5</t>
        </is>
      </c>
      <c r="E848" s="4" t="inlineStr">
        <is>
          <t>dev(OOF)</t>
        </is>
      </c>
      <c r="F848" s="10" t="n">
        <v>1.8</v>
      </c>
      <c r="G848" s="10" t="n">
        <v>2.726621409805948</v>
      </c>
      <c r="H848" s="10" t="n">
        <v>1.984778261764932</v>
      </c>
      <c r="I848" s="10">
        <f>G848-1.96*H848</f>
        <v/>
      </c>
      <c r="J848" s="10">
        <f>G848+1.96*H848</f>
        <v/>
      </c>
      <c r="K848" s="10">
        <f>G848-F848</f>
        <v/>
      </c>
      <c r="L848" s="4">
        <f>IF(AND(F848&gt;=I848,F848&lt;=J848),1,0)</f>
        <v/>
      </c>
    </row>
    <row r="849">
      <c r="A849" s="4" t="inlineStr">
        <is>
          <t>m100_MPa</t>
        </is>
      </c>
      <c r="B849" s="4" t="inlineStr">
        <is>
          <t>G106</t>
        </is>
      </c>
      <c r="C849" s="4" t="inlineStr">
        <is>
          <t>US7354974B2</t>
        </is>
      </c>
      <c r="D849" s="4" t="inlineStr">
        <is>
          <t>Control D</t>
        </is>
      </c>
      <c r="E849" s="4" t="inlineStr">
        <is>
          <t>dev(OOF)</t>
        </is>
      </c>
      <c r="F849" s="10" t="n">
        <v>5.4</v>
      </c>
      <c r="G849" s="10" t="n">
        <v>4.840160172630404</v>
      </c>
      <c r="H849" s="10" t="n">
        <v>1.814586925851113</v>
      </c>
      <c r="I849" s="10">
        <f>G849-1.96*H849</f>
        <v/>
      </c>
      <c r="J849" s="10">
        <f>G849+1.96*H849</f>
        <v/>
      </c>
      <c r="K849" s="10">
        <f>G849-F849</f>
        <v/>
      </c>
      <c r="L849" s="4">
        <f>IF(AND(F849&gt;=I849,F849&lt;=J849),1,0)</f>
        <v/>
      </c>
    </row>
    <row r="850">
      <c r="A850" s="4" t="inlineStr">
        <is>
          <t>m100_MPa</t>
        </is>
      </c>
      <c r="B850" s="4" t="inlineStr">
        <is>
          <t>G193</t>
        </is>
      </c>
      <c r="C850" s="4" t="inlineStr">
        <is>
          <t>US20160319102A1</t>
        </is>
      </c>
      <c r="D850" s="4" t="inlineStr">
        <is>
          <t>Example 4</t>
        </is>
      </c>
      <c r="E850" s="4" t="inlineStr">
        <is>
          <t>dev(OOF)</t>
        </is>
      </c>
      <c r="F850" s="10" t="n">
        <v>5.7</v>
      </c>
      <c r="G850" s="10" t="n">
        <v>4.285626792904234</v>
      </c>
      <c r="H850" s="10" t="n">
        <v>1.864472197049384</v>
      </c>
      <c r="I850" s="10">
        <f>G850-1.96*H850</f>
        <v/>
      </c>
      <c r="J850" s="10">
        <f>G850+1.96*H850</f>
        <v/>
      </c>
      <c r="K850" s="10">
        <f>G850-F850</f>
        <v/>
      </c>
      <c r="L850" s="4">
        <f>IF(AND(F850&gt;=I850,F850&lt;=J850),1,0)</f>
        <v/>
      </c>
    </row>
    <row r="851">
      <c r="A851" s="4" t="inlineStr">
        <is>
          <t>m100_MPa</t>
        </is>
      </c>
      <c r="B851" s="4" t="inlineStr">
        <is>
          <t>G255</t>
        </is>
      </c>
      <c r="C851" s="4" t="inlineStr">
        <is>
          <t>US12584054B2</t>
        </is>
      </c>
      <c r="D851" s="4" t="inlineStr">
        <is>
          <t>Comparative Example 7</t>
        </is>
      </c>
      <c r="E851" s="4" t="inlineStr">
        <is>
          <t>dev(OOF)</t>
        </is>
      </c>
      <c r="F851" s="10" t="n">
        <v>2.3</v>
      </c>
      <c r="G851" s="10" t="n">
        <v>2.213951610505902</v>
      </c>
      <c r="H851" s="10" t="n">
        <v>1.836120691309964</v>
      </c>
      <c r="I851" s="10">
        <f>G851-1.96*H851</f>
        <v/>
      </c>
      <c r="J851" s="10">
        <f>G851+1.96*H851</f>
        <v/>
      </c>
      <c r="K851" s="10">
        <f>G851-F851</f>
        <v/>
      </c>
      <c r="L851" s="4">
        <f>IF(AND(F851&gt;=I851,F851&lt;=J851),1,0)</f>
        <v/>
      </c>
    </row>
    <row r="852">
      <c r="A852" s="4" t="inlineStr">
        <is>
          <t>m100_MPa</t>
        </is>
      </c>
      <c r="B852" s="4" t="inlineStr">
        <is>
          <t>G087</t>
        </is>
      </c>
      <c r="C852" s="4" t="inlineStr">
        <is>
          <t>US8367776B2</t>
        </is>
      </c>
      <c r="D852" s="4" t="inlineStr">
        <is>
          <t>Example 5</t>
        </is>
      </c>
      <c r="E852" s="4" t="inlineStr">
        <is>
          <t>dev(OOF)</t>
        </is>
      </c>
      <c r="F852" s="10" t="n">
        <v>1.49</v>
      </c>
      <c r="G852" s="10" t="n">
        <v>1.577297484039053</v>
      </c>
      <c r="H852" s="10" t="n">
        <v>1.609757935541564</v>
      </c>
      <c r="I852" s="10">
        <f>G852-1.96*H852</f>
        <v/>
      </c>
      <c r="J852" s="10">
        <f>G852+1.96*H852</f>
        <v/>
      </c>
      <c r="K852" s="10">
        <f>G852-F852</f>
        <v/>
      </c>
      <c r="L852" s="4">
        <f>IF(AND(F852&gt;=I852,F852&lt;=J852),1,0)</f>
        <v/>
      </c>
    </row>
    <row r="853">
      <c r="A853" s="4" t="inlineStr">
        <is>
          <t>m100_MPa</t>
        </is>
      </c>
      <c r="B853" s="4" t="inlineStr">
        <is>
          <t>G308</t>
        </is>
      </c>
      <c r="C853" s="4" t="inlineStr">
        <is>
          <t>EP4249550A1</t>
        </is>
      </c>
      <c r="D853" s="4" t="inlineStr">
        <is>
          <t>Comparative Example 7</t>
        </is>
      </c>
      <c r="E853" s="4" t="inlineStr">
        <is>
          <t>dev(OOF)</t>
        </is>
      </c>
      <c r="F853" s="10" t="n">
        <v>1.4</v>
      </c>
      <c r="G853" s="10" t="n">
        <v>2.555282840484084</v>
      </c>
      <c r="H853" s="10" t="n">
        <v>2.250771784094804</v>
      </c>
      <c r="I853" s="10">
        <f>G853-1.96*H853</f>
        <v/>
      </c>
      <c r="J853" s="10">
        <f>G853+1.96*H853</f>
        <v/>
      </c>
      <c r="K853" s="10">
        <f>G853-F853</f>
        <v/>
      </c>
      <c r="L853" s="4">
        <f>IF(AND(F853&gt;=I853,F853&lt;=J853),1,0)</f>
        <v/>
      </c>
    </row>
    <row r="854">
      <c r="A854" s="4" t="inlineStr">
        <is>
          <t>m100_MPa</t>
        </is>
      </c>
      <c r="B854" s="4" t="inlineStr">
        <is>
          <t>G044</t>
        </is>
      </c>
      <c r="C854" s="4" t="inlineStr">
        <is>
          <t>US8211964B2</t>
        </is>
      </c>
      <c r="D854" s="4" t="inlineStr">
        <is>
          <t>Example 3</t>
        </is>
      </c>
      <c r="E854" s="4" t="inlineStr">
        <is>
          <t>dev(OOF)</t>
        </is>
      </c>
      <c r="F854" s="10" t="n">
        <v>1.37</v>
      </c>
      <c r="G854" s="10" t="n">
        <v>1.422928197049758</v>
      </c>
      <c r="H854" s="10" t="n">
        <v>1.720750313703294</v>
      </c>
      <c r="I854" s="10">
        <f>G854-1.96*H854</f>
        <v/>
      </c>
      <c r="J854" s="10">
        <f>G854+1.96*H854</f>
        <v/>
      </c>
      <c r="K854" s="10">
        <f>G854-F854</f>
        <v/>
      </c>
      <c r="L854" s="4">
        <f>IF(AND(F854&gt;=I854,F854&lt;=J854),1,0)</f>
        <v/>
      </c>
    </row>
    <row r="855">
      <c r="A855" s="4" t="inlineStr">
        <is>
          <t>m100_MPa</t>
        </is>
      </c>
      <c r="B855" s="4" t="inlineStr">
        <is>
          <t>G007</t>
        </is>
      </c>
      <c r="C855" s="4" t="inlineStr">
        <is>
          <t>US7678858B2</t>
        </is>
      </c>
      <c r="D855" s="4" t="inlineStr">
        <is>
          <t>Example 7</t>
        </is>
      </c>
      <c r="E855" s="4" t="inlineStr">
        <is>
          <t>dev(OOF)</t>
        </is>
      </c>
      <c r="F855" s="10" t="n">
        <v>5.98</v>
      </c>
      <c r="G855" s="10" t="n">
        <v>9.034609816293097</v>
      </c>
      <c r="H855" s="10" t="n">
        <v>1.724151062426846</v>
      </c>
      <c r="I855" s="10">
        <f>G855-1.96*H855</f>
        <v/>
      </c>
      <c r="J855" s="10">
        <f>G855+1.96*H855</f>
        <v/>
      </c>
      <c r="K855" s="10">
        <f>G855-F855</f>
        <v/>
      </c>
      <c r="L855" s="4">
        <f>IF(AND(F855&gt;=I855,F855&lt;=J855),1,0)</f>
        <v/>
      </c>
    </row>
    <row r="856">
      <c r="A856" s="4" t="inlineStr">
        <is>
          <t>m100_MPa</t>
        </is>
      </c>
      <c r="B856" s="4" t="inlineStr">
        <is>
          <t>G270</t>
        </is>
      </c>
      <c r="C856" s="4" t="inlineStr">
        <is>
          <t>US20230174763A1</t>
        </is>
      </c>
      <c r="D856" s="4" t="inlineStr">
        <is>
          <t>Comparative Example 6</t>
        </is>
      </c>
      <c r="E856" s="4" t="inlineStr">
        <is>
          <t>dev(OOF)</t>
        </is>
      </c>
      <c r="F856" s="10" t="n">
        <v>3.7</v>
      </c>
      <c r="G856" s="10" t="n">
        <v>3.714756655022774</v>
      </c>
      <c r="H856" s="10" t="n">
        <v>2.285315444333315</v>
      </c>
      <c r="I856" s="10">
        <f>G856-1.96*H856</f>
        <v/>
      </c>
      <c r="J856" s="10">
        <f>G856+1.96*H856</f>
        <v/>
      </c>
      <c r="K856" s="10">
        <f>G856-F856</f>
        <v/>
      </c>
      <c r="L856" s="4">
        <f>IF(AND(F856&gt;=I856,F856&lt;=J856),1,0)</f>
        <v/>
      </c>
    </row>
    <row r="857">
      <c r="A857" s="4" t="inlineStr">
        <is>
          <t>m100_MPa</t>
        </is>
      </c>
      <c r="B857" s="4" t="inlineStr">
        <is>
          <t>G003</t>
        </is>
      </c>
      <c r="C857" s="4" t="inlineStr">
        <is>
          <t>US7678858B2</t>
        </is>
      </c>
      <c r="D857" s="4" t="inlineStr">
        <is>
          <t>Example 3</t>
        </is>
      </c>
      <c r="E857" s="4" t="inlineStr">
        <is>
          <t>dev(OOF)</t>
        </is>
      </c>
      <c r="F857" s="10" t="n">
        <v>9.119999999999999</v>
      </c>
      <c r="G857" s="10" t="n">
        <v>9.034609816293097</v>
      </c>
      <c r="H857" s="10" t="n">
        <v>1.724151062426846</v>
      </c>
      <c r="I857" s="10">
        <f>G857-1.96*H857</f>
        <v/>
      </c>
      <c r="J857" s="10">
        <f>G857+1.96*H857</f>
        <v/>
      </c>
      <c r="K857" s="10">
        <f>G857-F857</f>
        <v/>
      </c>
      <c r="L857" s="4">
        <f>IF(AND(F857&gt;=I857,F857&lt;=J857),1,0)</f>
        <v/>
      </c>
    </row>
    <row r="858">
      <c r="A858" s="4" t="inlineStr">
        <is>
          <t>m100_MPa</t>
        </is>
      </c>
      <c r="B858" s="4" t="inlineStr">
        <is>
          <t>G120</t>
        </is>
      </c>
      <c r="C858" s="4" t="inlineStr">
        <is>
          <t>US5696189A</t>
        </is>
      </c>
      <c r="D858" s="4" t="inlineStr">
        <is>
          <t>Example 3</t>
        </is>
      </c>
      <c r="E858" s="4" t="inlineStr">
        <is>
          <t>dev(OOF)</t>
        </is>
      </c>
      <c r="F858" s="10" t="n">
        <v>4.69</v>
      </c>
      <c r="G858" s="10" t="n">
        <v>4.75448346821238</v>
      </c>
      <c r="H858" s="10" t="n">
        <v>3.497540712316614</v>
      </c>
      <c r="I858" s="10">
        <f>G858-1.96*H858</f>
        <v/>
      </c>
      <c r="J858" s="10">
        <f>G858+1.96*H858</f>
        <v/>
      </c>
      <c r="K858" s="10">
        <f>G858-F858</f>
        <v/>
      </c>
      <c r="L858" s="4">
        <f>IF(AND(F858&gt;=I858,F858&lt;=J858),1,0)</f>
        <v/>
      </c>
    </row>
    <row r="859">
      <c r="A859" s="4" t="inlineStr">
        <is>
          <t>m100_MPa</t>
        </is>
      </c>
      <c r="B859" s="4" t="inlineStr">
        <is>
          <t>G160</t>
        </is>
      </c>
      <c r="C859" s="4" t="inlineStr">
        <is>
          <t>US6956085B2</t>
        </is>
      </c>
      <c r="D859" s="4" t="inlineStr">
        <is>
          <t>Example 3</t>
        </is>
      </c>
      <c r="E859" s="4" t="inlineStr">
        <is>
          <t>dev(OOF)</t>
        </is>
      </c>
      <c r="F859" s="10" t="n">
        <v>7.58</v>
      </c>
      <c r="G859" s="10" t="n">
        <v>8.557687425662554</v>
      </c>
      <c r="H859" s="10" t="n">
        <v>2.413912854765926</v>
      </c>
      <c r="I859" s="10">
        <f>G859-1.96*H859</f>
        <v/>
      </c>
      <c r="J859" s="10">
        <f>G859+1.96*H859</f>
        <v/>
      </c>
      <c r="K859" s="10">
        <f>G859-F859</f>
        <v/>
      </c>
      <c r="L859" s="4">
        <f>IF(AND(F859&gt;=I859,F859&lt;=J859),1,0)</f>
        <v/>
      </c>
    </row>
    <row r="860">
      <c r="A860" s="4" t="inlineStr">
        <is>
          <t>m100_MPa</t>
        </is>
      </c>
      <c r="B860" s="4" t="inlineStr">
        <is>
          <t>G005</t>
        </is>
      </c>
      <c r="C860" s="4" t="inlineStr">
        <is>
          <t>US7678858B2</t>
        </is>
      </c>
      <c r="D860" s="4" t="inlineStr">
        <is>
          <t>Example 5</t>
        </is>
      </c>
      <c r="E860" s="4" t="inlineStr">
        <is>
          <t>dev(OOF)</t>
        </is>
      </c>
      <c r="F860" s="10" t="n">
        <v>9.119999999999999</v>
      </c>
      <c r="G860" s="10" t="n">
        <v>8.842185154717333</v>
      </c>
      <c r="H860" s="10" t="n">
        <v>1.486813394715251</v>
      </c>
      <c r="I860" s="10">
        <f>G860-1.96*H860</f>
        <v/>
      </c>
      <c r="J860" s="10">
        <f>G860+1.96*H860</f>
        <v/>
      </c>
      <c r="K860" s="10">
        <f>G860-F860</f>
        <v/>
      </c>
      <c r="L860" s="4">
        <f>IF(AND(F860&gt;=I860,F860&lt;=J860),1,0)</f>
        <v/>
      </c>
    </row>
    <row r="861">
      <c r="A861" s="4" t="inlineStr">
        <is>
          <t>m100_MPa</t>
        </is>
      </c>
      <c r="B861" s="4" t="inlineStr">
        <is>
          <t>G159</t>
        </is>
      </c>
      <c r="C861" s="4" t="inlineStr">
        <is>
          <t>US6956085B2</t>
        </is>
      </c>
      <c r="D861" s="4" t="inlineStr">
        <is>
          <t>Example 2</t>
        </is>
      </c>
      <c r="E861" s="4" t="inlineStr">
        <is>
          <t>dev(OOF)</t>
        </is>
      </c>
      <c r="F861" s="10" t="n">
        <v>8.27</v>
      </c>
      <c r="G861" s="10" t="n">
        <v>8.617292867645048</v>
      </c>
      <c r="H861" s="10" t="n">
        <v>2.20283286415586</v>
      </c>
      <c r="I861" s="10">
        <f>G861-1.96*H861</f>
        <v/>
      </c>
      <c r="J861" s="10">
        <f>G861+1.96*H861</f>
        <v/>
      </c>
      <c r="K861" s="10">
        <f>G861-F861</f>
        <v/>
      </c>
      <c r="L861" s="4">
        <f>IF(AND(F861&gt;=I861,F861&lt;=J861),1,0)</f>
        <v/>
      </c>
    </row>
    <row r="862">
      <c r="A862" s="4" t="inlineStr">
        <is>
          <t>m100_MPa</t>
        </is>
      </c>
      <c r="B862" s="4" t="inlineStr">
        <is>
          <t>G289</t>
        </is>
      </c>
      <c r="C862" s="4" t="inlineStr">
        <is>
          <t>US20230365800A1</t>
        </is>
      </c>
      <c r="D862" s="4" t="inlineStr">
        <is>
          <t>Example 11</t>
        </is>
      </c>
      <c r="E862" s="4" t="inlineStr">
        <is>
          <t>dev(OOF)</t>
        </is>
      </c>
      <c r="F862" s="10" t="n">
        <v>6.1</v>
      </c>
      <c r="G862" s="10" t="n">
        <v>4.339716681939216</v>
      </c>
      <c r="H862" s="10" t="n">
        <v>1.665676086028453</v>
      </c>
      <c r="I862" s="10">
        <f>G862-1.96*H862</f>
        <v/>
      </c>
      <c r="J862" s="10">
        <f>G862+1.96*H862</f>
        <v/>
      </c>
      <c r="K862" s="10">
        <f>G862-F862</f>
        <v/>
      </c>
      <c r="L862" s="4">
        <f>IF(AND(F862&gt;=I862,F862&lt;=J862),1,0)</f>
        <v/>
      </c>
    </row>
    <row r="863">
      <c r="A863" s="4" t="inlineStr">
        <is>
          <t>m100_MPa</t>
        </is>
      </c>
      <c r="B863" s="4" t="inlineStr">
        <is>
          <t>G137</t>
        </is>
      </c>
      <c r="C863" s="4" t="inlineStr">
        <is>
          <t>US7247749B2</t>
        </is>
      </c>
      <c r="D863" s="4" t="inlineStr">
        <is>
          <t>Sample 13</t>
        </is>
      </c>
      <c r="E863" s="4" t="inlineStr">
        <is>
          <t>dev(OOF)</t>
        </is>
      </c>
      <c r="F863" s="10" t="n">
        <v>2.46</v>
      </c>
      <c r="G863" s="10" t="n">
        <v>5.354690705828029</v>
      </c>
      <c r="H863" s="10" t="n">
        <v>2.178925508738275</v>
      </c>
      <c r="I863" s="10">
        <f>G863-1.96*H863</f>
        <v/>
      </c>
      <c r="J863" s="10">
        <f>G863+1.96*H863</f>
        <v/>
      </c>
      <c r="K863" s="10">
        <f>G863-F863</f>
        <v/>
      </c>
      <c r="L863" s="4">
        <f>IF(AND(F863&gt;=I863,F863&lt;=J863),1,0)</f>
        <v/>
      </c>
    </row>
    <row r="864">
      <c r="A864" s="4" t="inlineStr">
        <is>
          <t>m100_MPa</t>
        </is>
      </c>
      <c r="B864" s="4" t="inlineStr">
        <is>
          <t>G249</t>
        </is>
      </c>
      <c r="C864" s="4" t="inlineStr">
        <is>
          <t>US12584054B2</t>
        </is>
      </c>
      <c r="D864" s="4" t="inlineStr">
        <is>
          <t>Comparative Example 1</t>
        </is>
      </c>
      <c r="E864" s="4" t="inlineStr">
        <is>
          <t>dev(OOF)</t>
        </is>
      </c>
      <c r="F864" s="10" t="n">
        <v>1.3</v>
      </c>
      <c r="G864" s="10" t="n">
        <v>1.463012071878918</v>
      </c>
      <c r="H864" s="10" t="n">
        <v>1.685159442164803</v>
      </c>
      <c r="I864" s="10">
        <f>G864-1.96*H864</f>
        <v/>
      </c>
      <c r="J864" s="10">
        <f>G864+1.96*H864</f>
        <v/>
      </c>
      <c r="K864" s="10">
        <f>G864-F864</f>
        <v/>
      </c>
      <c r="L864" s="4">
        <f>IF(AND(F864&gt;=I864,F864&lt;=J864),1,0)</f>
        <v/>
      </c>
    </row>
    <row r="865">
      <c r="A865" s="4" t="inlineStr">
        <is>
          <t>m100_MPa</t>
        </is>
      </c>
      <c r="B865" s="4" t="inlineStr">
        <is>
          <t>G163</t>
        </is>
      </c>
      <c r="C865" s="4" t="inlineStr">
        <is>
          <t>US6956085B2</t>
        </is>
      </c>
      <c r="D865" s="4" t="inlineStr">
        <is>
          <t>Example 6</t>
        </is>
      </c>
      <c r="E865" s="4" t="inlineStr">
        <is>
          <t>dev(OOF)</t>
        </is>
      </c>
      <c r="F865" s="10" t="n">
        <v>4.14</v>
      </c>
      <c r="G865" s="10" t="n">
        <v>6.271699486211466</v>
      </c>
      <c r="H865" s="10" t="n">
        <v>1.96571508839522</v>
      </c>
      <c r="I865" s="10">
        <f>G865-1.96*H865</f>
        <v/>
      </c>
      <c r="J865" s="10">
        <f>G865+1.96*H865</f>
        <v/>
      </c>
      <c r="K865" s="10">
        <f>G865-F865</f>
        <v/>
      </c>
      <c r="L865" s="4">
        <f>IF(AND(F865&gt;=I865,F865&lt;=J865),1,0)</f>
        <v/>
      </c>
    </row>
    <row r="866">
      <c r="A866" s="4" t="inlineStr">
        <is>
          <t>m100_MPa</t>
        </is>
      </c>
      <c r="B866" s="4" t="inlineStr">
        <is>
          <t>G118</t>
        </is>
      </c>
      <c r="C866" s="4" t="inlineStr">
        <is>
          <t>US5696189A</t>
        </is>
      </c>
      <c r="D866" s="4" t="inlineStr">
        <is>
          <t>Example 1</t>
        </is>
      </c>
      <c r="E866" s="4" t="inlineStr">
        <is>
          <t>dev(OOF)</t>
        </is>
      </c>
      <c r="F866" s="10" t="n">
        <v>3.57</v>
      </c>
      <c r="G866" s="10" t="n">
        <v>6.241272024175392</v>
      </c>
      <c r="H866" s="10" t="n">
        <v>3.114596406535275</v>
      </c>
      <c r="I866" s="10">
        <f>G866-1.96*H866</f>
        <v/>
      </c>
      <c r="J866" s="10">
        <f>G866+1.96*H866</f>
        <v/>
      </c>
      <c r="K866" s="10">
        <f>G866-F866</f>
        <v/>
      </c>
      <c r="L866" s="4">
        <f>IF(AND(F866&gt;=I866,F866&lt;=J866),1,0)</f>
        <v/>
      </c>
    </row>
    <row r="867">
      <c r="A867" s="4" t="inlineStr">
        <is>
          <t>m100_MPa</t>
        </is>
      </c>
      <c r="B867" s="4" t="inlineStr">
        <is>
          <t>G082</t>
        </is>
      </c>
      <c r="C867" s="4" t="inlineStr">
        <is>
          <t>US12304984B2</t>
        </is>
      </c>
      <c r="D867" s="4" t="inlineStr">
        <is>
          <t>Example 2</t>
        </is>
      </c>
      <c r="E867" s="4" t="inlineStr">
        <is>
          <t>dev(OOF)</t>
        </is>
      </c>
      <c r="F867" s="10" t="n">
        <v>9.9</v>
      </c>
      <c r="G867" s="10" t="n">
        <v>3.836506501767389</v>
      </c>
      <c r="H867" s="10" t="n">
        <v>2.827369352847244</v>
      </c>
      <c r="I867" s="10">
        <f>G867-1.96*H867</f>
        <v/>
      </c>
      <c r="J867" s="10">
        <f>G867+1.96*H867</f>
        <v/>
      </c>
      <c r="K867" s="10">
        <f>G867-F867</f>
        <v/>
      </c>
      <c r="L867" s="4">
        <f>IF(AND(F867&gt;=I867,F867&lt;=J867),1,0)</f>
        <v/>
      </c>
    </row>
    <row r="868">
      <c r="A868" s="4" t="inlineStr">
        <is>
          <t>m100_MPa</t>
        </is>
      </c>
      <c r="B868" s="4" t="inlineStr">
        <is>
          <t>G161</t>
        </is>
      </c>
      <c r="C868" s="4" t="inlineStr">
        <is>
          <t>US6956085B2</t>
        </is>
      </c>
      <c r="D868" s="4" t="inlineStr">
        <is>
          <t>Example 4</t>
        </is>
      </c>
      <c r="E868" s="4" t="inlineStr">
        <is>
          <t>dev(OOF)</t>
        </is>
      </c>
      <c r="F868" s="10" t="n">
        <v>9.449999999999999</v>
      </c>
      <c r="G868" s="10" t="n">
        <v>7.39464942766482</v>
      </c>
      <c r="H868" s="10" t="n">
        <v>1.887854853700654</v>
      </c>
      <c r="I868" s="10">
        <f>G868-1.96*H868</f>
        <v/>
      </c>
      <c r="J868" s="10">
        <f>G868+1.96*H868</f>
        <v/>
      </c>
      <c r="K868" s="10">
        <f>G868-F868</f>
        <v/>
      </c>
      <c r="L868" s="4">
        <f>IF(AND(F868&gt;=I868,F868&lt;=J868),1,0)</f>
        <v/>
      </c>
    </row>
    <row r="869">
      <c r="A869" s="4" t="inlineStr">
        <is>
          <t>m100_MPa</t>
        </is>
      </c>
      <c r="B869" s="4" t="inlineStr">
        <is>
          <t>G020</t>
        </is>
      </c>
      <c r="C869" s="4" t="inlineStr">
        <is>
          <t>US7678858B2</t>
        </is>
      </c>
      <c r="D869" s="4" t="inlineStr">
        <is>
          <t>Example 19</t>
        </is>
      </c>
      <c r="E869" s="4" t="inlineStr">
        <is>
          <t>dev(OOF)</t>
        </is>
      </c>
      <c r="F869" s="10" t="n">
        <v>13.93</v>
      </c>
      <c r="G869" s="10" t="n">
        <v>14.33866096690267</v>
      </c>
      <c r="H869" s="10" t="n">
        <v>1.854098363880381</v>
      </c>
      <c r="I869" s="10">
        <f>G869-1.96*H869</f>
        <v/>
      </c>
      <c r="J869" s="10">
        <f>G869+1.96*H869</f>
        <v/>
      </c>
      <c r="K869" s="10">
        <f>G869-F869</f>
        <v/>
      </c>
      <c r="L869" s="4">
        <f>IF(AND(F869&gt;=I869,F869&lt;=J869),1,0)</f>
        <v/>
      </c>
    </row>
    <row r="870">
      <c r="A870" s="4" t="inlineStr">
        <is>
          <t>m100_MPa</t>
        </is>
      </c>
      <c r="B870" s="4" t="inlineStr">
        <is>
          <t>G271</t>
        </is>
      </c>
      <c r="C870" s="4" t="inlineStr">
        <is>
          <t>US20230174763A1</t>
        </is>
      </c>
      <c r="D870" s="4" t="inlineStr">
        <is>
          <t>Comparative Example 7</t>
        </is>
      </c>
      <c r="E870" s="4" t="inlineStr">
        <is>
          <t>dev(OOF)</t>
        </is>
      </c>
      <c r="F870" s="10" t="n">
        <v>8.4</v>
      </c>
      <c r="G870" s="10" t="n">
        <v>7.209617759234009</v>
      </c>
      <c r="H870" s="10" t="n">
        <v>2.252036661743103</v>
      </c>
      <c r="I870" s="10">
        <f>G870-1.96*H870</f>
        <v/>
      </c>
      <c r="J870" s="10">
        <f>G870+1.96*H870</f>
        <v/>
      </c>
      <c r="K870" s="10">
        <f>G870-F870</f>
        <v/>
      </c>
      <c r="L870" s="4">
        <f>IF(AND(F870&gt;=I870,F870&lt;=J870),1,0)</f>
        <v/>
      </c>
    </row>
    <row r="871">
      <c r="A871" s="4" t="inlineStr">
        <is>
          <t>m100_MPa</t>
        </is>
      </c>
      <c r="B871" s="4" t="inlineStr">
        <is>
          <t>G028</t>
        </is>
      </c>
      <c r="C871" s="4" t="inlineStr">
        <is>
          <t>US6803402B2</t>
        </is>
      </c>
      <c r="D871" s="4" t="inlineStr">
        <is>
          <t>Comparative Example 3</t>
        </is>
      </c>
      <c r="E871" s="4" t="inlineStr">
        <is>
          <t>dev(OOF)</t>
        </is>
      </c>
      <c r="F871" s="10" t="n">
        <v>5.88</v>
      </c>
      <c r="G871" s="10" t="n">
        <v>5.617605261761948</v>
      </c>
      <c r="H871" s="10" t="n">
        <v>3.245367666783636</v>
      </c>
      <c r="I871" s="10">
        <f>G871-1.96*H871</f>
        <v/>
      </c>
      <c r="J871" s="10">
        <f>G871+1.96*H871</f>
        <v/>
      </c>
      <c r="K871" s="10">
        <f>G871-F871</f>
        <v/>
      </c>
      <c r="L871" s="4">
        <f>IF(AND(F871&gt;=I871,F871&lt;=J871),1,0)</f>
        <v/>
      </c>
    </row>
    <row r="872">
      <c r="A872" s="4" t="inlineStr">
        <is>
          <t>m100_MPa</t>
        </is>
      </c>
      <c r="B872" s="4" t="inlineStr">
        <is>
          <t>G036</t>
        </is>
      </c>
      <c r="C872" s="4" t="inlineStr">
        <is>
          <t>US8173727B2</t>
        </is>
      </c>
      <c r="D872" s="4" t="inlineStr">
        <is>
          <t>Example 8</t>
        </is>
      </c>
      <c r="E872" s="4" t="inlineStr">
        <is>
          <t>dev(OOF)</t>
        </is>
      </c>
      <c r="F872" s="10" t="n">
        <v>2.94</v>
      </c>
      <c r="G872" s="10" t="n">
        <v>4.090051975437666</v>
      </c>
      <c r="H872" s="10" t="n">
        <v>2.513409974032088</v>
      </c>
      <c r="I872" s="10">
        <f>G872-1.96*H872</f>
        <v/>
      </c>
      <c r="J872" s="10">
        <f>G872+1.96*H872</f>
        <v/>
      </c>
      <c r="K872" s="10">
        <f>G872-F872</f>
        <v/>
      </c>
      <c r="L872" s="4">
        <f>IF(AND(F872&gt;=I872,F872&lt;=J872),1,0)</f>
        <v/>
      </c>
    </row>
    <row r="873">
      <c r="A873" s="4" t="inlineStr">
        <is>
          <t>m100_MPa</t>
        </is>
      </c>
      <c r="B873" s="4" t="inlineStr">
        <is>
          <t>G155</t>
        </is>
      </c>
      <c r="C873" s="4" t="inlineStr">
        <is>
          <t>US7402630B2</t>
        </is>
      </c>
      <c r="D873" s="4" t="inlineStr">
        <is>
          <t>Example 7</t>
        </is>
      </c>
      <c r="E873" s="4" t="inlineStr">
        <is>
          <t>dev(OOF)</t>
        </is>
      </c>
      <c r="F873" s="10" t="n">
        <v>9</v>
      </c>
      <c r="G873" s="10" t="n">
        <v>8.285485525314069</v>
      </c>
      <c r="H873" s="10" t="n">
        <v>1.968707260575085</v>
      </c>
      <c r="I873" s="10">
        <f>G873-1.96*H873</f>
        <v/>
      </c>
      <c r="J873" s="10">
        <f>G873+1.96*H873</f>
        <v/>
      </c>
      <c r="K873" s="10">
        <f>G873-F873</f>
        <v/>
      </c>
      <c r="L873" s="4">
        <f>IF(AND(F873&gt;=I873,F873&lt;=J873),1,0)</f>
        <v/>
      </c>
    </row>
    <row r="874">
      <c r="A874" s="4" t="inlineStr">
        <is>
          <t>m100_MPa</t>
        </is>
      </c>
      <c r="B874" s="4" t="inlineStr">
        <is>
          <t>G273</t>
        </is>
      </c>
      <c r="C874" s="4" t="inlineStr">
        <is>
          <t>US20230174763A1</t>
        </is>
      </c>
      <c r="D874" s="4" t="inlineStr">
        <is>
          <t>Example 6</t>
        </is>
      </c>
      <c r="E874" s="4" t="inlineStr">
        <is>
          <t>dev(OOF)</t>
        </is>
      </c>
      <c r="F874" s="10" t="n">
        <v>5.6</v>
      </c>
      <c r="G874" s="10" t="n">
        <v>7.146916470127263</v>
      </c>
      <c r="H874" s="10" t="n">
        <v>2.968951530344648</v>
      </c>
      <c r="I874" s="10">
        <f>G874-1.96*H874</f>
        <v/>
      </c>
      <c r="J874" s="10">
        <f>G874+1.96*H874</f>
        <v/>
      </c>
      <c r="K874" s="10">
        <f>G874-F874</f>
        <v/>
      </c>
      <c r="L874" s="4">
        <f>IF(AND(F874&gt;=I874,F874&lt;=J874),1,0)</f>
        <v/>
      </c>
    </row>
    <row r="875">
      <c r="A875" s="4" t="inlineStr">
        <is>
          <t>m100_MPa</t>
        </is>
      </c>
      <c r="B875" s="4" t="inlineStr">
        <is>
          <t>G115</t>
        </is>
      </c>
      <c r="C875" s="4" t="inlineStr">
        <is>
          <t>US6992143B2</t>
        </is>
      </c>
      <c r="D875" s="4" t="inlineStr">
        <is>
          <t>Comparative Example B</t>
        </is>
      </c>
      <c r="E875" s="4" t="inlineStr">
        <is>
          <t>dev(OOF)</t>
        </is>
      </c>
      <c r="F875" s="10" t="n">
        <v>4.2</v>
      </c>
      <c r="G875" s="10" t="n">
        <v>3.233484149827319</v>
      </c>
      <c r="H875" s="10" t="n">
        <v>2.027741336277126</v>
      </c>
      <c r="I875" s="10">
        <f>G875-1.96*H875</f>
        <v/>
      </c>
      <c r="J875" s="10">
        <f>G875+1.96*H875</f>
        <v/>
      </c>
      <c r="K875" s="10">
        <f>G875-F875</f>
        <v/>
      </c>
      <c r="L875" s="4">
        <f>IF(AND(F875&gt;=I875,F875&lt;=J875),1,0)</f>
        <v/>
      </c>
    </row>
    <row r="876">
      <c r="A876" s="4" t="inlineStr">
        <is>
          <t>m100_MPa</t>
        </is>
      </c>
      <c r="B876" s="4" t="inlineStr">
        <is>
          <t>G093</t>
        </is>
      </c>
      <c r="C876" s="4" t="inlineStr">
        <is>
          <t>US8367776B2</t>
        </is>
      </c>
      <c r="D876" s="4" t="inlineStr">
        <is>
          <t>Example 11</t>
        </is>
      </c>
      <c r="E876" s="4" t="inlineStr">
        <is>
          <t>dev(OOF)</t>
        </is>
      </c>
      <c r="F876" s="10" t="n">
        <v>1.37</v>
      </c>
      <c r="G876" s="10" t="n">
        <v>1.541217081435422</v>
      </c>
      <c r="H876" s="10" t="n">
        <v>1.658395531406305</v>
      </c>
      <c r="I876" s="10">
        <f>G876-1.96*H876</f>
        <v/>
      </c>
      <c r="J876" s="10">
        <f>G876+1.96*H876</f>
        <v/>
      </c>
      <c r="K876" s="10">
        <f>G876-F876</f>
        <v/>
      </c>
      <c r="L876" s="4">
        <f>IF(AND(F876&gt;=I876,F876&lt;=J876),1,0)</f>
        <v/>
      </c>
    </row>
    <row r="877">
      <c r="A877" s="4" t="inlineStr">
        <is>
          <t>m100_MPa</t>
        </is>
      </c>
      <c r="B877" s="4" t="inlineStr">
        <is>
          <t>G070</t>
        </is>
      </c>
      <c r="C877" s="4" t="inlineStr">
        <is>
          <t>US11072700B2</t>
        </is>
      </c>
      <c r="D877" s="4" t="inlineStr">
        <is>
          <t>Comparative Example 1</t>
        </is>
      </c>
      <c r="E877" s="4" t="inlineStr">
        <is>
          <t>dev(OOF)</t>
        </is>
      </c>
      <c r="F877" s="10" t="n">
        <v>1.2</v>
      </c>
      <c r="G877" s="10" t="n">
        <v>1.497642393140661</v>
      </c>
      <c r="H877" s="10" t="n">
        <v>1.807451370822592</v>
      </c>
      <c r="I877" s="10">
        <f>G877-1.96*H877</f>
        <v/>
      </c>
      <c r="J877" s="10">
        <f>G877+1.96*H877</f>
        <v/>
      </c>
      <c r="K877" s="10">
        <f>G877-F877</f>
        <v/>
      </c>
      <c r="L877" s="4">
        <f>IF(AND(F877&gt;=I877,F877&lt;=J877),1,0)</f>
        <v/>
      </c>
    </row>
    <row r="878">
      <c r="A878" s="4" t="inlineStr">
        <is>
          <t>m100_MPa</t>
        </is>
      </c>
      <c r="B878" s="4" t="inlineStr">
        <is>
          <t>G142</t>
        </is>
      </c>
      <c r="C878" s="4" t="inlineStr">
        <is>
          <t>US7247749B2</t>
        </is>
      </c>
      <c r="D878" s="4" t="inlineStr">
        <is>
          <t>Sample 18</t>
        </is>
      </c>
      <c r="E878" s="4" t="inlineStr">
        <is>
          <t>dev(OOF)</t>
        </is>
      </c>
      <c r="F878" s="10" t="n">
        <v>2.61</v>
      </c>
      <c r="G878" s="10" t="n">
        <v>6.513108779883169</v>
      </c>
      <c r="H878" s="10" t="n">
        <v>2.020301993702445</v>
      </c>
      <c r="I878" s="10">
        <f>G878-1.96*H878</f>
        <v/>
      </c>
      <c r="J878" s="10">
        <f>G878+1.96*H878</f>
        <v/>
      </c>
      <c r="K878" s="10">
        <f>G878-F878</f>
        <v/>
      </c>
      <c r="L878" s="4">
        <f>IF(AND(F878&gt;=I878,F878&lt;=J878),1,0)</f>
        <v/>
      </c>
    </row>
    <row r="879">
      <c r="A879" s="4" t="inlineStr">
        <is>
          <t>m100_MPa</t>
        </is>
      </c>
      <c r="B879" s="4" t="inlineStr">
        <is>
          <t>G025</t>
        </is>
      </c>
      <c r="C879" s="4" t="inlineStr">
        <is>
          <t>US6803402B2</t>
        </is>
      </c>
      <c r="D879" s="4" t="inlineStr">
        <is>
          <t>Example 2</t>
        </is>
      </c>
      <c r="E879" s="4" t="inlineStr">
        <is>
          <t>dev(OOF)</t>
        </is>
      </c>
      <c r="F879" s="10" t="n">
        <v>7.94</v>
      </c>
      <c r="G879" s="10" t="n">
        <v>6.274088334907564</v>
      </c>
      <c r="H879" s="10" t="n">
        <v>2.013217780892022</v>
      </c>
      <c r="I879" s="10">
        <f>G879-1.96*H879</f>
        <v/>
      </c>
      <c r="J879" s="10">
        <f>G879+1.96*H879</f>
        <v/>
      </c>
      <c r="K879" s="10">
        <f>G879-F879</f>
        <v/>
      </c>
      <c r="L879" s="4">
        <f>IF(AND(F879&gt;=I879,F879&lt;=J879),1,0)</f>
        <v/>
      </c>
    </row>
    <row r="880">
      <c r="A880" s="4" t="inlineStr">
        <is>
          <t>m100_MPa</t>
        </is>
      </c>
      <c r="B880" s="4" t="inlineStr">
        <is>
          <t>G277</t>
        </is>
      </c>
      <c r="C880" s="4" t="inlineStr">
        <is>
          <t>US20230365800A1</t>
        </is>
      </c>
      <c r="D880" s="4" t="inlineStr">
        <is>
          <t>Example 1</t>
        </is>
      </c>
      <c r="E880" s="4" t="inlineStr">
        <is>
          <t>dev(OOF)</t>
        </is>
      </c>
      <c r="F880" s="10" t="n">
        <v>4.4</v>
      </c>
      <c r="G880" s="10" t="n">
        <v>4.807003399892926</v>
      </c>
      <c r="H880" s="10" t="n">
        <v>1.611939660855922</v>
      </c>
      <c r="I880" s="10">
        <f>G880-1.96*H880</f>
        <v/>
      </c>
      <c r="J880" s="10">
        <f>G880+1.96*H880</f>
        <v/>
      </c>
      <c r="K880" s="10">
        <f>G880-F880</f>
        <v/>
      </c>
      <c r="L880" s="4">
        <f>IF(AND(F880&gt;=I880,F880&lt;=J880),1,0)</f>
        <v/>
      </c>
    </row>
    <row r="881">
      <c r="A881" s="4" t="inlineStr">
        <is>
          <t>m100_MPa</t>
        </is>
      </c>
      <c r="B881" s="4" t="inlineStr">
        <is>
          <t>G170</t>
        </is>
      </c>
      <c r="C881" s="4" t="inlineStr">
        <is>
          <t>US20050107544A1</t>
        </is>
      </c>
      <c r="D881" s="4" t="inlineStr">
        <is>
          <t>Comparative Example B</t>
        </is>
      </c>
      <c r="E881" s="4" t="inlineStr">
        <is>
          <t>dev(OOF)</t>
        </is>
      </c>
      <c r="F881" s="10" t="n">
        <v>1.4</v>
      </c>
      <c r="G881" s="10" t="n">
        <v>3.105919050774722</v>
      </c>
      <c r="H881" s="10" t="n">
        <v>2.769186929933579</v>
      </c>
      <c r="I881" s="10">
        <f>G881-1.96*H881</f>
        <v/>
      </c>
      <c r="J881" s="10">
        <f>G881+1.96*H881</f>
        <v/>
      </c>
      <c r="K881" s="10">
        <f>G881-F881</f>
        <v/>
      </c>
      <c r="L881" s="4">
        <f>IF(AND(F881&gt;=I881,F881&lt;=J881),1,0)</f>
        <v/>
      </c>
    </row>
    <row r="882">
      <c r="A882" s="4" t="inlineStr">
        <is>
          <t>m100_MPa</t>
        </is>
      </c>
      <c r="B882" s="4" t="inlineStr">
        <is>
          <t>G037</t>
        </is>
      </c>
      <c r="C882" s="4" t="inlineStr">
        <is>
          <t>US8173727B2</t>
        </is>
      </c>
      <c r="D882" s="4" t="inlineStr">
        <is>
          <t>Example 9</t>
        </is>
      </c>
      <c r="E882" s="4" t="inlineStr">
        <is>
          <t>dev(OOF)</t>
        </is>
      </c>
      <c r="F882" s="10" t="n">
        <v>2.26</v>
      </c>
      <c r="G882" s="10" t="n">
        <v>4.006233675791626</v>
      </c>
      <c r="H882" s="10" t="n">
        <v>1.874696621084679</v>
      </c>
      <c r="I882" s="10">
        <f>G882-1.96*H882</f>
        <v/>
      </c>
      <c r="J882" s="10">
        <f>G882+1.96*H882</f>
        <v/>
      </c>
      <c r="K882" s="10">
        <f>G882-F882</f>
        <v/>
      </c>
      <c r="L882" s="4">
        <f>IF(AND(F882&gt;=I882,F882&lt;=J882),1,0)</f>
        <v/>
      </c>
    </row>
    <row r="883">
      <c r="A883" s="4" t="inlineStr">
        <is>
          <t>m100_MPa</t>
        </is>
      </c>
      <c r="B883" s="4" t="inlineStr">
        <is>
          <t>G258</t>
        </is>
      </c>
      <c r="C883" s="4" t="inlineStr">
        <is>
          <t>US12584054B2</t>
        </is>
      </c>
      <c r="D883" s="4" t="inlineStr">
        <is>
          <t>Comparative Example 13</t>
        </is>
      </c>
      <c r="E883" s="4" t="inlineStr">
        <is>
          <t>dev(OOF)</t>
        </is>
      </c>
      <c r="F883" s="10" t="n">
        <v>2.4</v>
      </c>
      <c r="G883" s="10" t="n">
        <v>3.272189612715464</v>
      </c>
      <c r="H883" s="10" t="n">
        <v>1.831908879636398</v>
      </c>
      <c r="I883" s="10">
        <f>G883-1.96*H883</f>
        <v/>
      </c>
      <c r="J883" s="10">
        <f>G883+1.96*H883</f>
        <v/>
      </c>
      <c r="K883" s="10">
        <f>G883-F883</f>
        <v/>
      </c>
      <c r="L883" s="4">
        <f>IF(AND(F883&gt;=I883,F883&lt;=J883),1,0)</f>
        <v/>
      </c>
    </row>
    <row r="884">
      <c r="A884" s="4" t="inlineStr">
        <is>
          <t>m100_MPa</t>
        </is>
      </c>
      <c r="B884" s="4" t="inlineStr">
        <is>
          <t>G152</t>
        </is>
      </c>
      <c r="C884" s="4" t="inlineStr">
        <is>
          <t>US7247749B2</t>
        </is>
      </c>
      <c r="D884" s="4" t="inlineStr">
        <is>
          <t>Sample 32</t>
        </is>
      </c>
      <c r="E884" s="4" t="inlineStr">
        <is>
          <t>dev(OOF)</t>
        </is>
      </c>
      <c r="F884" s="10" t="n">
        <v>9.84</v>
      </c>
      <c r="G884" s="10" t="n">
        <v>8.311833875757086</v>
      </c>
      <c r="H884" s="10" t="n">
        <v>1.785305469026035</v>
      </c>
      <c r="I884" s="10">
        <f>G884-1.96*H884</f>
        <v/>
      </c>
      <c r="J884" s="10">
        <f>G884+1.96*H884</f>
        <v/>
      </c>
      <c r="K884" s="10">
        <f>G884-F884</f>
        <v/>
      </c>
      <c r="L884" s="4">
        <f>IF(AND(F884&gt;=I884,F884&lt;=J884),1,0)</f>
        <v/>
      </c>
    </row>
    <row r="885">
      <c r="A885" s="4" t="inlineStr">
        <is>
          <t>m100_MPa</t>
        </is>
      </c>
      <c r="B885" s="4" t="inlineStr">
        <is>
          <t>G018</t>
        </is>
      </c>
      <c r="C885" s="4" t="inlineStr">
        <is>
          <t>US7678858B2</t>
        </is>
      </c>
      <c r="D885" s="4" t="inlineStr">
        <is>
          <t>Example 17</t>
        </is>
      </c>
      <c r="E885" s="4" t="inlineStr">
        <is>
          <t>dev(OOF)</t>
        </is>
      </c>
      <c r="F885" s="10" t="n">
        <v>15.2</v>
      </c>
      <c r="G885" s="10" t="n">
        <v>12.18055502117572</v>
      </c>
      <c r="H885" s="10" t="n">
        <v>1.654809318336697</v>
      </c>
      <c r="I885" s="10">
        <f>G885-1.96*H885</f>
        <v/>
      </c>
      <c r="J885" s="10">
        <f>G885+1.96*H885</f>
        <v/>
      </c>
      <c r="K885" s="10">
        <f>G885-F885</f>
        <v/>
      </c>
      <c r="L885" s="4">
        <f>IF(AND(F885&gt;=I885,F885&lt;=J885),1,0)</f>
        <v/>
      </c>
    </row>
    <row r="886">
      <c r="A886" s="4" t="inlineStr">
        <is>
          <t>m100_MPa</t>
        </is>
      </c>
      <c r="B886" s="4" t="inlineStr">
        <is>
          <t>G247</t>
        </is>
      </c>
      <c r="C886" s="4" t="inlineStr">
        <is>
          <t>US12584054B2</t>
        </is>
      </c>
      <c r="D886" s="4" t="inlineStr">
        <is>
          <t>Example 4</t>
        </is>
      </c>
      <c r="E886" s="4" t="inlineStr">
        <is>
          <t>dev(OOF)</t>
        </is>
      </c>
      <c r="F886" s="10" t="n">
        <v>17</v>
      </c>
      <c r="G886" s="10" t="n">
        <v>17.13450061461431</v>
      </c>
      <c r="H886" s="10" t="n">
        <v>3.998578259258346</v>
      </c>
      <c r="I886" s="10">
        <f>G886-1.96*H886</f>
        <v/>
      </c>
      <c r="J886" s="10">
        <f>G886+1.96*H886</f>
        <v/>
      </c>
      <c r="K886" s="10">
        <f>G886-F886</f>
        <v/>
      </c>
      <c r="L886" s="4">
        <f>IF(AND(F886&gt;=I886,F886&lt;=J886),1,0)</f>
        <v/>
      </c>
    </row>
    <row r="887">
      <c r="A887" s="4" t="inlineStr">
        <is>
          <t>m100_MPa</t>
        </is>
      </c>
      <c r="B887" s="4" t="inlineStr">
        <is>
          <t>G015</t>
        </is>
      </c>
      <c r="C887" s="4" t="inlineStr">
        <is>
          <t>US7678858B2</t>
        </is>
      </c>
      <c r="D887" s="4" t="inlineStr">
        <is>
          <t>Example 14</t>
        </is>
      </c>
      <c r="E887" s="4" t="inlineStr">
        <is>
          <t>dev(OOF)</t>
        </is>
      </c>
      <c r="F887" s="10" t="n">
        <v>6.47</v>
      </c>
      <c r="G887" s="10" t="n">
        <v>9.034609816293097</v>
      </c>
      <c r="H887" s="10" t="n">
        <v>1.724151062426846</v>
      </c>
      <c r="I887" s="10">
        <f>G887-1.96*H887</f>
        <v/>
      </c>
      <c r="J887" s="10">
        <f>G887+1.96*H887</f>
        <v/>
      </c>
      <c r="K887" s="10">
        <f>G887-F887</f>
        <v/>
      </c>
      <c r="L887" s="4">
        <f>IF(AND(F887&gt;=I887,F887&lt;=J887),1,0)</f>
        <v/>
      </c>
    </row>
    <row r="888">
      <c r="A888" s="4" t="inlineStr">
        <is>
          <t>m100_MPa</t>
        </is>
      </c>
      <c r="B888" s="4" t="inlineStr">
        <is>
          <t>G149</t>
        </is>
      </c>
      <c r="C888" s="4" t="inlineStr">
        <is>
          <t>US7247749B2</t>
        </is>
      </c>
      <c r="D888" s="4" t="inlineStr">
        <is>
          <t>Sample 25</t>
        </is>
      </c>
      <c r="E888" s="4" t="inlineStr">
        <is>
          <t>dev(OOF)</t>
        </is>
      </c>
      <c r="F888" s="10" t="n">
        <v>4.06</v>
      </c>
      <c r="G888" s="10" t="n">
        <v>5.477548636385944</v>
      </c>
      <c r="H888" s="10" t="n">
        <v>1.768560400319865</v>
      </c>
      <c r="I888" s="10">
        <f>G888-1.96*H888</f>
        <v/>
      </c>
      <c r="J888" s="10">
        <f>G888+1.96*H888</f>
        <v/>
      </c>
      <c r="K888" s="10">
        <f>G888-F888</f>
        <v/>
      </c>
      <c r="L888" s="4">
        <f>IF(AND(F888&gt;=I888,F888&lt;=J888),1,0)</f>
        <v/>
      </c>
    </row>
    <row r="889">
      <c r="A889" s="4" t="inlineStr">
        <is>
          <t>m100_MPa</t>
        </is>
      </c>
      <c r="B889" s="4" t="inlineStr">
        <is>
          <t>G285</t>
        </is>
      </c>
      <c r="C889" s="4" t="inlineStr">
        <is>
          <t>US20230365800A1</t>
        </is>
      </c>
      <c r="D889" s="4" t="inlineStr">
        <is>
          <t>Comparative Example 3</t>
        </is>
      </c>
      <c r="E889" s="4" t="inlineStr">
        <is>
          <t>dev(OOF)</t>
        </is>
      </c>
      <c r="F889" s="10" t="n">
        <v>2.2</v>
      </c>
      <c r="G889" s="10" t="n">
        <v>4.706563173558559</v>
      </c>
      <c r="H889" s="10" t="n">
        <v>1.498326019628171</v>
      </c>
      <c r="I889" s="10">
        <f>G889-1.96*H889</f>
        <v/>
      </c>
      <c r="J889" s="10">
        <f>G889+1.96*H889</f>
        <v/>
      </c>
      <c r="K889" s="10">
        <f>G889-F889</f>
        <v/>
      </c>
      <c r="L889" s="4">
        <f>IF(AND(F889&gt;=I889,F889&lt;=J889),1,0)</f>
        <v/>
      </c>
    </row>
    <row r="890">
      <c r="A890" s="4" t="inlineStr">
        <is>
          <t>m100_MPa</t>
        </is>
      </c>
      <c r="B890" s="4" t="inlineStr">
        <is>
          <t>G280</t>
        </is>
      </c>
      <c r="C890" s="4" t="inlineStr">
        <is>
          <t>US20230365800A1</t>
        </is>
      </c>
      <c r="D890" s="4" t="inlineStr">
        <is>
          <t>Example 4</t>
        </is>
      </c>
      <c r="E890" s="4" t="inlineStr">
        <is>
          <t>dev(OOF)</t>
        </is>
      </c>
      <c r="F890" s="10" t="n">
        <v>5.7</v>
      </c>
      <c r="G890" s="10" t="n">
        <v>4.339716681939216</v>
      </c>
      <c r="H890" s="10" t="n">
        <v>1.665676086028453</v>
      </c>
      <c r="I890" s="10">
        <f>G890-1.96*H890</f>
        <v/>
      </c>
      <c r="J890" s="10">
        <f>G890+1.96*H890</f>
        <v/>
      </c>
      <c r="K890" s="10">
        <f>G890-F890</f>
        <v/>
      </c>
      <c r="L890" s="4">
        <f>IF(AND(F890&gt;=I890,F890&lt;=J890),1,0)</f>
        <v/>
      </c>
    </row>
    <row r="891">
      <c r="A891" s="4" t="inlineStr">
        <is>
          <t>m100_MPa</t>
        </is>
      </c>
      <c r="B891" s="4" t="inlineStr">
        <is>
          <t>G013</t>
        </is>
      </c>
      <c r="C891" s="4" t="inlineStr">
        <is>
          <t>US7678858B2</t>
        </is>
      </c>
      <c r="D891" s="4" t="inlineStr">
        <is>
          <t>Example 12</t>
        </is>
      </c>
      <c r="E891" s="4" t="inlineStr">
        <is>
          <t>dev(OOF)</t>
        </is>
      </c>
      <c r="F891" s="10" t="n">
        <v>12.85</v>
      </c>
      <c r="G891" s="10" t="n">
        <v>10.54423134486734</v>
      </c>
      <c r="H891" s="10" t="n">
        <v>2.132605159235207</v>
      </c>
      <c r="I891" s="10">
        <f>G891-1.96*H891</f>
        <v/>
      </c>
      <c r="J891" s="10">
        <f>G891+1.96*H891</f>
        <v/>
      </c>
      <c r="K891" s="10">
        <f>G891-F891</f>
        <v/>
      </c>
      <c r="L891" s="4">
        <f>IF(AND(F891&gt;=I891,F891&lt;=J891),1,0)</f>
        <v/>
      </c>
    </row>
    <row r="892">
      <c r="A892" s="4" t="inlineStr">
        <is>
          <t>m100_MPa</t>
        </is>
      </c>
      <c r="B892" s="4" t="inlineStr">
        <is>
          <t>G092</t>
        </is>
      </c>
      <c r="C892" s="4" t="inlineStr">
        <is>
          <t>US8367776B2</t>
        </is>
      </c>
      <c r="D892" s="4" t="inlineStr">
        <is>
          <t>Example 10</t>
        </is>
      </c>
      <c r="E892" s="4" t="inlineStr">
        <is>
          <t>dev(OOF)</t>
        </is>
      </c>
      <c r="F892" s="10" t="n">
        <v>1.27</v>
      </c>
      <c r="G892" s="10" t="n">
        <v>1.501654497093787</v>
      </c>
      <c r="H892" s="10" t="n">
        <v>1.688371558893965</v>
      </c>
      <c r="I892" s="10">
        <f>G892-1.96*H892</f>
        <v/>
      </c>
      <c r="J892" s="10">
        <f>G892+1.96*H892</f>
        <v/>
      </c>
      <c r="K892" s="10">
        <f>G892-F892</f>
        <v/>
      </c>
      <c r="L892" s="4">
        <f>IF(AND(F892&gt;=I892,F892&lt;=J892),1,0)</f>
        <v/>
      </c>
    </row>
    <row r="893">
      <c r="A893" s="4" t="inlineStr">
        <is>
          <t>m100_MPa</t>
        </is>
      </c>
      <c r="B893" s="4" t="inlineStr">
        <is>
          <t>G140</t>
        </is>
      </c>
      <c r="C893" s="4" t="inlineStr">
        <is>
          <t>US7247749B2</t>
        </is>
      </c>
      <c r="D893" s="4" t="inlineStr">
        <is>
          <t>Sample 16</t>
        </is>
      </c>
      <c r="E893" s="4" t="inlineStr">
        <is>
          <t>dev(OOF)</t>
        </is>
      </c>
      <c r="F893" s="10" t="n">
        <v>9.470000000000001</v>
      </c>
      <c r="G893" s="10" t="n">
        <v>3.72698312771182</v>
      </c>
      <c r="H893" s="10" t="n">
        <v>1.878283595393492</v>
      </c>
      <c r="I893" s="10">
        <f>G893-1.96*H893</f>
        <v/>
      </c>
      <c r="J893" s="10">
        <f>G893+1.96*H893</f>
        <v/>
      </c>
      <c r="K893" s="10">
        <f>G893-F893</f>
        <v/>
      </c>
      <c r="L893" s="4">
        <f>IF(AND(F893&gt;=I893,F893&lt;=J893),1,0)</f>
        <v/>
      </c>
    </row>
    <row r="894">
      <c r="A894" s="4" t="inlineStr">
        <is>
          <t>m100_MPa</t>
        </is>
      </c>
      <c r="B894" s="4" t="inlineStr">
        <is>
          <t>G162</t>
        </is>
      </c>
      <c r="C894" s="4" t="inlineStr">
        <is>
          <t>US6956085B2</t>
        </is>
      </c>
      <c r="D894" s="4" t="inlineStr">
        <is>
          <t>Example 5</t>
        </is>
      </c>
      <c r="E894" s="4" t="inlineStr">
        <is>
          <t>dev(OOF)</t>
        </is>
      </c>
      <c r="F894" s="10" t="n">
        <v>5.05</v>
      </c>
      <c r="G894" s="10" t="n">
        <v>4.726129340326105</v>
      </c>
      <c r="H894" s="10" t="n">
        <v>1.94967815661348</v>
      </c>
      <c r="I894" s="10">
        <f>G894-1.96*H894</f>
        <v/>
      </c>
      <c r="J894" s="10">
        <f>G894+1.96*H894</f>
        <v/>
      </c>
      <c r="K894" s="10">
        <f>G894-F894</f>
        <v/>
      </c>
      <c r="L894" s="4">
        <f>IF(AND(F894&gt;=I894,F894&lt;=J894),1,0)</f>
        <v/>
      </c>
    </row>
    <row r="895">
      <c r="A895" s="4" t="inlineStr">
        <is>
          <t>m100_MPa</t>
        </is>
      </c>
      <c r="B895" s="4" t="inlineStr">
        <is>
          <t>G144</t>
        </is>
      </c>
      <c r="C895" s="4" t="inlineStr">
        <is>
          <t>US7247749B2</t>
        </is>
      </c>
      <c r="D895" s="4" t="inlineStr">
        <is>
          <t>Comparative Sample 20</t>
        </is>
      </c>
      <c r="E895" s="4" t="inlineStr">
        <is>
          <t>dev(OOF)</t>
        </is>
      </c>
      <c r="F895" s="10" t="n">
        <v>8.130000000000001</v>
      </c>
      <c r="G895" s="10" t="n">
        <v>6.057782683208131</v>
      </c>
      <c r="H895" s="10" t="n">
        <v>1.756656292158213</v>
      </c>
      <c r="I895" s="10">
        <f>G895-1.96*H895</f>
        <v/>
      </c>
      <c r="J895" s="10">
        <f>G895+1.96*H895</f>
        <v/>
      </c>
      <c r="K895" s="10">
        <f>G895-F895</f>
        <v/>
      </c>
      <c r="L895" s="4">
        <f>IF(AND(F895&gt;=I895,F895&lt;=J895),1,0)</f>
        <v/>
      </c>
    </row>
    <row r="896">
      <c r="A896" s="4" t="inlineStr">
        <is>
          <t>m100_MPa</t>
        </is>
      </c>
      <c r="B896" s="4" t="inlineStr">
        <is>
          <t>G326</t>
        </is>
      </c>
      <c r="C896" s="4" t="inlineStr">
        <is>
          <t>KR101467101B1</t>
        </is>
      </c>
      <c r="D896" s="4" t="inlineStr">
        <is>
          <t>Example 1 (Table 2 sample 4)</t>
        </is>
      </c>
      <c r="E896" s="4" t="inlineStr">
        <is>
          <t>dev(OOF)</t>
        </is>
      </c>
      <c r="F896" s="10" t="n">
        <v>1.81</v>
      </c>
      <c r="G896" s="10" t="n">
        <v>2.147841333231713</v>
      </c>
      <c r="H896" s="10" t="n">
        <v>2.517184185615929</v>
      </c>
      <c r="I896" s="10">
        <f>G896-1.96*H896</f>
        <v/>
      </c>
      <c r="J896" s="10">
        <f>G896+1.96*H896</f>
        <v/>
      </c>
      <c r="K896" s="10">
        <f>G896-F896</f>
        <v/>
      </c>
      <c r="L896" s="4">
        <f>IF(AND(F896&gt;=I896,F896&lt;=J896),1,0)</f>
        <v/>
      </c>
    </row>
    <row r="897">
      <c r="A897" s="4" t="inlineStr">
        <is>
          <t>m100_MPa</t>
        </is>
      </c>
      <c r="B897" s="4" t="inlineStr">
        <is>
          <t>G041</t>
        </is>
      </c>
      <c r="C897" s="4" t="inlineStr">
        <is>
          <t>US8173727B2</t>
        </is>
      </c>
      <c r="D897" s="4" t="inlineStr">
        <is>
          <t>Example 13</t>
        </is>
      </c>
      <c r="E897" s="4" t="inlineStr">
        <is>
          <t>dev(OOF)</t>
        </is>
      </c>
      <c r="F897" s="10" t="n">
        <v>4.9</v>
      </c>
      <c r="G897" s="10" t="n">
        <v>6.106077450521422</v>
      </c>
      <c r="H897" s="10" t="n">
        <v>2.790311465160272</v>
      </c>
      <c r="I897" s="10">
        <f>G897-1.96*H897</f>
        <v/>
      </c>
      <c r="J897" s="10">
        <f>G897+1.96*H897</f>
        <v/>
      </c>
      <c r="K897" s="10">
        <f>G897-F897</f>
        <v/>
      </c>
      <c r="L897" s="4">
        <f>IF(AND(F897&gt;=I897,F897&lt;=J897),1,0)</f>
        <v/>
      </c>
    </row>
    <row r="898">
      <c r="A898" s="4" t="inlineStr">
        <is>
          <t>m100_MPa</t>
        </is>
      </c>
      <c r="B898" s="4" t="inlineStr">
        <is>
          <t>G262</t>
        </is>
      </c>
      <c r="C898" s="4" t="inlineStr">
        <is>
          <t>US12584054B2</t>
        </is>
      </c>
      <c r="D898" s="4" t="inlineStr">
        <is>
          <t>Comparative Example 11</t>
        </is>
      </c>
      <c r="E898" s="4" t="inlineStr">
        <is>
          <t>dev(OOF)</t>
        </is>
      </c>
      <c r="F898" s="10" t="n">
        <v>2.8</v>
      </c>
      <c r="G898" s="10" t="n">
        <v>3.054866438047756</v>
      </c>
      <c r="H898" s="10" t="n">
        <v>1.726434086690852</v>
      </c>
      <c r="I898" s="10">
        <f>G898-1.96*H898</f>
        <v/>
      </c>
      <c r="J898" s="10">
        <f>G898+1.96*H898</f>
        <v/>
      </c>
      <c r="K898" s="10">
        <f>G898-F898</f>
        <v/>
      </c>
      <c r="L898" s="4">
        <f>IF(AND(F898&gt;=I898,F898&lt;=J898),1,0)</f>
        <v/>
      </c>
    </row>
    <row r="899">
      <c r="A899" s="4" t="inlineStr">
        <is>
          <t>m100_MPa</t>
        </is>
      </c>
      <c r="B899" s="4" t="inlineStr">
        <is>
          <t>G083</t>
        </is>
      </c>
      <c r="C899" s="4" t="inlineStr">
        <is>
          <t>US8367776B2</t>
        </is>
      </c>
      <c r="D899" s="4" t="inlineStr">
        <is>
          <t>Example 3</t>
        </is>
      </c>
      <c r="E899" s="4" t="inlineStr">
        <is>
          <t>dev(OOF)</t>
        </is>
      </c>
      <c r="F899" s="10" t="n">
        <v>2.1</v>
      </c>
      <c r="G899" s="10" t="n">
        <v>1.527542794885094</v>
      </c>
      <c r="H899" s="10" t="n">
        <v>1.696995369731987</v>
      </c>
      <c r="I899" s="10">
        <f>G899-1.96*H899</f>
        <v/>
      </c>
      <c r="J899" s="10">
        <f>G899+1.96*H899</f>
        <v/>
      </c>
      <c r="K899" s="10">
        <f>G899-F899</f>
        <v/>
      </c>
      <c r="L899" s="4">
        <f>IF(AND(F899&gt;=I899,F899&lt;=J899),1,0)</f>
        <v/>
      </c>
    </row>
    <row r="900">
      <c r="A900" s="4" t="inlineStr">
        <is>
          <t>m100_MPa</t>
        </is>
      </c>
      <c r="B900" s="4" t="inlineStr">
        <is>
          <t>G038</t>
        </is>
      </c>
      <c r="C900" s="4" t="inlineStr">
        <is>
          <t>US8173727B2</t>
        </is>
      </c>
      <c r="D900" s="4" t="inlineStr">
        <is>
          <t>Example 10</t>
        </is>
      </c>
      <c r="E900" s="4" t="inlineStr">
        <is>
          <t>dev(OOF)</t>
        </is>
      </c>
      <c r="F900" s="10" t="n">
        <v>2.94</v>
      </c>
      <c r="G900" s="10" t="n">
        <v>2.815418806931214</v>
      </c>
      <c r="H900" s="10" t="n">
        <v>2.041165340239518</v>
      </c>
      <c r="I900" s="10">
        <f>G900-1.96*H900</f>
        <v/>
      </c>
      <c r="J900" s="10">
        <f>G900+1.96*H900</f>
        <v/>
      </c>
      <c r="K900" s="10">
        <f>G900-F900</f>
        <v/>
      </c>
      <c r="L900" s="4">
        <f>IF(AND(F900&gt;=I900,F900&lt;=J900),1,0)</f>
        <v/>
      </c>
    </row>
    <row r="901">
      <c r="A901" s="4" t="inlineStr">
        <is>
          <t>m100_MPa</t>
        </is>
      </c>
      <c r="B901" s="4" t="inlineStr">
        <is>
          <t>G325</t>
        </is>
      </c>
      <c r="C901" s="4" t="inlineStr">
        <is>
          <t>KR101467101B1</t>
        </is>
      </c>
      <c r="D901" s="4" t="inlineStr">
        <is>
          <t>Table 2 sample 3</t>
        </is>
      </c>
      <c r="E901" s="4" t="inlineStr">
        <is>
          <t>dev(OOF)</t>
        </is>
      </c>
      <c r="F901" s="10" t="n">
        <v>1.89</v>
      </c>
      <c r="G901" s="10" t="n">
        <v>2.651416672337357</v>
      </c>
      <c r="H901" s="10" t="n">
        <v>1.879771326833649</v>
      </c>
      <c r="I901" s="10">
        <f>G901-1.96*H901</f>
        <v/>
      </c>
      <c r="J901" s="10">
        <f>G901+1.96*H901</f>
        <v/>
      </c>
      <c r="K901" s="10">
        <f>G901-F901</f>
        <v/>
      </c>
      <c r="L901" s="4">
        <f>IF(AND(F901&gt;=I901,F901&lt;=J901),1,0)</f>
        <v/>
      </c>
    </row>
    <row r="902">
      <c r="A902" s="4" t="inlineStr">
        <is>
          <t>m100_MPa</t>
        </is>
      </c>
      <c r="B902" s="4" t="inlineStr">
        <is>
          <t>G091</t>
        </is>
      </c>
      <c r="C902" s="4" t="inlineStr">
        <is>
          <t>US8367776B2</t>
        </is>
      </c>
      <c r="D902" s="4" t="inlineStr">
        <is>
          <t>Example 9</t>
        </is>
      </c>
      <c r="E902" s="4" t="inlineStr">
        <is>
          <t>dev(OOF)</t>
        </is>
      </c>
      <c r="F902" s="10" t="n">
        <v>1.72</v>
      </c>
      <c r="G902" s="10" t="n">
        <v>1.558290717045881</v>
      </c>
      <c r="H902" s="10" t="n">
        <v>1.475739969128436</v>
      </c>
      <c r="I902" s="10">
        <f>G902-1.96*H902</f>
        <v/>
      </c>
      <c r="J902" s="10">
        <f>G902+1.96*H902</f>
        <v/>
      </c>
      <c r="K902" s="10">
        <f>G902-F902</f>
        <v/>
      </c>
      <c r="L902" s="4">
        <f>IF(AND(F902&gt;=I902,F902&lt;=J902),1,0)</f>
        <v/>
      </c>
    </row>
    <row r="903">
      <c r="A903" s="4" t="inlineStr">
        <is>
          <t>m100_MPa</t>
        </is>
      </c>
      <c r="B903" s="4" t="inlineStr">
        <is>
          <t>G073</t>
        </is>
      </c>
      <c r="C903" s="4" t="inlineStr">
        <is>
          <t>US11072700B2</t>
        </is>
      </c>
      <c r="D903" s="4" t="inlineStr">
        <is>
          <t>Comparative Example 3</t>
        </is>
      </c>
      <c r="E903" s="4" t="inlineStr">
        <is>
          <t>dev(OOF)</t>
        </is>
      </c>
      <c r="F903" s="10" t="n">
        <v>7.4</v>
      </c>
      <c r="G903" s="10" t="n">
        <v>6.490507418770767</v>
      </c>
      <c r="H903" s="10" t="n">
        <v>2.180535519755446</v>
      </c>
      <c r="I903" s="10">
        <f>G903-1.96*H903</f>
        <v/>
      </c>
      <c r="J903" s="10">
        <f>G903+1.96*H903</f>
        <v/>
      </c>
      <c r="K903" s="10">
        <f>G903-F903</f>
        <v/>
      </c>
      <c r="L903" s="4">
        <f>IF(AND(F903&gt;=I903,F903&lt;=J903),1,0)</f>
        <v/>
      </c>
    </row>
    <row r="904">
      <c r="A904" s="4" t="inlineStr">
        <is>
          <t>m100_MPa</t>
        </is>
      </c>
      <c r="B904" s="4" t="inlineStr">
        <is>
          <t>G114</t>
        </is>
      </c>
      <c r="C904" s="4" t="inlineStr">
        <is>
          <t>US6992143B2</t>
        </is>
      </c>
      <c r="D904" s="4" t="inlineStr">
        <is>
          <t>Example 4</t>
        </is>
      </c>
      <c r="E904" s="4" t="inlineStr">
        <is>
          <t>dev(OOF)</t>
        </is>
      </c>
      <c r="F904" s="10" t="n">
        <v>2.4</v>
      </c>
      <c r="G904" s="10" t="n">
        <v>4.4348718198407</v>
      </c>
      <c r="H904" s="10" t="n">
        <v>1.940278314725796</v>
      </c>
      <c r="I904" s="10">
        <f>G904-1.96*H904</f>
        <v/>
      </c>
      <c r="J904" s="10">
        <f>G904+1.96*H904</f>
        <v/>
      </c>
      <c r="K904" s="10">
        <f>G904-F904</f>
        <v/>
      </c>
      <c r="L904" s="4">
        <f>IF(AND(F904&gt;=I904,F904&lt;=J904),1,0)</f>
        <v/>
      </c>
    </row>
    <row r="905">
      <c r="A905" s="4" t="inlineStr">
        <is>
          <t>m100_MPa</t>
        </is>
      </c>
      <c r="B905" s="4" t="inlineStr">
        <is>
          <t>G298</t>
        </is>
      </c>
      <c r="C905" s="4" t="inlineStr">
        <is>
          <t>EP4249550A1</t>
        </is>
      </c>
      <c r="D905" s="4" t="inlineStr">
        <is>
          <t>Example 10</t>
        </is>
      </c>
      <c r="E905" s="4" t="inlineStr">
        <is>
          <t>dev(OOF)</t>
        </is>
      </c>
      <c r="F905" s="10" t="n">
        <v>4.8</v>
      </c>
      <c r="G905" s="10" t="n">
        <v>3.94617324761855</v>
      </c>
      <c r="H905" s="10" t="n">
        <v>1.692236728356817</v>
      </c>
      <c r="I905" s="10">
        <f>G905-1.96*H905</f>
        <v/>
      </c>
      <c r="J905" s="10">
        <f>G905+1.96*H905</f>
        <v/>
      </c>
      <c r="K905" s="10">
        <f>G905-F905</f>
        <v/>
      </c>
      <c r="L905" s="4">
        <f>IF(AND(F905&gt;=I905,F905&lt;=J905),1,0)</f>
        <v/>
      </c>
    </row>
    <row r="906">
      <c r="A906" s="4" t="inlineStr">
        <is>
          <t>m100_MPa</t>
        </is>
      </c>
      <c r="B906" s="4" t="inlineStr">
        <is>
          <t>G169</t>
        </is>
      </c>
      <c r="C906" s="4" t="inlineStr">
        <is>
          <t>US20050107544A1</t>
        </is>
      </c>
      <c r="D906" s="4" t="inlineStr">
        <is>
          <t>Comparative Example A</t>
        </is>
      </c>
      <c r="E906" s="4" t="inlineStr">
        <is>
          <t>dev(OOF)</t>
        </is>
      </c>
      <c r="F906" s="10" t="n">
        <v>1.4</v>
      </c>
      <c r="G906" s="10" t="n">
        <v>2.673179939894332</v>
      </c>
      <c r="H906" s="10" t="n">
        <v>1.920813791567483</v>
      </c>
      <c r="I906" s="10">
        <f>G906-1.96*H906</f>
        <v/>
      </c>
      <c r="J906" s="10">
        <f>G906+1.96*H906</f>
        <v/>
      </c>
      <c r="K906" s="10">
        <f>G906-F906</f>
        <v/>
      </c>
      <c r="L906" s="4">
        <f>IF(AND(F906&gt;=I906,F906&lt;=J906),1,0)</f>
        <v/>
      </c>
    </row>
    <row r="907">
      <c r="A907" s="4" t="inlineStr">
        <is>
          <t>m100_MPa</t>
        </is>
      </c>
      <c r="B907" s="4" t="inlineStr">
        <is>
          <t>G110</t>
        </is>
      </c>
      <c r="C907" s="4" t="inlineStr">
        <is>
          <t>US6992143B2</t>
        </is>
      </c>
      <c r="D907" s="4" t="inlineStr">
        <is>
          <t>Example 1</t>
        </is>
      </c>
      <c r="E907" s="4" t="inlineStr">
        <is>
          <t>dev(OOF)</t>
        </is>
      </c>
      <c r="F907" s="10" t="n">
        <v>4.1</v>
      </c>
      <c r="G907" s="10" t="n">
        <v>6.171965027580979</v>
      </c>
      <c r="H907" s="10" t="n">
        <v>2.769732300431738</v>
      </c>
      <c r="I907" s="10">
        <f>G907-1.96*H907</f>
        <v/>
      </c>
      <c r="J907" s="10">
        <f>G907+1.96*H907</f>
        <v/>
      </c>
      <c r="K907" s="10">
        <f>G907-F907</f>
        <v/>
      </c>
      <c r="L907" s="4">
        <f>IF(AND(F907&gt;=I907,F907&lt;=J907),1,0)</f>
        <v/>
      </c>
    </row>
    <row r="908">
      <c r="A908" s="4" t="inlineStr">
        <is>
          <t>m100_MPa</t>
        </is>
      </c>
      <c r="B908" s="4" t="inlineStr">
        <is>
          <t>G184</t>
        </is>
      </c>
      <c r="C908" s="4" t="inlineStr">
        <is>
          <t>US20040019153A1</t>
        </is>
      </c>
      <c r="D908" s="4" t="inlineStr">
        <is>
          <t>Example 1</t>
        </is>
      </c>
      <c r="E908" s="4" t="inlineStr">
        <is>
          <t>dev(OOF)</t>
        </is>
      </c>
      <c r="F908" s="10" t="n">
        <v>1.7</v>
      </c>
      <c r="G908" s="10" t="n">
        <v>2.635930445939683</v>
      </c>
      <c r="H908" s="10" t="n">
        <v>2.244297882925006</v>
      </c>
      <c r="I908" s="10">
        <f>G908-1.96*H908</f>
        <v/>
      </c>
      <c r="J908" s="10">
        <f>G908+1.96*H908</f>
        <v/>
      </c>
      <c r="K908" s="10">
        <f>G908-F908</f>
        <v/>
      </c>
      <c r="L908" s="4">
        <f>IF(AND(F908&gt;=I908,F908&lt;=J908),1,0)</f>
        <v/>
      </c>
    </row>
    <row r="909">
      <c r="A909" s="4" t="inlineStr">
        <is>
          <t>m100_MPa</t>
        </is>
      </c>
      <c r="B909" s="4" t="inlineStr">
        <is>
          <t>G030</t>
        </is>
      </c>
      <c r="C909" s="4" t="inlineStr">
        <is>
          <t>US8173727B2</t>
        </is>
      </c>
      <c r="D909" s="4" t="inlineStr">
        <is>
          <t>Example 2</t>
        </is>
      </c>
      <c r="E909" s="4" t="inlineStr">
        <is>
          <t>dev(OOF)</t>
        </is>
      </c>
      <c r="F909" s="10" t="n">
        <v>12.75</v>
      </c>
      <c r="G909" s="10" t="n">
        <v>12.93367174880628</v>
      </c>
      <c r="H909" s="10" t="n">
        <v>1.491686065489359</v>
      </c>
      <c r="I909" s="10">
        <f>G909-1.96*H909</f>
        <v/>
      </c>
      <c r="J909" s="10">
        <f>G909+1.96*H909</f>
        <v/>
      </c>
      <c r="K909" s="10">
        <f>G909-F909</f>
        <v/>
      </c>
      <c r="L909" s="4">
        <f>IF(AND(F909&gt;=I909,F909&lt;=J909),1,0)</f>
        <v/>
      </c>
    </row>
    <row r="910">
      <c r="A910" s="4" t="inlineStr">
        <is>
          <t>m100_MPa</t>
        </is>
      </c>
      <c r="B910" s="4" t="inlineStr">
        <is>
          <t>G197</t>
        </is>
      </c>
      <c r="C910" s="4" t="inlineStr">
        <is>
          <t>US20160319102A1</t>
        </is>
      </c>
      <c r="D910" s="4" t="inlineStr">
        <is>
          <t>Comparative Example 2</t>
        </is>
      </c>
      <c r="E910" s="4" t="inlineStr">
        <is>
          <t>dev(OOF)</t>
        </is>
      </c>
      <c r="F910" s="10" t="n">
        <v>7.9</v>
      </c>
      <c r="G910" s="10" t="n">
        <v>4.620134660162162</v>
      </c>
      <c r="H910" s="10" t="n">
        <v>1.968899662772481</v>
      </c>
      <c r="I910" s="10">
        <f>G910-1.96*H910</f>
        <v/>
      </c>
      <c r="J910" s="10">
        <f>G910+1.96*H910</f>
        <v/>
      </c>
      <c r="K910" s="10">
        <f>G910-F910</f>
        <v/>
      </c>
      <c r="L910" s="4">
        <f>IF(AND(F910&gt;=I910,F910&lt;=J910),1,0)</f>
        <v/>
      </c>
    </row>
    <row r="911">
      <c r="A911" s="4" t="inlineStr">
        <is>
          <t>m100_MPa</t>
        </is>
      </c>
      <c r="B911" s="4" t="inlineStr">
        <is>
          <t>G094</t>
        </is>
      </c>
      <c r="C911" s="4" t="inlineStr">
        <is>
          <t>US8367776B2</t>
        </is>
      </c>
      <c r="D911" s="4" t="inlineStr">
        <is>
          <t>Example 12</t>
        </is>
      </c>
      <c r="E911" s="4" t="inlineStr">
        <is>
          <t>dev(OOF)</t>
        </is>
      </c>
      <c r="F911" s="10" t="n">
        <v>1.5</v>
      </c>
      <c r="G911" s="10" t="n">
        <v>1.597605352227762</v>
      </c>
      <c r="H911" s="10" t="n">
        <v>1.598221262606446</v>
      </c>
      <c r="I911" s="10">
        <f>G911-1.96*H911</f>
        <v/>
      </c>
      <c r="J911" s="10">
        <f>G911+1.96*H911</f>
        <v/>
      </c>
      <c r="K911" s="10">
        <f>G911-F911</f>
        <v/>
      </c>
      <c r="L911" s="4">
        <f>IF(AND(F911&gt;=I911,F911&lt;=J911),1,0)</f>
        <v/>
      </c>
    </row>
    <row r="912">
      <c r="A912" s="4" t="inlineStr">
        <is>
          <t>m100_MPa</t>
        </is>
      </c>
      <c r="B912" s="4" t="inlineStr">
        <is>
          <t>G194</t>
        </is>
      </c>
      <c r="C912" s="4" t="inlineStr">
        <is>
          <t>US20160319102A1</t>
        </is>
      </c>
      <c r="D912" s="4" t="inlineStr">
        <is>
          <t>Example 5</t>
        </is>
      </c>
      <c r="E912" s="4" t="inlineStr">
        <is>
          <t>dev(OOF)</t>
        </is>
      </c>
      <c r="F912" s="10" t="n">
        <v>2.1</v>
      </c>
      <c r="G912" s="10" t="n">
        <v>3.32807378763241</v>
      </c>
      <c r="H912" s="10" t="n">
        <v>1.572373179745266</v>
      </c>
      <c r="I912" s="10">
        <f>G912-1.96*H912</f>
        <v/>
      </c>
      <c r="J912" s="10">
        <f>G912+1.96*H912</f>
        <v/>
      </c>
      <c r="K912" s="10">
        <f>G912-F912</f>
        <v/>
      </c>
      <c r="L912" s="4">
        <f>IF(AND(F912&gt;=I912,F912&lt;=J912),1,0)</f>
        <v/>
      </c>
    </row>
    <row r="913">
      <c r="A913" s="4" t="inlineStr">
        <is>
          <t>m100_MPa</t>
        </is>
      </c>
      <c r="B913" s="4" t="inlineStr">
        <is>
          <t>G286</t>
        </is>
      </c>
      <c r="C913" s="4" t="inlineStr">
        <is>
          <t>US20230365800A1</t>
        </is>
      </c>
      <c r="D913" s="4" t="inlineStr">
        <is>
          <t>Comparative Example 4</t>
        </is>
      </c>
      <c r="E913" s="4" t="inlineStr">
        <is>
          <t>dev(OOF)</t>
        </is>
      </c>
      <c r="F913" s="10" t="n">
        <v>3.09</v>
      </c>
      <c r="G913" s="10" t="n">
        <v>4.807003399892926</v>
      </c>
      <c r="H913" s="10" t="n">
        <v>1.611939660855922</v>
      </c>
      <c r="I913" s="10">
        <f>G913-1.96*H913</f>
        <v/>
      </c>
      <c r="J913" s="10">
        <f>G913+1.96*H913</f>
        <v/>
      </c>
      <c r="K913" s="10">
        <f>G913-F913</f>
        <v/>
      </c>
      <c r="L913" s="4">
        <f>IF(AND(F913&gt;=I913,F913&lt;=J913),1,0)</f>
        <v/>
      </c>
    </row>
    <row r="914">
      <c r="A914" s="4" t="inlineStr">
        <is>
          <t>m100_MPa</t>
        </is>
      </c>
      <c r="B914" s="4" t="inlineStr">
        <is>
          <t>G121</t>
        </is>
      </c>
      <c r="C914" s="4" t="inlineStr">
        <is>
          <t>US5696189A</t>
        </is>
      </c>
      <c r="D914" s="4" t="inlineStr">
        <is>
          <t>Example 4</t>
        </is>
      </c>
      <c r="E914" s="4" t="inlineStr">
        <is>
          <t>dev(OOF)</t>
        </is>
      </c>
      <c r="F914" s="10" t="n">
        <v>5.41</v>
      </c>
      <c r="G914" s="10" t="n">
        <v>4.771868872740183</v>
      </c>
      <c r="H914" s="10" t="n">
        <v>3.199750927528084</v>
      </c>
      <c r="I914" s="10">
        <f>G914-1.96*H914</f>
        <v/>
      </c>
      <c r="J914" s="10">
        <f>G914+1.96*H914</f>
        <v/>
      </c>
      <c r="K914" s="10">
        <f>G914-F914</f>
        <v/>
      </c>
      <c r="L914" s="4">
        <f>IF(AND(F914&gt;=I914,F914&lt;=J914),1,0)</f>
        <v/>
      </c>
    </row>
    <row r="915">
      <c r="A915" s="4" t="inlineStr">
        <is>
          <t>m100_MPa</t>
        </is>
      </c>
      <c r="B915" s="4" t="inlineStr">
        <is>
          <t>G302</t>
        </is>
      </c>
      <c r="C915" s="4" t="inlineStr">
        <is>
          <t>EP4249550A1</t>
        </is>
      </c>
      <c r="D915" s="4" t="inlineStr">
        <is>
          <t>Comparative Example 1</t>
        </is>
      </c>
      <c r="E915" s="4" t="inlineStr">
        <is>
          <t>dev(OOF)</t>
        </is>
      </c>
      <c r="F915" s="10" t="n">
        <v>1.4</v>
      </c>
      <c r="G915" s="10" t="n">
        <v>2.367236949843182</v>
      </c>
      <c r="H915" s="10" t="n">
        <v>2.158657347439748</v>
      </c>
      <c r="I915" s="10">
        <f>G915-1.96*H915</f>
        <v/>
      </c>
      <c r="J915" s="10">
        <f>G915+1.96*H915</f>
        <v/>
      </c>
      <c r="K915" s="10">
        <f>G915-F915</f>
        <v/>
      </c>
      <c r="L915" s="4">
        <f>IF(AND(F915&gt;=I915,F915&lt;=J915),1,0)</f>
        <v/>
      </c>
    </row>
    <row r="916">
      <c r="A916" s="4" t="inlineStr">
        <is>
          <t>m100_MPa</t>
        </is>
      </c>
      <c r="B916" s="4" t="inlineStr">
        <is>
          <t>G323</t>
        </is>
      </c>
      <c r="C916" s="4" t="inlineStr">
        <is>
          <t>KR101467101B1</t>
        </is>
      </c>
      <c r="D916" s="4" t="inlineStr">
        <is>
          <t>Table 2 sample 1</t>
        </is>
      </c>
      <c r="E916" s="4" t="inlineStr">
        <is>
          <t>dev(OOF)</t>
        </is>
      </c>
      <c r="F916" s="10" t="n">
        <v>1.83</v>
      </c>
      <c r="G916" s="10" t="n">
        <v>5.693080385535933</v>
      </c>
      <c r="H916" s="10" t="n">
        <v>1.750718038240539</v>
      </c>
      <c r="I916" s="10">
        <f>G916-1.96*H916</f>
        <v/>
      </c>
      <c r="J916" s="10">
        <f>G916+1.96*H916</f>
        <v/>
      </c>
      <c r="K916" s="10">
        <f>G916-F916</f>
        <v/>
      </c>
      <c r="L916" s="4">
        <f>IF(AND(F916&gt;=I916,F916&lt;=J916),1,0)</f>
        <v/>
      </c>
    </row>
    <row r="917">
      <c r="A917" s="4" t="inlineStr">
        <is>
          <t>m100_MPa</t>
        </is>
      </c>
      <c r="B917" s="4" t="inlineStr">
        <is>
          <t>G024</t>
        </is>
      </c>
      <c r="C917" s="4" t="inlineStr">
        <is>
          <t>US6803402B2</t>
        </is>
      </c>
      <c r="D917" s="4" t="inlineStr">
        <is>
          <t>Example 1</t>
        </is>
      </c>
      <c r="E917" s="4" t="inlineStr">
        <is>
          <t>dev(OOF)</t>
        </is>
      </c>
      <c r="F917" s="10" t="n">
        <v>5.59</v>
      </c>
      <c r="G917" s="10" t="n">
        <v>7.556930169120829</v>
      </c>
      <c r="H917" s="10" t="n">
        <v>1.938341007921921</v>
      </c>
      <c r="I917" s="10">
        <f>G917-1.96*H917</f>
        <v/>
      </c>
      <c r="J917" s="10">
        <f>G917+1.96*H917</f>
        <v/>
      </c>
      <c r="K917" s="10">
        <f>G917-F917</f>
        <v/>
      </c>
      <c r="L917" s="4">
        <f>IF(AND(F917&gt;=I917,F917&lt;=J917),1,0)</f>
        <v/>
      </c>
    </row>
    <row r="918">
      <c r="A918" s="4" t="inlineStr">
        <is>
          <t>m100_MPa</t>
        </is>
      </c>
      <c r="B918" s="4" t="inlineStr">
        <is>
          <t>G322</t>
        </is>
      </c>
      <c r="C918" s="4" t="inlineStr">
        <is>
          <t>KR101467101B1</t>
        </is>
      </c>
      <c r="D918" s="4" t="inlineStr">
        <is>
          <t>Table 1 compound FFKM C</t>
        </is>
      </c>
      <c r="E918" s="4" t="inlineStr">
        <is>
          <t>dev(OOF)</t>
        </is>
      </c>
      <c r="F918" s="10" t="n">
        <v>4.72</v>
      </c>
      <c r="G918" s="10" t="n">
        <v>0.7948959172066141</v>
      </c>
      <c r="H918" s="10" t="n">
        <v>2.443458860403833</v>
      </c>
      <c r="I918" s="10">
        <f>G918-1.96*H918</f>
        <v/>
      </c>
      <c r="J918" s="10">
        <f>G918+1.96*H918</f>
        <v/>
      </c>
      <c r="K918" s="10">
        <f>G918-F918</f>
        <v/>
      </c>
      <c r="L918" s="4">
        <f>IF(AND(F918&gt;=I918,F918&lt;=J918),1,0)</f>
        <v/>
      </c>
    </row>
    <row r="919">
      <c r="A919" s="4" t="inlineStr">
        <is>
          <t>m100_MPa</t>
        </is>
      </c>
      <c r="B919" s="4" t="inlineStr">
        <is>
          <t>G132</t>
        </is>
      </c>
      <c r="C919" s="4" t="inlineStr">
        <is>
          <t>US7247749B2</t>
        </is>
      </c>
      <c r="D919" s="4" t="inlineStr">
        <is>
          <t>Sample 8</t>
        </is>
      </c>
      <c r="E919" s="4" t="inlineStr">
        <is>
          <t>dev(OOF)</t>
        </is>
      </c>
      <c r="F919" s="10" t="n">
        <v>6.77</v>
      </c>
      <c r="G919" s="10" t="n">
        <v>6.606989353145599</v>
      </c>
      <c r="H919" s="10" t="n">
        <v>3.455819364671137</v>
      </c>
      <c r="I919" s="10">
        <f>G919-1.96*H919</f>
        <v/>
      </c>
      <c r="J919" s="10">
        <f>G919+1.96*H919</f>
        <v/>
      </c>
      <c r="K919" s="10">
        <f>G919-F919</f>
        <v/>
      </c>
      <c r="L919" s="4">
        <f>IF(AND(F919&gt;=I919,F919&lt;=J919),1,0)</f>
        <v/>
      </c>
    </row>
    <row r="920">
      <c r="A920" s="4" t="inlineStr">
        <is>
          <t>m100_MPa</t>
        </is>
      </c>
      <c r="B920" s="4" t="inlineStr">
        <is>
          <t>G267</t>
        </is>
      </c>
      <c r="C920" s="4" t="inlineStr">
        <is>
          <t>US20230174763A1</t>
        </is>
      </c>
      <c r="D920" s="4" t="inlineStr">
        <is>
          <t>Example 4</t>
        </is>
      </c>
      <c r="E920" s="4" t="inlineStr">
        <is>
          <t>dev(OOF)</t>
        </is>
      </c>
      <c r="F920" s="10" t="n">
        <v>8.6</v>
      </c>
      <c r="G920" s="10" t="n">
        <v>10.27220842593434</v>
      </c>
      <c r="H920" s="10" t="n">
        <v>2.259456394365078</v>
      </c>
      <c r="I920" s="10">
        <f>G920-1.96*H920</f>
        <v/>
      </c>
      <c r="J920" s="10">
        <f>G920+1.96*H920</f>
        <v/>
      </c>
      <c r="K920" s="10">
        <f>G920-F920</f>
        <v/>
      </c>
      <c r="L920" s="4">
        <f>IF(AND(F920&gt;=I920,F920&lt;=J920),1,0)</f>
        <v/>
      </c>
    </row>
    <row r="921">
      <c r="A921" s="4" t="inlineStr">
        <is>
          <t>m100_MPa</t>
        </is>
      </c>
      <c r="B921" s="4" t="inlineStr">
        <is>
          <t>G027</t>
        </is>
      </c>
      <c r="C921" s="4" t="inlineStr">
        <is>
          <t>US6803402B2</t>
        </is>
      </c>
      <c r="D921" s="4" t="inlineStr">
        <is>
          <t>Comparative Example 2</t>
        </is>
      </c>
      <c r="E921" s="4" t="inlineStr">
        <is>
          <t>dev(OOF)</t>
        </is>
      </c>
      <c r="F921" s="10" t="n">
        <v>7.75</v>
      </c>
      <c r="G921" s="10" t="n">
        <v>7.206662006969584</v>
      </c>
      <c r="H921" s="10" t="n">
        <v>2.634742267437542</v>
      </c>
      <c r="I921" s="10">
        <f>G921-1.96*H921</f>
        <v/>
      </c>
      <c r="J921" s="10">
        <f>G921+1.96*H921</f>
        <v/>
      </c>
      <c r="K921" s="10">
        <f>G921-F921</f>
        <v/>
      </c>
      <c r="L921" s="4">
        <f>IF(AND(F921&gt;=I921,F921&lt;=J921),1,0)</f>
        <v/>
      </c>
    </row>
    <row r="922">
      <c r="A922" s="4" t="inlineStr">
        <is>
          <t>m100_MPa</t>
        </is>
      </c>
      <c r="B922" s="4" t="inlineStr">
        <is>
          <t>G109</t>
        </is>
      </c>
      <c r="C922" s="4" t="inlineStr">
        <is>
          <t>US6992143B2</t>
        </is>
      </c>
      <c r="D922" s="4" t="inlineStr">
        <is>
          <t>Control Example 3</t>
        </is>
      </c>
      <c r="E922" s="4" t="inlineStr">
        <is>
          <t>dev(OOF)</t>
        </is>
      </c>
      <c r="F922" s="10" t="n">
        <v>5.8</v>
      </c>
      <c r="G922" s="10" t="n">
        <v>6.946941943242516</v>
      </c>
      <c r="H922" s="10" t="n">
        <v>1.862342634202832</v>
      </c>
      <c r="I922" s="10">
        <f>G922-1.96*H922</f>
        <v/>
      </c>
      <c r="J922" s="10">
        <f>G922+1.96*H922</f>
        <v/>
      </c>
      <c r="K922" s="10">
        <f>G922-F922</f>
        <v/>
      </c>
      <c r="L922" s="4">
        <f>IF(AND(F922&gt;=I922,F922&lt;=J922),1,0)</f>
        <v/>
      </c>
    </row>
    <row r="923">
      <c r="A923" s="4" t="inlineStr">
        <is>
          <t>m100_MPa</t>
        </is>
      </c>
      <c r="B923" s="4" t="inlineStr">
        <is>
          <t>G122</t>
        </is>
      </c>
      <c r="C923" s="4" t="inlineStr">
        <is>
          <t>US5696189A</t>
        </is>
      </c>
      <c r="D923" s="4" t="inlineStr">
        <is>
          <t>Example 5</t>
        </is>
      </c>
      <c r="E923" s="4" t="inlineStr">
        <is>
          <t>dev(OOF)</t>
        </is>
      </c>
      <c r="F923" s="10" t="n">
        <v>7.89</v>
      </c>
      <c r="G923" s="10" t="n">
        <v>9.187162225031326</v>
      </c>
      <c r="H923" s="10" t="n">
        <v>3.781066022399955</v>
      </c>
      <c r="I923" s="10">
        <f>G923-1.96*H923</f>
        <v/>
      </c>
      <c r="J923" s="10">
        <f>G923+1.96*H923</f>
        <v/>
      </c>
      <c r="K923" s="10">
        <f>G923-F923</f>
        <v/>
      </c>
      <c r="L923" s="4">
        <f>IF(AND(F923&gt;=I923,F923&lt;=J923),1,0)</f>
        <v/>
      </c>
    </row>
    <row r="924">
      <c r="A924" s="4" t="inlineStr">
        <is>
          <t>m100_MPa</t>
        </is>
      </c>
      <c r="B924" s="4" t="inlineStr">
        <is>
          <t>G019</t>
        </is>
      </c>
      <c r="C924" s="4" t="inlineStr">
        <is>
          <t>US7678858B2</t>
        </is>
      </c>
      <c r="D924" s="4" t="inlineStr">
        <is>
          <t>Example 18</t>
        </is>
      </c>
      <c r="E924" s="4" t="inlineStr">
        <is>
          <t>dev(OOF)</t>
        </is>
      </c>
      <c r="F924" s="10" t="n">
        <v>14.42</v>
      </c>
      <c r="G924" s="10" t="n">
        <v>12.68247032265256</v>
      </c>
      <c r="H924" s="10" t="n">
        <v>1.747385020820269</v>
      </c>
      <c r="I924" s="10">
        <f>G924-1.96*H924</f>
        <v/>
      </c>
      <c r="J924" s="10">
        <f>G924+1.96*H924</f>
        <v/>
      </c>
      <c r="K924" s="10">
        <f>G924-F924</f>
        <v/>
      </c>
      <c r="L924" s="4">
        <f>IF(AND(F924&gt;=I924,F924&lt;=J924),1,0)</f>
        <v/>
      </c>
    </row>
    <row r="925">
      <c r="A925" s="4" t="inlineStr">
        <is>
          <t>m100_MPa</t>
        </is>
      </c>
      <c r="B925" s="4" t="inlineStr">
        <is>
          <t>G321</t>
        </is>
      </c>
      <c r="C925" s="4" t="inlineStr">
        <is>
          <t>KR101467101B1</t>
        </is>
      </c>
      <c r="D925" s="4" t="inlineStr">
        <is>
          <t>Table 1 compound FFKM B</t>
        </is>
      </c>
      <c r="E925" s="4" t="inlineStr">
        <is>
          <t>dev(OOF)</t>
        </is>
      </c>
      <c r="F925" s="10" t="n">
        <v>8.34</v>
      </c>
      <c r="G925" s="10" t="n">
        <v>2.83849709021712</v>
      </c>
      <c r="H925" s="10" t="n">
        <v>1.585357481478066</v>
      </c>
      <c r="I925" s="10">
        <f>G925-1.96*H925</f>
        <v/>
      </c>
      <c r="J925" s="10">
        <f>G925+1.96*H925</f>
        <v/>
      </c>
      <c r="K925" s="10">
        <f>G925-F925</f>
        <v/>
      </c>
      <c r="L925" s="4">
        <f>IF(AND(F925&gt;=I925,F925&lt;=J925),1,0)</f>
        <v/>
      </c>
    </row>
    <row r="926">
      <c r="A926" s="4" t="inlineStr">
        <is>
          <t>m100_MPa</t>
        </is>
      </c>
      <c r="B926" s="4" t="inlineStr">
        <is>
          <t>G075</t>
        </is>
      </c>
      <c r="C926" s="4" t="inlineStr">
        <is>
          <t>US12091537B2</t>
        </is>
      </c>
      <c r="D926" s="4" t="inlineStr">
        <is>
          <t>Example 2</t>
        </is>
      </c>
      <c r="E926" s="4" t="inlineStr">
        <is>
          <t>dev(OOF)</t>
        </is>
      </c>
      <c r="F926" s="10" t="n">
        <v>8.5</v>
      </c>
      <c r="G926" s="10" t="n">
        <v>7.856171036291107</v>
      </c>
      <c r="H926" s="10" t="n">
        <v>1.623328865251286</v>
      </c>
      <c r="I926" s="10">
        <f>G926-1.96*H926</f>
        <v/>
      </c>
      <c r="J926" s="10">
        <f>G926+1.96*H926</f>
        <v/>
      </c>
      <c r="K926" s="10">
        <f>G926-F926</f>
        <v/>
      </c>
      <c r="L926" s="4">
        <f>IF(AND(F926&gt;=I926,F926&lt;=J926),1,0)</f>
        <v/>
      </c>
    </row>
    <row r="927">
      <c r="A927" s="4" t="inlineStr">
        <is>
          <t>m100_MPa</t>
        </is>
      </c>
      <c r="B927" s="4" t="inlineStr">
        <is>
          <t>G248</t>
        </is>
      </c>
      <c r="C927" s="4" t="inlineStr">
        <is>
          <t>US12584054B2</t>
        </is>
      </c>
      <c r="D927" s="4" t="inlineStr">
        <is>
          <t>Example 5</t>
        </is>
      </c>
      <c r="E927" s="4" t="inlineStr">
        <is>
          <t>dev(OOF)</t>
        </is>
      </c>
      <c r="F927" s="10" t="n">
        <v>2.2</v>
      </c>
      <c r="G927" s="10" t="n">
        <v>3.272189612715464</v>
      </c>
      <c r="H927" s="10" t="n">
        <v>1.831908879636398</v>
      </c>
      <c r="I927" s="10">
        <f>G927-1.96*H927</f>
        <v/>
      </c>
      <c r="J927" s="10">
        <f>G927+1.96*H927</f>
        <v/>
      </c>
      <c r="K927" s="10">
        <f>G927-F927</f>
        <v/>
      </c>
      <c r="L927" s="4">
        <f>IF(AND(F927&gt;=I927,F927&lt;=J927),1,0)</f>
        <v/>
      </c>
    </row>
    <row r="928">
      <c r="A928" s="4" t="inlineStr">
        <is>
          <t>m100_MPa</t>
        </is>
      </c>
      <c r="B928" s="4" t="inlineStr">
        <is>
          <t>G131</t>
        </is>
      </c>
      <c r="C928" s="4" t="inlineStr">
        <is>
          <t>US7247749B2</t>
        </is>
      </c>
      <c r="D928" s="4" t="inlineStr">
        <is>
          <t>Sample 7</t>
        </is>
      </c>
      <c r="E928" s="4" t="inlineStr">
        <is>
          <t>dev(OOF)</t>
        </is>
      </c>
      <c r="F928" s="10" t="n">
        <v>6.34</v>
      </c>
      <c r="G928" s="10" t="n">
        <v>6.801126121210552</v>
      </c>
      <c r="H928" s="10" t="n">
        <v>2.718727331638961</v>
      </c>
      <c r="I928" s="10">
        <f>G928-1.96*H928</f>
        <v/>
      </c>
      <c r="J928" s="10">
        <f>G928+1.96*H928</f>
        <v/>
      </c>
      <c r="K928" s="10">
        <f>G928-F928</f>
        <v/>
      </c>
      <c r="L928" s="4">
        <f>IF(AND(F928&gt;=I928,F928&lt;=J928),1,0)</f>
        <v/>
      </c>
    </row>
    <row r="929">
      <c r="A929" s="4" t="inlineStr">
        <is>
          <t>m100_MPa</t>
        </is>
      </c>
      <c r="B929" s="4" t="inlineStr">
        <is>
          <t>G089</t>
        </is>
      </c>
      <c r="C929" s="4" t="inlineStr">
        <is>
          <t>US8367776B2</t>
        </is>
      </c>
      <c r="D929" s="4" t="inlineStr">
        <is>
          <t>Example 7</t>
        </is>
      </c>
      <c r="E929" s="4" t="inlineStr">
        <is>
          <t>dev(OOF)</t>
        </is>
      </c>
      <c r="F929" s="10" t="n">
        <v>1.67</v>
      </c>
      <c r="G929" s="10" t="n">
        <v>1.561198236267652</v>
      </c>
      <c r="H929" s="10" t="n">
        <v>1.649683832384053</v>
      </c>
      <c r="I929" s="10">
        <f>G929-1.96*H929</f>
        <v/>
      </c>
      <c r="J929" s="10">
        <f>G929+1.96*H929</f>
        <v/>
      </c>
      <c r="K929" s="10">
        <f>G929-F929</f>
        <v/>
      </c>
      <c r="L929" s="4">
        <f>IF(AND(F929&gt;=I929,F929&lt;=J929),1,0)</f>
        <v/>
      </c>
    </row>
    <row r="930">
      <c r="A930" s="4" t="inlineStr">
        <is>
          <t>m100_MPa</t>
        </is>
      </c>
      <c r="B930" s="4" t="inlineStr">
        <is>
          <t>G174</t>
        </is>
      </c>
      <c r="C930" s="4" t="inlineStr">
        <is>
          <t>US6191208B1</t>
        </is>
      </c>
      <c r="D930" s="4" t="inlineStr">
        <is>
          <t>Comparative Example B</t>
        </is>
      </c>
      <c r="E930" s="4" t="inlineStr">
        <is>
          <t>dev(OOF)</t>
        </is>
      </c>
      <c r="F930" s="10" t="n">
        <v>2.3</v>
      </c>
      <c r="G930" s="10" t="n">
        <v>2.459669799646423</v>
      </c>
      <c r="H930" s="10" t="n">
        <v>1.908305707310378</v>
      </c>
      <c r="I930" s="10">
        <f>G930-1.96*H930</f>
        <v/>
      </c>
      <c r="J930" s="10">
        <f>G930+1.96*H930</f>
        <v/>
      </c>
      <c r="K930" s="10">
        <f>G930-F930</f>
        <v/>
      </c>
      <c r="L930" s="4">
        <f>IF(AND(F930&gt;=I930,F930&lt;=J930),1,0)</f>
        <v/>
      </c>
    </row>
    <row r="931">
      <c r="A931" s="4" t="inlineStr">
        <is>
          <t>m100_MPa</t>
        </is>
      </c>
      <c r="B931" s="4" t="inlineStr">
        <is>
          <t>G009</t>
        </is>
      </c>
      <c r="C931" s="4" t="inlineStr">
        <is>
          <t>US7678858B2</t>
        </is>
      </c>
      <c r="D931" s="4" t="inlineStr">
        <is>
          <t>Example 9</t>
        </is>
      </c>
      <c r="E931" s="4" t="inlineStr">
        <is>
          <t>dev(OOF)</t>
        </is>
      </c>
      <c r="F931" s="10" t="n">
        <v>8.92</v>
      </c>
      <c r="G931" s="10" t="n">
        <v>8.350334180769737</v>
      </c>
      <c r="H931" s="10" t="n">
        <v>1.666848446047622</v>
      </c>
      <c r="I931" s="10">
        <f>G931-1.96*H931</f>
        <v/>
      </c>
      <c r="J931" s="10">
        <f>G931+1.96*H931</f>
        <v/>
      </c>
      <c r="K931" s="10">
        <f>G931-F931</f>
        <v/>
      </c>
      <c r="L931" s="4">
        <f>IF(AND(F931&gt;=I931,F931&lt;=J931),1,0)</f>
        <v/>
      </c>
    </row>
    <row r="932">
      <c r="A932" s="4" t="inlineStr">
        <is>
          <t>m100_MPa</t>
        </is>
      </c>
      <c r="B932" s="4" t="inlineStr">
        <is>
          <t>G173</t>
        </is>
      </c>
      <c r="C932" s="4" t="inlineStr">
        <is>
          <t>US6191208B1</t>
        </is>
      </c>
      <c r="D932" s="4" t="inlineStr">
        <is>
          <t>Comparative Example A</t>
        </is>
      </c>
      <c r="E932" s="4" t="inlineStr">
        <is>
          <t>dev(OOF)</t>
        </is>
      </c>
      <c r="F932" s="10" t="n">
        <v>6.6</v>
      </c>
      <c r="G932" s="10" t="n">
        <v>3.541512076593174</v>
      </c>
      <c r="H932" s="10" t="n">
        <v>2.962674630554104</v>
      </c>
      <c r="I932" s="10">
        <f>G932-1.96*H932</f>
        <v/>
      </c>
      <c r="J932" s="10">
        <f>G932+1.96*H932</f>
        <v/>
      </c>
      <c r="K932" s="10">
        <f>G932-F932</f>
        <v/>
      </c>
      <c r="L932" s="4">
        <f>IF(AND(F932&gt;=I932,F932&lt;=J932),1,0)</f>
        <v/>
      </c>
    </row>
    <row r="933">
      <c r="A933" s="4" t="inlineStr">
        <is>
          <t>m100_MPa</t>
        </is>
      </c>
      <c r="B933" s="4" t="inlineStr">
        <is>
          <t>G296</t>
        </is>
      </c>
      <c r="C933" s="4" t="inlineStr">
        <is>
          <t>EP4249550A1</t>
        </is>
      </c>
      <c r="D933" s="4" t="inlineStr">
        <is>
          <t>Example 7</t>
        </is>
      </c>
      <c r="E933" s="4" t="inlineStr">
        <is>
          <t>dev(OOF)</t>
        </is>
      </c>
      <c r="F933" s="10" t="n">
        <v>5.7</v>
      </c>
      <c r="G933" s="10" t="n">
        <v>5.163648169070679</v>
      </c>
      <c r="H933" s="10" t="n">
        <v>2.444121972256682</v>
      </c>
      <c r="I933" s="10">
        <f>G933-1.96*H933</f>
        <v/>
      </c>
      <c r="J933" s="10">
        <f>G933+1.96*H933</f>
        <v/>
      </c>
      <c r="K933" s="10">
        <f>G933-F933</f>
        <v/>
      </c>
      <c r="L933" s="4">
        <f>IF(AND(F933&gt;=I933,F933&lt;=J933),1,0)</f>
        <v/>
      </c>
    </row>
    <row r="934">
      <c r="A934" s="4" t="inlineStr">
        <is>
          <t>m100_MPa</t>
        </is>
      </c>
      <c r="B934" s="4" t="inlineStr">
        <is>
          <t>G035</t>
        </is>
      </c>
      <c r="C934" s="4" t="inlineStr">
        <is>
          <t>US8173727B2</t>
        </is>
      </c>
      <c r="D934" s="4" t="inlineStr">
        <is>
          <t>Example 7</t>
        </is>
      </c>
      <c r="E934" s="4" t="inlineStr">
        <is>
          <t>dev(OOF)</t>
        </is>
      </c>
      <c r="F934" s="10" t="n">
        <v>9.81</v>
      </c>
      <c r="G934" s="10" t="n">
        <v>5.287528520421434</v>
      </c>
      <c r="H934" s="10" t="n">
        <v>2.412456982070717</v>
      </c>
      <c r="I934" s="10">
        <f>G934-1.96*H934</f>
        <v/>
      </c>
      <c r="J934" s="10">
        <f>G934+1.96*H934</f>
        <v/>
      </c>
      <c r="K934" s="10">
        <f>G934-F934</f>
        <v/>
      </c>
      <c r="L934" s="4">
        <f>IF(AND(F934&gt;=I934,F934&lt;=J934),1,0)</f>
        <v/>
      </c>
    </row>
    <row r="935">
      <c r="A935" s="4" t="inlineStr">
        <is>
          <t>m100_MPa</t>
        </is>
      </c>
      <c r="B935" s="4" t="inlineStr">
        <is>
          <t>G200</t>
        </is>
      </c>
      <c r="C935" s="4" t="inlineStr">
        <is>
          <t>US20160319102A1</t>
        </is>
      </c>
      <c r="D935" s="4" t="inlineStr">
        <is>
          <t>Comparative Example 5</t>
        </is>
      </c>
      <c r="E935" s="4" t="inlineStr">
        <is>
          <t>dev(OOF)</t>
        </is>
      </c>
      <c r="F935" s="10" t="n">
        <v>2.8</v>
      </c>
      <c r="G935" s="10" t="n">
        <v>3.067466674860561</v>
      </c>
      <c r="H935" s="10" t="n">
        <v>1.911002170477444</v>
      </c>
      <c r="I935" s="10">
        <f>G935-1.96*H935</f>
        <v/>
      </c>
      <c r="J935" s="10">
        <f>G935+1.96*H935</f>
        <v/>
      </c>
      <c r="K935" s="10">
        <f>G935-F935</f>
        <v/>
      </c>
      <c r="L935" s="4">
        <f>IF(AND(F935&gt;=I935,F935&lt;=J935),1,0)</f>
        <v/>
      </c>
    </row>
    <row r="936">
      <c r="A936" s="4" t="inlineStr">
        <is>
          <t>m100_MPa</t>
        </is>
      </c>
      <c r="B936" s="4" t="inlineStr">
        <is>
          <t>G297</t>
        </is>
      </c>
      <c r="C936" s="4" t="inlineStr">
        <is>
          <t>EP4249550A1</t>
        </is>
      </c>
      <c r="D936" s="4" t="inlineStr">
        <is>
          <t>Example 8</t>
        </is>
      </c>
      <c r="E936" s="4" t="inlineStr">
        <is>
          <t>dev(OOF)</t>
        </is>
      </c>
      <c r="F936" s="10" t="n">
        <v>5.4</v>
      </c>
      <c r="G936" s="10" t="n">
        <v>4.436545868420941</v>
      </c>
      <c r="H936" s="10" t="n">
        <v>2.971896594348436</v>
      </c>
      <c r="I936" s="10">
        <f>G936-1.96*H936</f>
        <v/>
      </c>
      <c r="J936" s="10">
        <f>G936+1.96*H936</f>
        <v/>
      </c>
      <c r="K936" s="10">
        <f>G936-F936</f>
        <v/>
      </c>
      <c r="L936" s="4">
        <f>IF(AND(F936&gt;=I936,F936&lt;=J936),1,0)</f>
        <v/>
      </c>
    </row>
    <row r="937">
      <c r="A937" s="4" t="inlineStr">
        <is>
          <t>m100_MPa</t>
        </is>
      </c>
      <c r="B937" s="4" t="inlineStr">
        <is>
          <t>G128</t>
        </is>
      </c>
      <c r="C937" s="4" t="inlineStr">
        <is>
          <t>US7247749B2</t>
        </is>
      </c>
      <c r="D937" s="4" t="inlineStr">
        <is>
          <t>Sample 4</t>
        </is>
      </c>
      <c r="E937" s="4" t="inlineStr">
        <is>
          <t>dev(OOF)</t>
        </is>
      </c>
      <c r="F937" s="10" t="n">
        <v>7.28</v>
      </c>
      <c r="G937" s="10" t="n">
        <v>5.916294505621318</v>
      </c>
      <c r="H937" s="10" t="n">
        <v>1.9294637212124</v>
      </c>
      <c r="I937" s="10">
        <f>G937-1.96*H937</f>
        <v/>
      </c>
      <c r="J937" s="10">
        <f>G937+1.96*H937</f>
        <v/>
      </c>
      <c r="K937" s="10">
        <f>G937-F937</f>
        <v/>
      </c>
      <c r="L937" s="4">
        <f>IF(AND(F937&gt;=I937,F937&lt;=J937),1,0)</f>
        <v/>
      </c>
    </row>
    <row r="938">
      <c r="A938" s="4" t="inlineStr">
        <is>
          <t>m100_MPa</t>
        </is>
      </c>
      <c r="B938" s="4" t="inlineStr">
        <is>
          <t>G133</t>
        </is>
      </c>
      <c r="C938" s="4" t="inlineStr">
        <is>
          <t>US7247749B2</t>
        </is>
      </c>
      <c r="D938" s="4" t="inlineStr">
        <is>
          <t>Sample 9</t>
        </is>
      </c>
      <c r="E938" s="4" t="inlineStr">
        <is>
          <t>dev(OOF)</t>
        </is>
      </c>
      <c r="F938" s="10" t="n">
        <v>6.64</v>
      </c>
      <c r="G938" s="10" t="n">
        <v>5.44601902519851</v>
      </c>
      <c r="H938" s="10" t="n">
        <v>1.827309037465578</v>
      </c>
      <c r="I938" s="10">
        <f>G938-1.96*H938</f>
        <v/>
      </c>
      <c r="J938" s="10">
        <f>G938+1.96*H938</f>
        <v/>
      </c>
      <c r="K938" s="10">
        <f>G938-F938</f>
        <v/>
      </c>
      <c r="L938" s="4">
        <f>IF(AND(F938&gt;=I938,F938&lt;=J938),1,0)</f>
        <v/>
      </c>
    </row>
    <row r="939">
      <c r="A939" s="4" t="inlineStr">
        <is>
          <t>m100_MPa</t>
        </is>
      </c>
      <c r="B939" s="4" t="inlineStr">
        <is>
          <t>G047</t>
        </is>
      </c>
      <c r="C939" s="4" t="inlineStr">
        <is>
          <t>US8211964B2</t>
        </is>
      </c>
      <c r="D939" s="4" t="inlineStr">
        <is>
          <t>Example 6</t>
        </is>
      </c>
      <c r="E939" s="4" t="inlineStr">
        <is>
          <t>dev(OOF)</t>
        </is>
      </c>
      <c r="F939" s="10" t="n">
        <v>5.2</v>
      </c>
      <c r="G939" s="10" t="n">
        <v>6.994448741109528</v>
      </c>
      <c r="H939" s="10" t="n">
        <v>2.68905662110091</v>
      </c>
      <c r="I939" s="10">
        <f>G939-1.96*H939</f>
        <v/>
      </c>
      <c r="J939" s="10">
        <f>G939+1.96*H939</f>
        <v/>
      </c>
      <c r="K939" s="10">
        <f>G939-F939</f>
        <v/>
      </c>
      <c r="L939" s="4">
        <f>IF(AND(F939&gt;=I939,F939&lt;=J939),1,0)</f>
        <v/>
      </c>
    </row>
    <row r="940">
      <c r="A940" s="4" t="inlineStr">
        <is>
          <t>m100_MPa</t>
        </is>
      </c>
      <c r="B940" s="4" t="inlineStr">
        <is>
          <t>G113</t>
        </is>
      </c>
      <c r="C940" s="4" t="inlineStr">
        <is>
          <t>US6992143B2</t>
        </is>
      </c>
      <c r="D940" s="4" t="inlineStr">
        <is>
          <t>Comparative Example A</t>
        </is>
      </c>
      <c r="E940" s="4" t="inlineStr">
        <is>
          <t>dev(OOF)</t>
        </is>
      </c>
      <c r="F940" s="10" t="n">
        <v>7.6</v>
      </c>
      <c r="G940" s="10" t="n">
        <v>6.171965027580979</v>
      </c>
      <c r="H940" s="10" t="n">
        <v>2.769732300431738</v>
      </c>
      <c r="I940" s="10">
        <f>G940-1.96*H940</f>
        <v/>
      </c>
      <c r="J940" s="10">
        <f>G940+1.96*H940</f>
        <v/>
      </c>
      <c r="K940" s="10">
        <f>G940-F940</f>
        <v/>
      </c>
      <c r="L940" s="4">
        <f>IF(AND(F940&gt;=I940,F940&lt;=J940),1,0)</f>
        <v/>
      </c>
    </row>
    <row r="941">
      <c r="A941" s="4" t="inlineStr">
        <is>
          <t>m100_MPa</t>
        </is>
      </c>
      <c r="B941" s="4" t="inlineStr">
        <is>
          <t>G029</t>
        </is>
      </c>
      <c r="C941" s="4" t="inlineStr">
        <is>
          <t>US8173727B2</t>
        </is>
      </c>
      <c r="D941" s="4" t="inlineStr">
        <is>
          <t>Example 1</t>
        </is>
      </c>
      <c r="E941" s="4" t="inlineStr">
        <is>
          <t>dev(OOF)</t>
        </is>
      </c>
      <c r="F941" s="10" t="n">
        <v>9.81</v>
      </c>
      <c r="G941" s="10" t="n">
        <v>11.74445058781396</v>
      </c>
      <c r="H941" s="10" t="n">
        <v>1.678571376639425</v>
      </c>
      <c r="I941" s="10">
        <f>G941-1.96*H941</f>
        <v/>
      </c>
      <c r="J941" s="10">
        <f>G941+1.96*H941</f>
        <v/>
      </c>
      <c r="K941" s="10">
        <f>G941-F941</f>
        <v/>
      </c>
      <c r="L941" s="4">
        <f>IF(AND(F941&gt;=I941,F941&lt;=J941),1,0)</f>
        <v/>
      </c>
    </row>
    <row r="942">
      <c r="A942" s="4" t="inlineStr">
        <is>
          <t>m100_MPa</t>
        </is>
      </c>
      <c r="B942" s="4" t="inlineStr">
        <is>
          <t>G102</t>
        </is>
      </c>
      <c r="C942" s="4" t="inlineStr">
        <is>
          <t>US7354974B2</t>
        </is>
      </c>
      <c r="D942" s="4" t="inlineStr">
        <is>
          <t>Example 6</t>
        </is>
      </c>
      <c r="E942" s="4" t="inlineStr">
        <is>
          <t>dev(OOF)</t>
        </is>
      </c>
      <c r="F942" s="10" t="n">
        <v>15.3</v>
      </c>
      <c r="G942" s="10" t="n">
        <v>16.64119412604232</v>
      </c>
      <c r="H942" s="10" t="n">
        <v>4.626382411630153</v>
      </c>
      <c r="I942" s="10">
        <f>G942-1.96*H942</f>
        <v/>
      </c>
      <c r="J942" s="10">
        <f>G942+1.96*H942</f>
        <v/>
      </c>
      <c r="K942" s="10">
        <f>G942-F942</f>
        <v/>
      </c>
      <c r="L942" s="4">
        <f>IF(AND(F942&gt;=I942,F942&lt;=J942),1,0)</f>
        <v/>
      </c>
    </row>
    <row r="943">
      <c r="A943" s="4" t="inlineStr">
        <is>
          <t>m100_MPa</t>
        </is>
      </c>
      <c r="B943" s="4" t="inlineStr">
        <is>
          <t>G081</t>
        </is>
      </c>
      <c r="C943" s="4" t="inlineStr">
        <is>
          <t>US12304984B2</t>
        </is>
      </c>
      <c r="D943" s="4" t="inlineStr">
        <is>
          <t>Example 1</t>
        </is>
      </c>
      <c r="E943" s="4" t="inlineStr">
        <is>
          <t>dev(OOF)</t>
        </is>
      </c>
      <c r="F943" s="10" t="n">
        <v>3.6</v>
      </c>
      <c r="G943" s="10" t="n">
        <v>3.820931181413736</v>
      </c>
      <c r="H943" s="10" t="n">
        <v>2.794112903764945</v>
      </c>
      <c r="I943" s="10">
        <f>G943-1.96*H943</f>
        <v/>
      </c>
      <c r="J943" s="10">
        <f>G943+1.96*H943</f>
        <v/>
      </c>
      <c r="K943" s="10">
        <f>G943-F943</f>
        <v/>
      </c>
      <c r="L943" s="4">
        <f>IF(AND(F943&gt;=I943,F943&lt;=J943),1,0)</f>
        <v/>
      </c>
    </row>
    <row r="944">
      <c r="A944" s="4" t="inlineStr">
        <is>
          <t>m100_MPa</t>
        </is>
      </c>
      <c r="B944" s="4" t="inlineStr">
        <is>
          <t>G256</t>
        </is>
      </c>
      <c r="C944" s="4" t="inlineStr">
        <is>
          <t>US12584054B2</t>
        </is>
      </c>
      <c r="D944" s="4" t="inlineStr">
        <is>
          <t>Comparative Example 8</t>
        </is>
      </c>
      <c r="E944" s="4" t="inlineStr">
        <is>
          <t>dev(OOF)</t>
        </is>
      </c>
      <c r="F944" s="10" t="n">
        <v>5.4</v>
      </c>
      <c r="G944" s="10" t="n">
        <v>2.376507244405046</v>
      </c>
      <c r="H944" s="10" t="n">
        <v>2.01440629212032</v>
      </c>
      <c r="I944" s="10">
        <f>G944-1.96*H944</f>
        <v/>
      </c>
      <c r="J944" s="10">
        <f>G944+1.96*H944</f>
        <v/>
      </c>
      <c r="K944" s="10">
        <f>G944-F944</f>
        <v/>
      </c>
      <c r="L944" s="4">
        <f>IF(AND(F944&gt;=I944,F944&lt;=J944),1,0)</f>
        <v/>
      </c>
    </row>
    <row r="945">
      <c r="A945" s="4" t="inlineStr">
        <is>
          <t>m100_MPa</t>
        </is>
      </c>
      <c r="B945" s="4" t="inlineStr">
        <is>
          <t>G123</t>
        </is>
      </c>
      <c r="C945" s="4" t="inlineStr">
        <is>
          <t>US5696189A</t>
        </is>
      </c>
      <c r="D945" s="4" t="inlineStr">
        <is>
          <t>Example 6</t>
        </is>
      </c>
      <c r="E945" s="4" t="inlineStr">
        <is>
          <t>dev(OOF)</t>
        </is>
      </c>
      <c r="F945" s="10" t="n">
        <v>6.42</v>
      </c>
      <c r="G945" s="10" t="n">
        <v>9.12514498052434</v>
      </c>
      <c r="H945" s="10" t="n">
        <v>3.82447013706317</v>
      </c>
      <c r="I945" s="10">
        <f>G945-1.96*H945</f>
        <v/>
      </c>
      <c r="J945" s="10">
        <f>G945+1.96*H945</f>
        <v/>
      </c>
      <c r="K945" s="10">
        <f>G945-F945</f>
        <v/>
      </c>
      <c r="L945" s="4">
        <f>IF(AND(F945&gt;=I945,F945&lt;=J945),1,0)</f>
        <v/>
      </c>
    </row>
    <row r="946">
      <c r="A946" s="4" t="inlineStr">
        <is>
          <t>m100_MPa</t>
        </is>
      </c>
      <c r="B946" s="4" t="inlineStr">
        <is>
          <t>G011</t>
        </is>
      </c>
      <c r="C946" s="4" t="inlineStr">
        <is>
          <t>US7678858B2</t>
        </is>
      </c>
      <c r="D946" s="4" t="inlineStr">
        <is>
          <t>Example 10</t>
        </is>
      </c>
      <c r="E946" s="4" t="inlineStr">
        <is>
          <t>dev(OOF)</t>
        </is>
      </c>
      <c r="F946" s="10" t="n">
        <v>7.16</v>
      </c>
      <c r="G946" s="10" t="n">
        <v>12.78321390932772</v>
      </c>
      <c r="H946" s="10" t="n">
        <v>1.580611767573346</v>
      </c>
      <c r="I946" s="10">
        <f>G946-1.96*H946</f>
        <v/>
      </c>
      <c r="J946" s="10">
        <f>G946+1.96*H946</f>
        <v/>
      </c>
      <c r="K946" s="10">
        <f>G946-F946</f>
        <v/>
      </c>
      <c r="L946" s="4">
        <f>IF(AND(F946&gt;=I946,F946&lt;=J946),1,0)</f>
        <v/>
      </c>
    </row>
    <row r="947">
      <c r="A947" s="4" t="inlineStr">
        <is>
          <t>m100_MPa</t>
        </is>
      </c>
      <c r="B947" s="4" t="inlineStr">
        <is>
          <t>G031</t>
        </is>
      </c>
      <c r="C947" s="4" t="inlineStr">
        <is>
          <t>US8173727B2</t>
        </is>
      </c>
      <c r="D947" s="4" t="inlineStr">
        <is>
          <t>Example 3</t>
        </is>
      </c>
      <c r="E947" s="4" t="inlineStr">
        <is>
          <t>dev(OOF)</t>
        </is>
      </c>
      <c r="F947" s="10" t="n">
        <v>15.2</v>
      </c>
      <c r="G947" s="10" t="n">
        <v>11.74445058781396</v>
      </c>
      <c r="H947" s="10" t="n">
        <v>1.678571376639425</v>
      </c>
      <c r="I947" s="10">
        <f>G947-1.96*H947</f>
        <v/>
      </c>
      <c r="J947" s="10">
        <f>G947+1.96*H947</f>
        <v/>
      </c>
      <c r="K947" s="10">
        <f>G947-F947</f>
        <v/>
      </c>
      <c r="L947" s="4">
        <f>IF(AND(F947&gt;=I947,F947&lt;=J947),1,0)</f>
        <v/>
      </c>
    </row>
    <row r="948">
      <c r="A948" s="4" t="inlineStr">
        <is>
          <t>m100_MPa</t>
        </is>
      </c>
      <c r="B948" s="4" t="inlineStr">
        <is>
          <t>G139</t>
        </is>
      </c>
      <c r="C948" s="4" t="inlineStr">
        <is>
          <t>US7247749B2</t>
        </is>
      </c>
      <c r="D948" s="4" t="inlineStr">
        <is>
          <t>Sample 15</t>
        </is>
      </c>
      <c r="E948" s="4" t="inlineStr">
        <is>
          <t>dev(OOF)</t>
        </is>
      </c>
      <c r="F948" s="10" t="n">
        <v>3.43</v>
      </c>
      <c r="G948" s="10" t="n">
        <v>5.871905534870779</v>
      </c>
      <c r="H948" s="10" t="n">
        <v>1.89643289942056</v>
      </c>
      <c r="I948" s="10">
        <f>G948-1.96*H948</f>
        <v/>
      </c>
      <c r="J948" s="10">
        <f>G948+1.96*H948</f>
        <v/>
      </c>
      <c r="K948" s="10">
        <f>G948-F948</f>
        <v/>
      </c>
      <c r="L948" s="4">
        <f>IF(AND(F948&gt;=I948,F948&lt;=J948),1,0)</f>
        <v/>
      </c>
    </row>
    <row r="949">
      <c r="A949" s="4" t="inlineStr">
        <is>
          <t>m100_MPa</t>
        </is>
      </c>
      <c r="B949" s="4" t="inlineStr">
        <is>
          <t>G320</t>
        </is>
      </c>
      <c r="C949" s="4" t="inlineStr">
        <is>
          <t>KR101467101B1</t>
        </is>
      </c>
      <c r="D949" s="4" t="inlineStr">
        <is>
          <t>Table 1 compound FFKM A</t>
        </is>
      </c>
      <c r="E949" s="4" t="inlineStr">
        <is>
          <t>dev(OOF)</t>
        </is>
      </c>
      <c r="F949" s="10" t="n">
        <v>4.93</v>
      </c>
      <c r="G949" s="10" t="n">
        <v>3.633884607158079</v>
      </c>
      <c r="H949" s="10" t="n">
        <v>1.76477727280617</v>
      </c>
      <c r="I949" s="10">
        <f>G949-1.96*H949</f>
        <v/>
      </c>
      <c r="J949" s="10">
        <f>G949+1.96*H949</f>
        <v/>
      </c>
      <c r="K949" s="10">
        <f>G949-F949</f>
        <v/>
      </c>
      <c r="L949" s="4">
        <f>IF(AND(F949&gt;=I949,F949&lt;=J949),1,0)</f>
        <v/>
      </c>
    </row>
    <row r="950">
      <c r="A950" s="4" t="inlineStr">
        <is>
          <t>m100_MPa</t>
        </is>
      </c>
      <c r="B950" s="4" t="inlineStr">
        <is>
          <t>G079</t>
        </is>
      </c>
      <c r="C950" s="4" t="inlineStr">
        <is>
          <t>US12091537B2</t>
        </is>
      </c>
      <c r="D950" s="4" t="inlineStr">
        <is>
          <t>Comparative Example 1</t>
        </is>
      </c>
      <c r="E950" s="4" t="inlineStr">
        <is>
          <t>dev(OOF)</t>
        </is>
      </c>
      <c r="F950" s="10" t="n">
        <v>8.9</v>
      </c>
      <c r="G950" s="10" t="n">
        <v>7.775769865743243</v>
      </c>
      <c r="H950" s="10" t="n">
        <v>1.694933890583425</v>
      </c>
      <c r="I950" s="10">
        <f>G950-1.96*H950</f>
        <v/>
      </c>
      <c r="J950" s="10">
        <f>G950+1.96*H950</f>
        <v/>
      </c>
      <c r="K950" s="10">
        <f>G950-F950</f>
        <v/>
      </c>
      <c r="L950" s="4">
        <f>IF(AND(F950&gt;=I950,F950&lt;=J950),1,0)</f>
        <v/>
      </c>
    </row>
    <row r="951">
      <c r="A951" s="4" t="inlineStr">
        <is>
          <t>m100_MPa</t>
        </is>
      </c>
      <c r="B951" s="4" t="inlineStr">
        <is>
          <t>G203</t>
        </is>
      </c>
      <c r="C951" s="4" t="inlineStr">
        <is>
          <t>US20160319102A1</t>
        </is>
      </c>
      <c r="D951" s="4" t="inlineStr">
        <is>
          <t>Comparative Example 9</t>
        </is>
      </c>
      <c r="E951" s="4" t="inlineStr">
        <is>
          <t>dev(OOF)</t>
        </is>
      </c>
      <c r="F951" s="10" t="n">
        <v>6.9</v>
      </c>
      <c r="G951" s="10" t="n">
        <v>4.523980953949211</v>
      </c>
      <c r="H951" s="10" t="n">
        <v>1.8752600350507</v>
      </c>
      <c r="I951" s="10">
        <f>G951-1.96*H951</f>
        <v/>
      </c>
      <c r="J951" s="10">
        <f>G951+1.96*H951</f>
        <v/>
      </c>
      <c r="K951" s="10">
        <f>G951-F951</f>
        <v/>
      </c>
      <c r="L951" s="4">
        <f>IF(AND(F951&gt;=I951,F951&lt;=J951),1,0)</f>
        <v/>
      </c>
    </row>
    <row r="952">
      <c r="A952" s="4" t="inlineStr">
        <is>
          <t>m100_MPa</t>
        </is>
      </c>
      <c r="B952" s="4" t="inlineStr">
        <is>
          <t>G195</t>
        </is>
      </c>
      <c r="C952" s="4" t="inlineStr">
        <is>
          <t>US20160319102A1</t>
        </is>
      </c>
      <c r="D952" s="4" t="inlineStr">
        <is>
          <t>Example 6</t>
        </is>
      </c>
      <c r="E952" s="4" t="inlineStr">
        <is>
          <t>dev(OOF)</t>
        </is>
      </c>
      <c r="F952" s="10" t="n">
        <v>5.1</v>
      </c>
      <c r="G952" s="10" t="n">
        <v>5.536397720270339</v>
      </c>
      <c r="H952" s="10" t="n">
        <v>1.829298465889286</v>
      </c>
      <c r="I952" s="10">
        <f>G952-1.96*H952</f>
        <v/>
      </c>
      <c r="J952" s="10">
        <f>G952+1.96*H952</f>
        <v/>
      </c>
      <c r="K952" s="10">
        <f>G952-F952</f>
        <v/>
      </c>
      <c r="L952" s="4">
        <f>IF(AND(F952&gt;=I952,F952&lt;=J952),1,0)</f>
        <v/>
      </c>
    </row>
    <row r="953">
      <c r="A953" s="4" t="inlineStr">
        <is>
          <t>m100_MPa</t>
        </is>
      </c>
      <c r="B953" s="4" t="inlineStr">
        <is>
          <t>G191</t>
        </is>
      </c>
      <c r="C953" s="4" t="inlineStr">
        <is>
          <t>US20160319102A1</t>
        </is>
      </c>
      <c r="D953" s="4" t="inlineStr">
        <is>
          <t>Example 2</t>
        </is>
      </c>
      <c r="E953" s="4" t="inlineStr">
        <is>
          <t>dev(OOF)</t>
        </is>
      </c>
      <c r="F953" s="10" t="n">
        <v>3.1</v>
      </c>
      <c r="G953" s="10" t="n">
        <v>3.459825484544765</v>
      </c>
      <c r="H953" s="10" t="n">
        <v>1.824740100785938</v>
      </c>
      <c r="I953" s="10">
        <f>G953-1.96*H953</f>
        <v/>
      </c>
      <c r="J953" s="10">
        <f>G953+1.96*H953</f>
        <v/>
      </c>
      <c r="K953" s="10">
        <f>G953-F953</f>
        <v/>
      </c>
      <c r="L953" s="4">
        <f>IF(AND(F953&gt;=I953,F953&lt;=J953),1,0)</f>
        <v/>
      </c>
    </row>
    <row r="954">
      <c r="A954" s="4" t="inlineStr">
        <is>
          <t>m100_MPa</t>
        </is>
      </c>
      <c r="B954" s="4" t="inlineStr">
        <is>
          <t>G080</t>
        </is>
      </c>
      <c r="C954" s="4" t="inlineStr">
        <is>
          <t>US12091537B2</t>
        </is>
      </c>
      <c r="D954" s="4" t="inlineStr">
        <is>
          <t>Reference Example 1</t>
        </is>
      </c>
      <c r="E954" s="4" t="inlineStr">
        <is>
          <t>dev(OOF)</t>
        </is>
      </c>
      <c r="F954" s="10" t="n">
        <v>8</v>
      </c>
      <c r="G954" s="10" t="n">
        <v>7.03039825944508</v>
      </c>
      <c r="H954" s="10" t="n">
        <v>1.729272516436777</v>
      </c>
      <c r="I954" s="10">
        <f>G954-1.96*H954</f>
        <v/>
      </c>
      <c r="J954" s="10">
        <f>G954+1.96*H954</f>
        <v/>
      </c>
      <c r="K954" s="10">
        <f>G954-F954</f>
        <v/>
      </c>
      <c r="L954" s="4">
        <f>IF(AND(F954&gt;=I954,F954&lt;=J954),1,0)</f>
        <v/>
      </c>
    </row>
    <row r="955">
      <c r="A955" s="4" t="inlineStr">
        <is>
          <t>m100_MPa</t>
        </is>
      </c>
      <c r="B955" s="4" t="inlineStr">
        <is>
          <t>G098</t>
        </is>
      </c>
      <c r="C955" s="4" t="inlineStr">
        <is>
          <t>US7354974B2</t>
        </is>
      </c>
      <c r="D955" s="4" t="inlineStr">
        <is>
          <t>Example 2</t>
        </is>
      </c>
      <c r="E955" s="4" t="inlineStr">
        <is>
          <t>dev(OOF)</t>
        </is>
      </c>
      <c r="F955" s="10" t="n">
        <v>6.3</v>
      </c>
      <c r="G955" s="10" t="n">
        <v>5.651811032456061</v>
      </c>
      <c r="H955" s="10" t="n">
        <v>1.787225665283875</v>
      </c>
      <c r="I955" s="10">
        <f>G955-1.96*H955</f>
        <v/>
      </c>
      <c r="J955" s="10">
        <f>G955+1.96*H955</f>
        <v/>
      </c>
      <c r="K955" s="10">
        <f>G955-F955</f>
        <v/>
      </c>
      <c r="L955" s="4">
        <f>IF(AND(F955&gt;=I955,F955&lt;=J955),1,0)</f>
        <v/>
      </c>
    </row>
    <row r="956">
      <c r="A956" s="4" t="inlineStr">
        <is>
          <t>m100_MPa</t>
        </is>
      </c>
      <c r="B956" s="4" t="inlineStr">
        <is>
          <t>G099</t>
        </is>
      </c>
      <c r="C956" s="4" t="inlineStr">
        <is>
          <t>US7354974B2</t>
        </is>
      </c>
      <c r="D956" s="4" t="inlineStr">
        <is>
          <t>Example 3</t>
        </is>
      </c>
      <c r="E956" s="4" t="inlineStr">
        <is>
          <t>dev(OOF)</t>
        </is>
      </c>
      <c r="F956" s="10" t="n">
        <v>5.8</v>
      </c>
      <c r="G956" s="10" t="n">
        <v>5.813201965637425</v>
      </c>
      <c r="H956" s="10" t="n">
        <v>1.725752216133127</v>
      </c>
      <c r="I956" s="10">
        <f>G956-1.96*H956</f>
        <v/>
      </c>
      <c r="J956" s="10">
        <f>G956+1.96*H956</f>
        <v/>
      </c>
      <c r="K956" s="10">
        <f>G956-F956</f>
        <v/>
      </c>
      <c r="L956" s="4">
        <f>IF(AND(F956&gt;=I956,F956&lt;=J956),1,0)</f>
        <v/>
      </c>
    </row>
    <row r="957">
      <c r="A957" s="4" t="inlineStr">
        <is>
          <t>m100_MPa</t>
        </is>
      </c>
      <c r="B957" s="4" t="inlineStr">
        <is>
          <t>G101</t>
        </is>
      </c>
      <c r="C957" s="4" t="inlineStr">
        <is>
          <t>US7354974B2</t>
        </is>
      </c>
      <c r="D957" s="4" t="inlineStr">
        <is>
          <t>Example 5</t>
        </is>
      </c>
      <c r="E957" s="4" t="inlineStr">
        <is>
          <t>dev(OOF)</t>
        </is>
      </c>
      <c r="F957" s="10" t="n">
        <v>11.9</v>
      </c>
      <c r="G957" s="10" t="n">
        <v>11.23326790576261</v>
      </c>
      <c r="H957" s="10" t="n">
        <v>2.993470868694576</v>
      </c>
      <c r="I957" s="10">
        <f>G957-1.96*H957</f>
        <v/>
      </c>
      <c r="J957" s="10">
        <f>G957+1.96*H957</f>
        <v/>
      </c>
      <c r="K957" s="10">
        <f>G957-F957</f>
        <v/>
      </c>
      <c r="L957" s="4">
        <f>IF(AND(F957&gt;=I957,F957&lt;=J957),1,0)</f>
        <v/>
      </c>
    </row>
    <row r="958">
      <c r="A958" s="4" t="inlineStr">
        <is>
          <t>m100_MPa</t>
        </is>
      </c>
      <c r="B958" s="4" t="inlineStr">
        <is>
          <t>G107</t>
        </is>
      </c>
      <c r="C958" s="4" t="inlineStr">
        <is>
          <t>US6992143B2</t>
        </is>
      </c>
      <c r="D958" s="4" t="inlineStr">
        <is>
          <t>Control Example 1</t>
        </is>
      </c>
      <c r="E958" s="4" t="inlineStr">
        <is>
          <t>dev(OOF)</t>
        </is>
      </c>
      <c r="F958" s="10" t="n">
        <v>7.9</v>
      </c>
      <c r="G958" s="10" t="n">
        <v>6.273024503663684</v>
      </c>
      <c r="H958" s="10" t="n">
        <v>1.912347992672651</v>
      </c>
      <c r="I958" s="10">
        <f>G958-1.96*H958</f>
        <v/>
      </c>
      <c r="J958" s="10">
        <f>G958+1.96*H958</f>
        <v/>
      </c>
      <c r="K958" s="10">
        <f>G958-F958</f>
        <v/>
      </c>
      <c r="L958" s="4">
        <f>IF(AND(F958&gt;=I958,F958&lt;=J958),1,0)</f>
        <v/>
      </c>
    </row>
    <row r="959">
      <c r="A959" s="4" t="inlineStr">
        <is>
          <t>m100_MPa</t>
        </is>
      </c>
      <c r="B959" s="4" t="inlineStr">
        <is>
          <t>G148</t>
        </is>
      </c>
      <c r="C959" s="4" t="inlineStr">
        <is>
          <t>US7247749B2</t>
        </is>
      </c>
      <c r="D959" s="4" t="inlineStr">
        <is>
          <t>Sample 24</t>
        </is>
      </c>
      <c r="E959" s="4" t="inlineStr">
        <is>
          <t>dev(OOF)</t>
        </is>
      </c>
      <c r="F959" s="10" t="n">
        <v>5.17</v>
      </c>
      <c r="G959" s="10" t="n">
        <v>5.43300041693353</v>
      </c>
      <c r="H959" s="10" t="n">
        <v>1.732090824905254</v>
      </c>
      <c r="I959" s="10">
        <f>G959-1.96*H959</f>
        <v/>
      </c>
      <c r="J959" s="10">
        <f>G959+1.96*H959</f>
        <v/>
      </c>
      <c r="K959" s="10">
        <f>G959-F959</f>
        <v/>
      </c>
      <c r="L959" s="4">
        <f>IF(AND(F959&gt;=I959,F959&lt;=J959),1,0)</f>
        <v/>
      </c>
    </row>
    <row r="960">
      <c r="A960" s="4" t="inlineStr">
        <is>
          <t>m100_MPa</t>
        </is>
      </c>
      <c r="B960" s="4" t="inlineStr">
        <is>
          <t>G309</t>
        </is>
      </c>
      <c r="C960" s="4" t="inlineStr">
        <is>
          <t>EP4249550A1</t>
        </is>
      </c>
      <c r="D960" s="4" t="inlineStr">
        <is>
          <t>Example 9</t>
        </is>
      </c>
      <c r="E960" s="4" t="inlineStr">
        <is>
          <t>dev(OOF)</t>
        </is>
      </c>
      <c r="F960" s="10" t="n">
        <v>1.4</v>
      </c>
      <c r="G960" s="10" t="n">
        <v>1.595248548455591</v>
      </c>
      <c r="H960" s="10" t="n">
        <v>1.781589784179754</v>
      </c>
      <c r="I960" s="10">
        <f>G960-1.96*H960</f>
        <v/>
      </c>
      <c r="J960" s="10">
        <f>G960+1.96*H960</f>
        <v/>
      </c>
      <c r="K960" s="10">
        <f>G960-F960</f>
        <v/>
      </c>
      <c r="L960" s="4">
        <f>IF(AND(F960&gt;=I960,F960&lt;=J960),1,0)</f>
        <v/>
      </c>
    </row>
    <row r="961">
      <c r="A961" s="4" t="inlineStr">
        <is>
          <t>m100_MPa</t>
        </is>
      </c>
      <c r="B961" s="4" t="inlineStr">
        <is>
          <t>G033</t>
        </is>
      </c>
      <c r="C961" s="4" t="inlineStr">
        <is>
          <t>US8173727B2</t>
        </is>
      </c>
      <c r="D961" s="4" t="inlineStr">
        <is>
          <t>Example 5</t>
        </is>
      </c>
      <c r="E961" s="4" t="inlineStr">
        <is>
          <t>dev(OOF)</t>
        </is>
      </c>
      <c r="F961" s="10" t="n">
        <v>5.88</v>
      </c>
      <c r="G961" s="10" t="n">
        <v>12.93367174880628</v>
      </c>
      <c r="H961" s="10" t="n">
        <v>1.491686065489359</v>
      </c>
      <c r="I961" s="10">
        <f>G961-1.96*H961</f>
        <v/>
      </c>
      <c r="J961" s="10">
        <f>G961+1.96*H961</f>
        <v/>
      </c>
      <c r="K961" s="10">
        <f>G961-F961</f>
        <v/>
      </c>
      <c r="L961" s="4">
        <f>IF(AND(F961&gt;=I961,F961&lt;=J961),1,0)</f>
        <v/>
      </c>
    </row>
    <row r="962">
      <c r="A962" s="4" t="inlineStr">
        <is>
          <t>m100_MPa</t>
        </is>
      </c>
      <c r="B962" s="4" t="inlineStr">
        <is>
          <t>G185</t>
        </is>
      </c>
      <c r="C962" s="4" t="inlineStr">
        <is>
          <t>US20040019153A1</t>
        </is>
      </c>
      <c r="D962" s="4" t="inlineStr">
        <is>
          <t>Example 2</t>
        </is>
      </c>
      <c r="E962" s="4" t="inlineStr">
        <is>
          <t>dev(OOF)</t>
        </is>
      </c>
      <c r="F962" s="10" t="n">
        <v>1.4</v>
      </c>
      <c r="G962" s="10" t="n">
        <v>1.47805469428641</v>
      </c>
      <c r="H962" s="10" t="n">
        <v>1.771376389073105</v>
      </c>
      <c r="I962" s="10">
        <f>G962-1.96*H962</f>
        <v/>
      </c>
      <c r="J962" s="10">
        <f>G962+1.96*H962</f>
        <v/>
      </c>
      <c r="K962" s="10">
        <f>G962-F962</f>
        <v/>
      </c>
      <c r="L962" s="4">
        <f>IF(AND(F962&gt;=I962,F962&lt;=J962),1,0)</f>
        <v/>
      </c>
    </row>
    <row r="963">
      <c r="A963" s="4" t="inlineStr">
        <is>
          <t>m100_MPa</t>
        </is>
      </c>
      <c r="B963" s="4" t="inlineStr">
        <is>
          <t>G076</t>
        </is>
      </c>
      <c r="C963" s="4" t="inlineStr">
        <is>
          <t>US12091537B2</t>
        </is>
      </c>
      <c r="D963" s="4" t="inlineStr">
        <is>
          <t>Example 3</t>
        </is>
      </c>
      <c r="E963" s="4" t="inlineStr">
        <is>
          <t>dev(OOF)</t>
        </is>
      </c>
      <c r="F963" s="10" t="n">
        <v>9</v>
      </c>
      <c r="G963" s="10" t="n">
        <v>7.710009734363505</v>
      </c>
      <c r="H963" s="10" t="n">
        <v>1.721362513099902</v>
      </c>
      <c r="I963" s="10">
        <f>G963-1.96*H963</f>
        <v/>
      </c>
      <c r="J963" s="10">
        <f>G963+1.96*H963</f>
        <v/>
      </c>
      <c r="K963" s="10">
        <f>G963-F963</f>
        <v/>
      </c>
      <c r="L963" s="4">
        <f>IF(AND(F963&gt;=I963,F963&lt;=J963),1,0)</f>
        <v/>
      </c>
    </row>
    <row r="964">
      <c r="A964" s="4" t="inlineStr">
        <is>
          <t>m100_MPa</t>
        </is>
      </c>
      <c r="B964" s="4" t="inlineStr">
        <is>
          <t>G246</t>
        </is>
      </c>
      <c r="C964" s="4" t="inlineStr">
        <is>
          <t>US12584054B2</t>
        </is>
      </c>
      <c r="D964" s="4" t="inlineStr">
        <is>
          <t>Example 3</t>
        </is>
      </c>
      <c r="E964" s="4" t="inlineStr">
        <is>
          <t>dev(OOF)</t>
        </is>
      </c>
      <c r="F964" s="10" t="n">
        <v>7.5</v>
      </c>
      <c r="G964" s="10" t="n">
        <v>9.810915920046664</v>
      </c>
      <c r="H964" s="10" t="n">
        <v>2.638453430168784</v>
      </c>
      <c r="I964" s="10">
        <f>G964-1.96*H964</f>
        <v/>
      </c>
      <c r="J964" s="10">
        <f>G964+1.96*H964</f>
        <v/>
      </c>
      <c r="K964" s="10">
        <f>G964-F964</f>
        <v/>
      </c>
      <c r="L964" s="4">
        <f>IF(AND(F964&gt;=I964,F964&lt;=J964),1,0)</f>
        <v/>
      </c>
    </row>
    <row r="965">
      <c r="A965" s="4" t="inlineStr">
        <is>
          <t>m100_MPa</t>
        </is>
      </c>
      <c r="B965" s="4" t="inlineStr">
        <is>
          <t>G329</t>
        </is>
      </c>
      <c r="C965" s="4" t="inlineStr">
        <is>
          <t>KR101467101B1</t>
        </is>
      </c>
      <c r="D965" s="4" t="inlineStr">
        <is>
          <t>Comparative Example 1 (Table 3 sample 3)</t>
        </is>
      </c>
      <c r="E965" s="4" t="inlineStr">
        <is>
          <t>dev(OOF)</t>
        </is>
      </c>
      <c r="F965" s="10" t="n">
        <v>3.03</v>
      </c>
      <c r="G965" s="10" t="n">
        <v>5.119722995595399</v>
      </c>
      <c r="H965" s="10" t="n">
        <v>2.010039472057</v>
      </c>
      <c r="I965" s="10">
        <f>G965-1.96*H965</f>
        <v/>
      </c>
      <c r="J965" s="10">
        <f>G965+1.96*H965</f>
        <v/>
      </c>
      <c r="K965" s="10">
        <f>G965-F965</f>
        <v/>
      </c>
      <c r="L965" s="4">
        <f>IF(AND(F965&gt;=I965,F965&lt;=J965),1,0)</f>
        <v/>
      </c>
    </row>
    <row r="966">
      <c r="A966" s="4" t="inlineStr">
        <is>
          <t>m100_MPa</t>
        </is>
      </c>
      <c r="B966" s="4" t="inlineStr">
        <is>
          <t>G097</t>
        </is>
      </c>
      <c r="C966" s="4" t="inlineStr">
        <is>
          <t>US7354974B2</t>
        </is>
      </c>
      <c r="D966" s="4" t="inlineStr">
        <is>
          <t>Example 1</t>
        </is>
      </c>
      <c r="E966" s="4" t="inlineStr">
        <is>
          <t>dev(OOF)</t>
        </is>
      </c>
      <c r="F966" s="10" t="n">
        <v>5.9</v>
      </c>
      <c r="G966" s="10" t="n">
        <v>5.65181103245606</v>
      </c>
      <c r="H966" s="10" t="n">
        <v>1.787225665283875</v>
      </c>
      <c r="I966" s="10">
        <f>G966-1.96*H966</f>
        <v/>
      </c>
      <c r="J966" s="10">
        <f>G966+1.96*H966</f>
        <v/>
      </c>
      <c r="K966" s="10">
        <f>G966-F966</f>
        <v/>
      </c>
      <c r="L966" s="4">
        <f>IF(AND(F966&gt;=I966,F966&lt;=J966),1,0)</f>
        <v/>
      </c>
    </row>
    <row r="967">
      <c r="A967" s="4" t="inlineStr">
        <is>
          <t>m100_MPa</t>
        </is>
      </c>
      <c r="B967" s="4" t="inlineStr">
        <is>
          <t>G071</t>
        </is>
      </c>
      <c r="C967" s="4" t="inlineStr">
        <is>
          <t>US11072700B2</t>
        </is>
      </c>
      <c r="D967" s="4" t="inlineStr">
        <is>
          <t>Comparative Example 2</t>
        </is>
      </c>
      <c r="E967" s="4" t="inlineStr">
        <is>
          <t>dev(OOF)</t>
        </is>
      </c>
      <c r="F967" s="10" t="n">
        <v>1.3</v>
      </c>
      <c r="G967" s="10" t="n">
        <v>1.630899057060018</v>
      </c>
      <c r="H967" s="10" t="n">
        <v>1.707673988443012</v>
      </c>
      <c r="I967" s="10">
        <f>G967-1.96*H967</f>
        <v/>
      </c>
      <c r="J967" s="10">
        <f>G967+1.96*H967</f>
        <v/>
      </c>
      <c r="K967" s="10">
        <f>G967-F967</f>
        <v/>
      </c>
      <c r="L967" s="4">
        <f>IF(AND(F967&gt;=I967,F967&lt;=J967),1,0)</f>
        <v/>
      </c>
    </row>
    <row r="968">
      <c r="A968" s="4" t="inlineStr">
        <is>
          <t>m100_MPa</t>
        </is>
      </c>
      <c r="B968" s="4" t="inlineStr">
        <is>
          <t>G283</t>
        </is>
      </c>
      <c r="C968" s="4" t="inlineStr">
        <is>
          <t>US20230365800A1</t>
        </is>
      </c>
      <c r="D968" s="4" t="inlineStr">
        <is>
          <t>Example 8</t>
        </is>
      </c>
      <c r="E968" s="4" t="inlineStr">
        <is>
          <t>dev(OOF)</t>
        </is>
      </c>
      <c r="F968" s="10" t="n">
        <v>4.92</v>
      </c>
      <c r="G968" s="10" t="n">
        <v>4.807003399892926</v>
      </c>
      <c r="H968" s="10" t="n">
        <v>1.611939660855922</v>
      </c>
      <c r="I968" s="10">
        <f>G968-1.96*H968</f>
        <v/>
      </c>
      <c r="J968" s="10">
        <f>G968+1.96*H968</f>
        <v/>
      </c>
      <c r="K968" s="10">
        <f>G968-F968</f>
        <v/>
      </c>
      <c r="L968" s="4">
        <f>IF(AND(F968&gt;=I968,F968&lt;=J968),1,0)</f>
        <v/>
      </c>
    </row>
    <row r="969">
      <c r="A969" s="4" t="inlineStr">
        <is>
          <t>m100_MPa</t>
        </is>
      </c>
      <c r="B969" s="4" t="inlineStr">
        <is>
          <t>G175</t>
        </is>
      </c>
      <c r="C969" s="4" t="inlineStr">
        <is>
          <t>US6191208B1</t>
        </is>
      </c>
      <c r="D969" s="4" t="inlineStr">
        <is>
          <t>Example 1</t>
        </is>
      </c>
      <c r="E969" s="4" t="inlineStr">
        <is>
          <t>dev(OOF)</t>
        </is>
      </c>
      <c r="F969" s="10" t="n">
        <v>3.6</v>
      </c>
      <c r="G969" s="10" t="n">
        <v>2.992999936083293</v>
      </c>
      <c r="H969" s="10" t="n">
        <v>2.000727102725585</v>
      </c>
      <c r="I969" s="10">
        <f>G969-1.96*H969</f>
        <v/>
      </c>
      <c r="J969" s="10">
        <f>G969+1.96*H969</f>
        <v/>
      </c>
      <c r="K969" s="10">
        <f>G969-F969</f>
        <v/>
      </c>
      <c r="L969" s="4">
        <f>IF(AND(F969&gt;=I969,F969&lt;=J969),1,0)</f>
        <v/>
      </c>
    </row>
    <row r="970">
      <c r="A970" s="4" t="inlineStr">
        <is>
          <t>m100_MPa</t>
        </is>
      </c>
      <c r="B970" s="4" t="inlineStr">
        <is>
          <t>G301</t>
        </is>
      </c>
      <c r="C970" s="4" t="inlineStr">
        <is>
          <t>EP4249550A1</t>
        </is>
      </c>
      <c r="D970" s="4" t="inlineStr">
        <is>
          <t>Example 13</t>
        </is>
      </c>
      <c r="E970" s="4" t="inlineStr">
        <is>
          <t>dev(OOF)</t>
        </is>
      </c>
      <c r="F970" s="10" t="n">
        <v>4.2</v>
      </c>
      <c r="G970" s="10" t="n">
        <v>4.128470099047147</v>
      </c>
      <c r="H970" s="10" t="n">
        <v>1.801469077865947</v>
      </c>
      <c r="I970" s="10">
        <f>G970-1.96*H970</f>
        <v/>
      </c>
      <c r="J970" s="10">
        <f>G970+1.96*H970</f>
        <v/>
      </c>
      <c r="K970" s="10">
        <f>G970-F970</f>
        <v/>
      </c>
      <c r="L970" s="4">
        <f>IF(AND(F970&gt;=I970,F970&lt;=J970),1,0)</f>
        <v/>
      </c>
    </row>
    <row r="971">
      <c r="A971" s="4" t="inlineStr">
        <is>
          <t>m100_MPa</t>
        </is>
      </c>
      <c r="B971" s="4" t="inlineStr">
        <is>
          <t>G295</t>
        </is>
      </c>
      <c r="C971" s="4" t="inlineStr">
        <is>
          <t>EP4249550A1</t>
        </is>
      </c>
      <c r="D971" s="4" t="inlineStr">
        <is>
          <t>Example 6</t>
        </is>
      </c>
      <c r="E971" s="4" t="inlineStr">
        <is>
          <t>dev(OOF)</t>
        </is>
      </c>
      <c r="F971" s="10" t="n">
        <v>5.5</v>
      </c>
      <c r="G971" s="10" t="n">
        <v>4.530238835898875</v>
      </c>
      <c r="H971" s="10" t="n">
        <v>2.463251300585884</v>
      </c>
      <c r="I971" s="10">
        <f>G971-1.96*H971</f>
        <v/>
      </c>
      <c r="J971" s="10">
        <f>G971+1.96*H971</f>
        <v/>
      </c>
      <c r="K971" s="10">
        <f>G971-F971</f>
        <v/>
      </c>
      <c r="L971" s="4">
        <f>IF(AND(F971&gt;=I971,F971&lt;=J971),1,0)</f>
        <v/>
      </c>
    </row>
    <row r="972">
      <c r="A972" s="4" t="inlineStr">
        <is>
          <t>m100_MPa</t>
        </is>
      </c>
      <c r="B972" s="4" t="inlineStr">
        <is>
          <t>G008</t>
        </is>
      </c>
      <c r="C972" s="4" t="inlineStr">
        <is>
          <t>US7678858B2</t>
        </is>
      </c>
      <c r="D972" s="4" t="inlineStr">
        <is>
          <t>Example 8</t>
        </is>
      </c>
      <c r="E972" s="4" t="inlineStr">
        <is>
          <t>dev(OOF)</t>
        </is>
      </c>
      <c r="F972" s="10" t="n">
        <v>6.96</v>
      </c>
      <c r="G972" s="10" t="n">
        <v>8.842185154717338</v>
      </c>
      <c r="H972" s="10" t="n">
        <v>1.486813394715251</v>
      </c>
      <c r="I972" s="10">
        <f>G972-1.96*H972</f>
        <v/>
      </c>
      <c r="J972" s="10">
        <f>G972+1.96*H972</f>
        <v/>
      </c>
      <c r="K972" s="10">
        <f>G972-F972</f>
        <v/>
      </c>
      <c r="L972" s="4">
        <f>IF(AND(F972&gt;=I972,F972&lt;=J972),1,0)</f>
        <v/>
      </c>
    </row>
    <row r="973">
      <c r="A973" s="4" t="inlineStr">
        <is>
          <t>m100_MPa</t>
        </is>
      </c>
      <c r="B973" s="4" t="inlineStr">
        <is>
          <t>G165</t>
        </is>
      </c>
      <c r="C973" s="4" t="inlineStr">
        <is>
          <t>US20050107544A1</t>
        </is>
      </c>
      <c r="D973" s="4" t="inlineStr">
        <is>
          <t>Sample 2</t>
        </is>
      </c>
      <c r="E973" s="4" t="inlineStr">
        <is>
          <t>test</t>
        </is>
      </c>
      <c r="F973" s="10" t="n">
        <v>1.8</v>
      </c>
      <c r="G973" s="10" t="n">
        <v>2.143054886852949</v>
      </c>
      <c r="H973" s="10" t="n">
        <v>1.76055120843819</v>
      </c>
      <c r="I973" s="10">
        <f>G973-1.96*H973</f>
        <v/>
      </c>
      <c r="J973" s="10">
        <f>G973+1.96*H973</f>
        <v/>
      </c>
      <c r="K973" s="10">
        <f>G973-F973</f>
        <v/>
      </c>
      <c r="L973" s="4">
        <f>IF(AND(F973&gt;=I973,F973&lt;=J973),1,0)</f>
        <v/>
      </c>
    </row>
    <row r="974">
      <c r="A974" s="4" t="inlineStr">
        <is>
          <t>m100_MPa</t>
        </is>
      </c>
      <c r="B974" s="4" t="inlineStr">
        <is>
          <t>G304</t>
        </is>
      </c>
      <c r="C974" s="4" t="inlineStr">
        <is>
          <t>EP4249550A1</t>
        </is>
      </c>
      <c r="D974" s="4" t="inlineStr">
        <is>
          <t>Comparative Example 3</t>
        </is>
      </c>
      <c r="E974" s="4" t="inlineStr">
        <is>
          <t>test</t>
        </is>
      </c>
      <c r="F974" s="10" t="n">
        <v>5.8</v>
      </c>
      <c r="G974" s="10" t="n">
        <v>5.487497126644922</v>
      </c>
      <c r="H974" s="10" t="n">
        <v>1.872403300109592</v>
      </c>
      <c r="I974" s="10">
        <f>G974-1.96*H974</f>
        <v/>
      </c>
      <c r="J974" s="10">
        <f>G974+1.96*H974</f>
        <v/>
      </c>
      <c r="K974" s="10">
        <f>G974-F974</f>
        <v/>
      </c>
      <c r="L974" s="4">
        <f>IF(AND(F974&gt;=I974,F974&lt;=J974),1,0)</f>
        <v/>
      </c>
    </row>
    <row r="975">
      <c r="A975" s="4" t="inlineStr">
        <is>
          <t>m100_MPa</t>
        </is>
      </c>
      <c r="B975" s="4" t="inlineStr">
        <is>
          <t>G096</t>
        </is>
      </c>
      <c r="C975" s="4" t="inlineStr">
        <is>
          <t>US8367776B2</t>
        </is>
      </c>
      <c r="D975" s="4" t="inlineStr">
        <is>
          <t>Example 14</t>
        </is>
      </c>
      <c r="E975" s="4" t="inlineStr">
        <is>
          <t>test</t>
        </is>
      </c>
      <c r="F975" s="10" t="n">
        <v>1.5</v>
      </c>
      <c r="G975" s="10" t="n">
        <v>1.55048402241547</v>
      </c>
      <c r="H975" s="10" t="n">
        <v>1.583163940155966</v>
      </c>
      <c r="I975" s="10">
        <f>G975-1.96*H975</f>
        <v/>
      </c>
      <c r="J975" s="10">
        <f>G975+1.96*H975</f>
        <v/>
      </c>
      <c r="K975" s="10">
        <f>G975-F975</f>
        <v/>
      </c>
      <c r="L975" s="4">
        <f>IF(AND(F975&gt;=I975,F975&lt;=J975),1,0)</f>
        <v/>
      </c>
    </row>
    <row r="976">
      <c r="A976" s="4" t="inlineStr">
        <is>
          <t>m100_MPa</t>
        </is>
      </c>
      <c r="B976" s="4" t="inlineStr">
        <is>
          <t>G048</t>
        </is>
      </c>
      <c r="C976" s="4" t="inlineStr">
        <is>
          <t>US8211964B2</t>
        </is>
      </c>
      <c r="D976" s="4" t="inlineStr">
        <is>
          <t>Comparative Example 1</t>
        </is>
      </c>
      <c r="E976" s="4" t="inlineStr">
        <is>
          <t>test</t>
        </is>
      </c>
      <c r="F976" s="10" t="n">
        <v>4.9</v>
      </c>
      <c r="G976" s="10" t="n">
        <v>5.662588886528221</v>
      </c>
      <c r="H976" s="10" t="n">
        <v>1.970916425325878</v>
      </c>
      <c r="I976" s="10">
        <f>G976-1.96*H976</f>
        <v/>
      </c>
      <c r="J976" s="10">
        <f>G976+1.96*H976</f>
        <v/>
      </c>
      <c r="K976" s="10">
        <f>G976-F976</f>
        <v/>
      </c>
      <c r="L976" s="4">
        <f>IF(AND(F976&gt;=I976,F976&lt;=J976),1,0)</f>
        <v/>
      </c>
    </row>
    <row r="977">
      <c r="A977" s="4" t="inlineStr">
        <is>
          <t>m100_MPa</t>
        </is>
      </c>
      <c r="B977" s="4" t="inlineStr">
        <is>
          <t>G141</t>
        </is>
      </c>
      <c r="C977" s="4" t="inlineStr">
        <is>
          <t>US7247749B2</t>
        </is>
      </c>
      <c r="D977" s="4" t="inlineStr">
        <is>
          <t>Sample 17</t>
        </is>
      </c>
      <c r="E977" s="4" t="inlineStr">
        <is>
          <t>test</t>
        </is>
      </c>
      <c r="F977" s="10" t="n">
        <v>1.86</v>
      </c>
      <c r="G977" s="10" t="n">
        <v>4.47933276117607</v>
      </c>
      <c r="H977" s="10" t="n">
        <v>1.769910258398189</v>
      </c>
      <c r="I977" s="10">
        <f>G977-1.96*H977</f>
        <v/>
      </c>
      <c r="J977" s="10">
        <f>G977+1.96*H977</f>
        <v/>
      </c>
      <c r="K977" s="10">
        <f>G977-F977</f>
        <v/>
      </c>
      <c r="L977" s="4">
        <f>IF(AND(F977&gt;=I977,F977&lt;=J977),1,0)</f>
        <v/>
      </c>
    </row>
    <row r="978">
      <c r="A978" s="4" t="inlineStr">
        <is>
          <t>m100_MPa</t>
        </is>
      </c>
      <c r="B978" s="4" t="inlineStr">
        <is>
          <t>G111</t>
        </is>
      </c>
      <c r="C978" s="4" t="inlineStr">
        <is>
          <t>US6992143B2</t>
        </is>
      </c>
      <c r="D978" s="4" t="inlineStr">
        <is>
          <t>Example 2</t>
        </is>
      </c>
      <c r="E978" s="4" t="inlineStr">
        <is>
          <t>test</t>
        </is>
      </c>
      <c r="F978" s="10" t="n">
        <v>4.4</v>
      </c>
      <c r="G978" s="10" t="n">
        <v>5.890349218227121</v>
      </c>
      <c r="H978" s="10" t="n">
        <v>1.791239340648576</v>
      </c>
      <c r="I978" s="10">
        <f>G978-1.96*H978</f>
        <v/>
      </c>
      <c r="J978" s="10">
        <f>G978+1.96*H978</f>
        <v/>
      </c>
      <c r="K978" s="10">
        <f>G978-F978</f>
        <v/>
      </c>
      <c r="L978" s="4">
        <f>IF(AND(F978&gt;=I978,F978&lt;=J978),1,0)</f>
        <v/>
      </c>
    </row>
    <row r="979">
      <c r="A979" s="4" t="inlineStr">
        <is>
          <t>m100_MPa</t>
        </is>
      </c>
      <c r="B979" s="4" t="inlineStr">
        <is>
          <t>G257</t>
        </is>
      </c>
      <c r="C979" s="4" t="inlineStr">
        <is>
          <t>US12584054B2</t>
        </is>
      </c>
      <c r="D979" s="4" t="inlineStr">
        <is>
          <t>Comparative Example 9</t>
        </is>
      </c>
      <c r="E979" s="4" t="inlineStr">
        <is>
          <t>test</t>
        </is>
      </c>
      <c r="F979" s="10" t="n">
        <v>1.4</v>
      </c>
      <c r="G979" s="10" t="n">
        <v>2.30757266115029</v>
      </c>
      <c r="H979" s="10" t="n">
        <v>1.701999213545154</v>
      </c>
      <c r="I979" s="10">
        <f>G979-1.96*H979</f>
        <v/>
      </c>
      <c r="J979" s="10">
        <f>G979+1.96*H979</f>
        <v/>
      </c>
      <c r="K979" s="10">
        <f>G979-F979</f>
        <v/>
      </c>
      <c r="L979" s="4">
        <f>IF(AND(F979&gt;=I979,F979&lt;=J979),1,0)</f>
        <v/>
      </c>
    </row>
    <row r="980">
      <c r="A980" s="4" t="inlineStr">
        <is>
          <t>m100_MPa</t>
        </is>
      </c>
      <c r="B980" s="4" t="inlineStr">
        <is>
          <t>G254</t>
        </is>
      </c>
      <c r="C980" s="4" t="inlineStr">
        <is>
          <t>US12584054B2</t>
        </is>
      </c>
      <c r="D980" s="4" t="inlineStr">
        <is>
          <t>Comparative Example 6</t>
        </is>
      </c>
      <c r="E980" s="4" t="inlineStr">
        <is>
          <t>test</t>
        </is>
      </c>
      <c r="F980" s="10" t="n">
        <v>2.5</v>
      </c>
      <c r="G980" s="10" t="n">
        <v>2.844905445993069</v>
      </c>
      <c r="H980" s="10" t="n">
        <v>1.654925762223919</v>
      </c>
      <c r="I980" s="10">
        <f>G980-1.96*H980</f>
        <v/>
      </c>
      <c r="J980" s="10">
        <f>G980+1.96*H980</f>
        <v/>
      </c>
      <c r="K980" s="10">
        <f>G980-F980</f>
        <v/>
      </c>
      <c r="L980" s="4">
        <f>IF(AND(F980&gt;=I980,F980&lt;=J980),1,0)</f>
        <v/>
      </c>
    </row>
    <row r="981">
      <c r="A981" s="4" t="inlineStr">
        <is>
          <t>m100_MPa</t>
        </is>
      </c>
      <c r="B981" s="4" t="inlineStr">
        <is>
          <t>G021</t>
        </is>
      </c>
      <c r="C981" s="4" t="inlineStr">
        <is>
          <t>US7678858B2</t>
        </is>
      </c>
      <c r="D981" s="4" t="inlineStr">
        <is>
          <t>Example 20</t>
        </is>
      </c>
      <c r="E981" s="4" t="inlineStr">
        <is>
          <t>test</t>
        </is>
      </c>
      <c r="F981" s="10" t="n">
        <v>10.2</v>
      </c>
      <c r="G981" s="10" t="n">
        <v>8.652466360337197</v>
      </c>
      <c r="H981" s="10" t="n">
        <v>1.960136562222942</v>
      </c>
      <c r="I981" s="10">
        <f>G981-1.96*H981</f>
        <v/>
      </c>
      <c r="J981" s="10">
        <f>G981+1.96*H981</f>
        <v/>
      </c>
      <c r="K981" s="10">
        <f>G981-F981</f>
        <v/>
      </c>
      <c r="L981" s="4">
        <f>IF(AND(F981&gt;=I981,F981&lt;=J981),1,0)</f>
        <v/>
      </c>
    </row>
    <row r="982">
      <c r="A982" s="4" t="inlineStr">
        <is>
          <t>m100_MPa</t>
        </is>
      </c>
      <c r="B982" s="4" t="inlineStr">
        <is>
          <t>G284</t>
        </is>
      </c>
      <c r="C982" s="4" t="inlineStr">
        <is>
          <t>US20230365800A1</t>
        </is>
      </c>
      <c r="D982" s="4" t="inlineStr">
        <is>
          <t>Example 9</t>
        </is>
      </c>
      <c r="E982" s="4" t="inlineStr">
        <is>
          <t>test</t>
        </is>
      </c>
      <c r="F982" s="10" t="n">
        <v>4</v>
      </c>
      <c r="G982" s="10" t="n">
        <v>4.634533299183638</v>
      </c>
      <c r="H982" s="10" t="n">
        <v>1.585538769742355</v>
      </c>
      <c r="I982" s="10">
        <f>G982-1.96*H982</f>
        <v/>
      </c>
      <c r="J982" s="10">
        <f>G982+1.96*H982</f>
        <v/>
      </c>
      <c r="K982" s="10">
        <f>G982-F982</f>
        <v/>
      </c>
      <c r="L982" s="4">
        <f>IF(AND(F982&gt;=I982,F982&lt;=J982),1,0)</f>
        <v/>
      </c>
    </row>
    <row r="983">
      <c r="A983" s="4" t="inlineStr">
        <is>
          <t>m100_MPa</t>
        </is>
      </c>
      <c r="B983" s="4" t="inlineStr">
        <is>
          <t>G303</t>
        </is>
      </c>
      <c r="C983" s="4" t="inlineStr">
        <is>
          <t>EP4249550A1</t>
        </is>
      </c>
      <c r="D983" s="4" t="inlineStr">
        <is>
          <t>Comparative Example 2</t>
        </is>
      </c>
      <c r="E983" s="4" t="inlineStr">
        <is>
          <t>test</t>
        </is>
      </c>
      <c r="F983" s="10" t="n">
        <v>1.3</v>
      </c>
      <c r="G983" s="10" t="n">
        <v>1.52507465513342</v>
      </c>
      <c r="H983" s="10" t="n">
        <v>1.694301944544285</v>
      </c>
      <c r="I983" s="10">
        <f>G983-1.96*H983</f>
        <v/>
      </c>
      <c r="J983" s="10">
        <f>G983+1.96*H983</f>
        <v/>
      </c>
      <c r="K983" s="10">
        <f>G983-F983</f>
        <v/>
      </c>
      <c r="L983" s="4">
        <f>IF(AND(F983&gt;=I983,F983&lt;=J983),1,0)</f>
        <v/>
      </c>
    </row>
    <row r="984">
      <c r="A984" s="4" t="inlineStr">
        <is>
          <t>m100_MPa</t>
        </is>
      </c>
      <c r="B984" s="4" t="inlineStr">
        <is>
          <t>G014</t>
        </is>
      </c>
      <c r="C984" s="4" t="inlineStr">
        <is>
          <t>US7678858B2</t>
        </is>
      </c>
      <c r="D984" s="4" t="inlineStr">
        <is>
          <t>Example 13</t>
        </is>
      </c>
      <c r="E984" s="4" t="inlineStr">
        <is>
          <t>test</t>
        </is>
      </c>
      <c r="F984" s="10" t="n">
        <v>12.06</v>
      </c>
      <c r="G984" s="10" t="n">
        <v>9.40268563026661</v>
      </c>
      <c r="H984" s="10" t="n">
        <v>1.644242997145715</v>
      </c>
      <c r="I984" s="10">
        <f>G984-1.96*H984</f>
        <v/>
      </c>
      <c r="J984" s="10">
        <f>G984+1.96*H984</f>
        <v/>
      </c>
      <c r="K984" s="10">
        <f>G984-F984</f>
        <v/>
      </c>
      <c r="L984" s="4">
        <f>IF(AND(F984&gt;=I984,F984&lt;=J984),1,0)</f>
        <v/>
      </c>
    </row>
    <row r="985">
      <c r="A985" s="4" t="inlineStr">
        <is>
          <t>m100_MPa</t>
        </is>
      </c>
      <c r="B985" s="4" t="inlineStr">
        <is>
          <t>G026</t>
        </is>
      </c>
      <c r="C985" s="4" t="inlineStr">
        <is>
          <t>US6803402B2</t>
        </is>
      </c>
      <c r="D985" s="4" t="inlineStr">
        <is>
          <t>Comparative Example 1</t>
        </is>
      </c>
      <c r="E985" s="4" t="inlineStr">
        <is>
          <t>test</t>
        </is>
      </c>
      <c r="F985" s="10" t="n">
        <v>6.18</v>
      </c>
      <c r="G985" s="10" t="n">
        <v>6.884432489397941</v>
      </c>
      <c r="H985" s="10" t="n">
        <v>1.767813192343077</v>
      </c>
      <c r="I985" s="10">
        <f>G985-1.96*H985</f>
        <v/>
      </c>
      <c r="J985" s="10">
        <f>G985+1.96*H985</f>
        <v/>
      </c>
      <c r="K985" s="10">
        <f>G985-F985</f>
        <v/>
      </c>
      <c r="L985" s="4">
        <f>IF(AND(F985&gt;=I985,F985&lt;=J985),1,0)</f>
        <v/>
      </c>
    </row>
    <row r="986">
      <c r="A986" s="4" t="inlineStr">
        <is>
          <t>m100_MPa</t>
        </is>
      </c>
      <c r="B986" s="4" t="inlineStr">
        <is>
          <t>G145</t>
        </is>
      </c>
      <c r="C986" s="4" t="inlineStr">
        <is>
          <t>US7247749B2</t>
        </is>
      </c>
      <c r="D986" s="4" t="inlineStr">
        <is>
          <t>Sample 21</t>
        </is>
      </c>
      <c r="E986" s="4" t="inlineStr">
        <is>
          <t>test</t>
        </is>
      </c>
      <c r="F986" s="10" t="n">
        <v>2.4</v>
      </c>
      <c r="G986" s="10" t="n">
        <v>5.662094335164955</v>
      </c>
      <c r="H986" s="10" t="n">
        <v>1.908557806016146</v>
      </c>
      <c r="I986" s="10">
        <f>G986-1.96*H986</f>
        <v/>
      </c>
      <c r="J986" s="10">
        <f>G986+1.96*H986</f>
        <v/>
      </c>
      <c r="K986" s="10">
        <f>G986-F986</f>
        <v/>
      </c>
      <c r="L986" s="4">
        <f>IF(AND(F986&gt;=I986,F986&lt;=J986),1,0)</f>
        <v/>
      </c>
    </row>
    <row r="987">
      <c r="A987" s="4" t="inlineStr">
        <is>
          <t>m100_MPa</t>
        </is>
      </c>
      <c r="B987" s="4" t="inlineStr">
        <is>
          <t>G287</t>
        </is>
      </c>
      <c r="C987" s="4" t="inlineStr">
        <is>
          <t>US20230365800A1</t>
        </is>
      </c>
      <c r="D987" s="4" t="inlineStr">
        <is>
          <t>Comparative Example 5</t>
        </is>
      </c>
      <c r="E987" s="4" t="inlineStr">
        <is>
          <t>test</t>
        </is>
      </c>
      <c r="F987" s="10" t="n">
        <v>5.1</v>
      </c>
      <c r="G987" s="10" t="n">
        <v>4.634533299183638</v>
      </c>
      <c r="H987" s="10" t="n">
        <v>1.585538769742355</v>
      </c>
      <c r="I987" s="10">
        <f>G987-1.96*H987</f>
        <v/>
      </c>
      <c r="J987" s="10">
        <f>G987+1.96*H987</f>
        <v/>
      </c>
      <c r="K987" s="10">
        <f>G987-F987</f>
        <v/>
      </c>
      <c r="L987" s="4">
        <f>IF(AND(F987&gt;=I987,F987&lt;=J987),1,0)</f>
        <v/>
      </c>
    </row>
    <row r="988">
      <c r="A988" s="4" t="inlineStr">
        <is>
          <t>m100_MPa</t>
        </is>
      </c>
      <c r="B988" s="4" t="inlineStr">
        <is>
          <t>G129</t>
        </is>
      </c>
      <c r="C988" s="4" t="inlineStr">
        <is>
          <t>US7247749B2</t>
        </is>
      </c>
      <c r="D988" s="4" t="inlineStr">
        <is>
          <t>Sample 5</t>
        </is>
      </c>
      <c r="E988" s="4" t="inlineStr">
        <is>
          <t>test</t>
        </is>
      </c>
      <c r="F988" s="10" t="n">
        <v>6.09</v>
      </c>
      <c r="G988" s="10" t="n">
        <v>6.548205202902588</v>
      </c>
      <c r="H988" s="10" t="n">
        <v>1.856947517876312</v>
      </c>
      <c r="I988" s="10">
        <f>G988-1.96*H988</f>
        <v/>
      </c>
      <c r="J988" s="10">
        <f>G988+1.96*H988</f>
        <v/>
      </c>
      <c r="K988" s="10">
        <f>G988-F988</f>
        <v/>
      </c>
      <c r="L988" s="4">
        <f>IF(AND(F988&gt;=I988,F988&lt;=J988),1,0)</f>
        <v/>
      </c>
    </row>
    <row r="989">
      <c r="A989" s="4" t="inlineStr">
        <is>
          <t>m100_MPa</t>
        </is>
      </c>
      <c r="B989" s="4" t="inlineStr">
        <is>
          <t>G166</t>
        </is>
      </c>
      <c r="C989" s="4" t="inlineStr">
        <is>
          <t>US20050107544A1</t>
        </is>
      </c>
      <c r="D989" s="4" t="inlineStr">
        <is>
          <t>Sample 3</t>
        </is>
      </c>
      <c r="E989" s="4" t="inlineStr">
        <is>
          <t>test</t>
        </is>
      </c>
      <c r="F989" s="10" t="n">
        <v>1.8</v>
      </c>
      <c r="G989" s="10" t="n">
        <v>1.850770798213654</v>
      </c>
      <c r="H989" s="10" t="n">
        <v>1.928099694441491</v>
      </c>
      <c r="I989" s="10">
        <f>G989-1.96*H989</f>
        <v/>
      </c>
      <c r="J989" s="10">
        <f>G989+1.96*H989</f>
        <v/>
      </c>
      <c r="K989" s="10">
        <f>G989-F989</f>
        <v/>
      </c>
      <c r="L989" s="4">
        <f>IF(AND(F989&gt;=I989,F989&lt;=J989),1,0)</f>
        <v/>
      </c>
    </row>
    <row r="990">
      <c r="A990" s="4" t="inlineStr">
        <is>
          <t>m100_MPa</t>
        </is>
      </c>
      <c r="B990" s="4" t="inlineStr">
        <is>
          <t>G300</t>
        </is>
      </c>
      <c r="C990" s="4" t="inlineStr">
        <is>
          <t>EP4249550A1</t>
        </is>
      </c>
      <c r="D990" s="4" t="inlineStr">
        <is>
          <t>Example 12</t>
        </is>
      </c>
      <c r="E990" s="4" t="inlineStr">
        <is>
          <t>test</t>
        </is>
      </c>
      <c r="F990" s="10" t="n">
        <v>2.6</v>
      </c>
      <c r="G990" s="10" t="n">
        <v>2.141055207647457</v>
      </c>
      <c r="H990" s="10" t="n">
        <v>1.731198629735683</v>
      </c>
      <c r="I990" s="10">
        <f>G990-1.96*H990</f>
        <v/>
      </c>
      <c r="J990" s="10">
        <f>G990+1.96*H990</f>
        <v/>
      </c>
      <c r="K990" s="10">
        <f>G990-F990</f>
        <v/>
      </c>
      <c r="L990" s="4">
        <f>IF(AND(F990&gt;=I990,F990&lt;=J990),1,0)</f>
        <v/>
      </c>
    </row>
    <row r="991">
      <c r="A991" s="4" t="inlineStr">
        <is>
          <t>m100_MPa</t>
        </is>
      </c>
      <c r="B991" s="4" t="inlineStr">
        <is>
          <t>G023</t>
        </is>
      </c>
      <c r="C991" s="4" t="inlineStr">
        <is>
          <t>US7678858B2</t>
        </is>
      </c>
      <c r="D991" s="4" t="inlineStr">
        <is>
          <t>Comparative Example 3</t>
        </is>
      </c>
      <c r="E991" s="4" t="inlineStr">
        <is>
          <t>test</t>
        </is>
      </c>
      <c r="F991" s="10" t="n">
        <v>9.119999999999999</v>
      </c>
      <c r="G991" s="10" t="n">
        <v>8.037552415236204</v>
      </c>
      <c r="H991" s="10" t="n">
        <v>1.903424108393816</v>
      </c>
      <c r="I991" s="10">
        <f>G991-1.96*H991</f>
        <v/>
      </c>
      <c r="J991" s="10">
        <f>G991+1.96*H991</f>
        <v/>
      </c>
      <c r="K991" s="10">
        <f>G991-F991</f>
        <v/>
      </c>
      <c r="L991" s="4">
        <f>IF(AND(F991&gt;=I991,F991&lt;=J991),1,0)</f>
        <v/>
      </c>
    </row>
    <row r="992">
      <c r="A992" s="4" t="inlineStr">
        <is>
          <t>m100_MPa</t>
        </is>
      </c>
      <c r="B992" s="4" t="inlineStr">
        <is>
          <t>G275</t>
        </is>
      </c>
      <c r="C992" s="4" t="inlineStr">
        <is>
          <t>US20230174763A1</t>
        </is>
      </c>
      <c r="D992" s="4" t="inlineStr">
        <is>
          <t>Comparative Example 13</t>
        </is>
      </c>
      <c r="E992" s="4" t="inlineStr">
        <is>
          <t>test</t>
        </is>
      </c>
      <c r="F992" s="10" t="n">
        <v>2.8</v>
      </c>
      <c r="G992" s="10" t="n">
        <v>3.903022560288069</v>
      </c>
      <c r="H992" s="10" t="n">
        <v>2.990917662758341</v>
      </c>
      <c r="I992" s="10">
        <f>G992-1.96*H992</f>
        <v/>
      </c>
      <c r="J992" s="10">
        <f>G992+1.96*H992</f>
        <v/>
      </c>
      <c r="K992" s="10">
        <f>G992-F992</f>
        <v/>
      </c>
      <c r="L992" s="4">
        <f>IF(AND(F992&gt;=I992,F992&lt;=J992),1,0)</f>
        <v/>
      </c>
    </row>
    <row r="993">
      <c r="A993" s="4" t="inlineStr">
        <is>
          <t>m100_MPa</t>
        </is>
      </c>
      <c r="B993" s="4" t="inlineStr">
        <is>
          <t>G253</t>
        </is>
      </c>
      <c r="C993" s="4" t="inlineStr">
        <is>
          <t>US12584054B2</t>
        </is>
      </c>
      <c r="D993" s="4" t="inlineStr">
        <is>
          <t>Comparative Example 5</t>
        </is>
      </c>
      <c r="E993" s="4" t="inlineStr">
        <is>
          <t>test</t>
        </is>
      </c>
      <c r="F993" s="10" t="n">
        <v>3.7</v>
      </c>
      <c r="G993" s="10" t="n">
        <v>3.839350173714079</v>
      </c>
      <c r="H993" s="10" t="n">
        <v>1.885053138572422</v>
      </c>
      <c r="I993" s="10">
        <f>G993-1.96*H993</f>
        <v/>
      </c>
      <c r="J993" s="10">
        <f>G993+1.96*H993</f>
        <v/>
      </c>
      <c r="K993" s="10">
        <f>G993-F993</f>
        <v/>
      </c>
      <c r="L993" s="4">
        <f>IF(AND(F993&gt;=I993,F993&lt;=J993),1,0)</f>
        <v/>
      </c>
    </row>
    <row r="994">
      <c r="A994" s="4" t="inlineStr">
        <is>
          <t>m100_MPa</t>
        </is>
      </c>
      <c r="B994" s="4" t="inlineStr">
        <is>
          <t>G244</t>
        </is>
      </c>
      <c r="C994" s="4" t="inlineStr">
        <is>
          <t>US12584054B2</t>
        </is>
      </c>
      <c r="D994" s="4" t="inlineStr">
        <is>
          <t>Example 1</t>
        </is>
      </c>
      <c r="E994" s="4" t="inlineStr">
        <is>
          <t>test</t>
        </is>
      </c>
      <c r="F994" s="10" t="n">
        <v>1.4</v>
      </c>
      <c r="G994" s="10" t="n">
        <v>1.528610385386854</v>
      </c>
      <c r="H994" s="10" t="n">
        <v>1.726808079324365</v>
      </c>
      <c r="I994" s="10">
        <f>G994-1.96*H994</f>
        <v/>
      </c>
      <c r="J994" s="10">
        <f>G994+1.96*H994</f>
        <v/>
      </c>
      <c r="K994" s="10">
        <f>G994-F994</f>
        <v/>
      </c>
      <c r="L994" s="4">
        <f>IF(AND(F994&gt;=I994,F994&lt;=J994),1,0)</f>
        <v/>
      </c>
    </row>
    <row r="995">
      <c r="A995" s="4" t="inlineStr">
        <is>
          <t>m100_MPa</t>
        </is>
      </c>
      <c r="B995" s="4" t="inlineStr">
        <is>
          <t>G281</t>
        </is>
      </c>
      <c r="C995" s="4" t="inlineStr">
        <is>
          <t>US20230365800A1</t>
        </is>
      </c>
      <c r="D995" s="4" t="inlineStr">
        <is>
          <t>Example 5</t>
        </is>
      </c>
      <c r="E995" s="4" t="inlineStr">
        <is>
          <t>test</t>
        </is>
      </c>
      <c r="F995" s="10" t="n">
        <v>5.4</v>
      </c>
      <c r="G995" s="10" t="n">
        <v>4.634533299183638</v>
      </c>
      <c r="H995" s="10" t="n">
        <v>1.585538769742355</v>
      </c>
      <c r="I995" s="10">
        <f>G995-1.96*H995</f>
        <v/>
      </c>
      <c r="J995" s="10">
        <f>G995+1.96*H995</f>
        <v/>
      </c>
      <c r="K995" s="10">
        <f>G995-F995</f>
        <v/>
      </c>
      <c r="L995" s="4">
        <f>IF(AND(F995&gt;=I995,F995&lt;=J995),1,0)</f>
        <v/>
      </c>
    </row>
    <row r="996">
      <c r="A996" s="4" t="inlineStr">
        <is>
          <t>m100_MPa</t>
        </is>
      </c>
      <c r="B996" s="4" t="inlineStr">
        <is>
          <t>G006</t>
        </is>
      </c>
      <c r="C996" s="4" t="inlineStr">
        <is>
          <t>US7678858B2</t>
        </is>
      </c>
      <c r="D996" s="4" t="inlineStr">
        <is>
          <t>Example 6</t>
        </is>
      </c>
      <c r="E996" s="4" t="inlineStr">
        <is>
          <t>test</t>
        </is>
      </c>
      <c r="F996" s="10" t="n">
        <v>8.34</v>
      </c>
      <c r="G996" s="10" t="n">
        <v>8.67953895289234</v>
      </c>
      <c r="H996" s="10" t="n">
        <v>1.585227639451102</v>
      </c>
      <c r="I996" s="10">
        <f>G996-1.96*H996</f>
        <v/>
      </c>
      <c r="J996" s="10">
        <f>G996+1.96*H996</f>
        <v/>
      </c>
      <c r="K996" s="10">
        <f>G996-F996</f>
        <v/>
      </c>
      <c r="L996" s="4">
        <f>IF(AND(F996&gt;=I996,F996&lt;=J996),1,0)</f>
        <v/>
      </c>
    </row>
    <row r="997">
      <c r="A997" s="4" t="inlineStr">
        <is>
          <t>m100_MPa</t>
        </is>
      </c>
      <c r="B997" s="4" t="inlineStr">
        <is>
          <t>G310</t>
        </is>
      </c>
      <c r="C997" s="4" t="inlineStr">
        <is>
          <t>US7666948B2</t>
        </is>
      </c>
      <c r="D997" s="4" t="inlineStr">
        <is>
          <t>Comparative Example 1</t>
        </is>
      </c>
      <c r="E997" s="4" t="inlineStr">
        <is>
          <t>test</t>
        </is>
      </c>
      <c r="F997" s="10" t="n">
        <v>1.01</v>
      </c>
      <c r="G997" s="10" t="n">
        <v>2.575789446384926</v>
      </c>
      <c r="H997" s="10" t="n">
        <v>1.865308967803534</v>
      </c>
      <c r="I997" s="10">
        <f>G997-1.96*H997</f>
        <v/>
      </c>
      <c r="J997" s="10">
        <f>G997+1.96*H997</f>
        <v/>
      </c>
      <c r="K997" s="10">
        <f>G997-F997</f>
        <v/>
      </c>
      <c r="L997" s="4">
        <f>IF(AND(F997&gt;=I997,F997&lt;=J997),1,0)</f>
        <v/>
      </c>
    </row>
    <row r="998">
      <c r="A998" s="4" t="inlineStr">
        <is>
          <t>m100_MPa</t>
        </is>
      </c>
      <c r="B998" s="4" t="inlineStr">
        <is>
          <t>G261</t>
        </is>
      </c>
      <c r="C998" s="4" t="inlineStr">
        <is>
          <t>US12584054B2</t>
        </is>
      </c>
      <c r="D998" s="4" t="inlineStr">
        <is>
          <t>Example 9</t>
        </is>
      </c>
      <c r="E998" s="4" t="inlineStr">
        <is>
          <t>test</t>
        </is>
      </c>
      <c r="F998" s="10" t="n">
        <v>2.6</v>
      </c>
      <c r="G998" s="10" t="n">
        <v>4.366247493827314</v>
      </c>
      <c r="H998" s="10" t="n">
        <v>2.357918877430824</v>
      </c>
      <c r="I998" s="10">
        <f>G998-1.96*H998</f>
        <v/>
      </c>
      <c r="J998" s="10">
        <f>G998+1.96*H998</f>
        <v/>
      </c>
      <c r="K998" s="10">
        <f>G998-F998</f>
        <v/>
      </c>
      <c r="L998" s="4">
        <f>IF(AND(F998&gt;=I998,F998&lt;=J998),1,0)</f>
        <v/>
      </c>
    </row>
    <row r="999">
      <c r="A999" s="4" t="inlineStr">
        <is>
          <t>m100_MPa</t>
        </is>
      </c>
      <c r="B999" s="4" t="inlineStr">
        <is>
          <t>G124</t>
        </is>
      </c>
      <c r="C999" s="4" t="inlineStr">
        <is>
          <t>US5696189A</t>
        </is>
      </c>
      <c r="D999" s="4" t="inlineStr">
        <is>
          <t>Example 7</t>
        </is>
      </c>
      <c r="E999" s="4" t="inlineStr">
        <is>
          <t>test</t>
        </is>
      </c>
      <c r="F999" s="10" t="n">
        <v>7.03</v>
      </c>
      <c r="G999" s="10" t="n">
        <v>6.120874002240631</v>
      </c>
      <c r="H999" s="10" t="n">
        <v>3.12427795372947</v>
      </c>
      <c r="I999" s="10">
        <f>G999-1.96*H999</f>
        <v/>
      </c>
      <c r="J999" s="10">
        <f>G999+1.96*H999</f>
        <v/>
      </c>
      <c r="K999" s="10">
        <f>G999-F999</f>
        <v/>
      </c>
      <c r="L999" s="4">
        <f>IF(AND(F999&gt;=I999,F999&lt;=J999),1,0)</f>
        <v/>
      </c>
    </row>
    <row r="1000">
      <c r="A1000" s="4" t="inlineStr">
        <is>
          <t>m100_MPa</t>
        </is>
      </c>
      <c r="B1000" s="4" t="inlineStr">
        <is>
          <t>G050</t>
        </is>
      </c>
      <c r="C1000" s="4" t="inlineStr">
        <is>
          <t>US8211964B2</t>
        </is>
      </c>
      <c r="D1000" s="4" t="inlineStr">
        <is>
          <t>Comparative Example 2</t>
        </is>
      </c>
      <c r="E1000" s="4" t="inlineStr">
        <is>
          <t>test</t>
        </is>
      </c>
      <c r="F1000" s="10" t="n">
        <v>5.1</v>
      </c>
      <c r="G1000" s="10" t="n">
        <v>3.941596981198733</v>
      </c>
      <c r="H1000" s="10" t="n">
        <v>2.247267309961768</v>
      </c>
      <c r="I1000" s="10">
        <f>G1000-1.96*H1000</f>
        <v/>
      </c>
      <c r="J1000" s="10">
        <f>G1000+1.96*H1000</f>
        <v/>
      </c>
      <c r="K1000" s="10">
        <f>G1000-F1000</f>
        <v/>
      </c>
      <c r="L1000" s="4">
        <f>IF(AND(F1000&gt;=I1000,F1000&lt;=J1000),1,0)</f>
        <v/>
      </c>
    </row>
    <row r="1001">
      <c r="A1001" s="4" t="inlineStr">
        <is>
          <t>m100_MPa</t>
        </is>
      </c>
      <c r="B1001" s="4" t="inlineStr">
        <is>
          <t>G274</t>
        </is>
      </c>
      <c r="C1001" s="4" t="inlineStr">
        <is>
          <t>US20230174763A1</t>
        </is>
      </c>
      <c r="D1001" s="4" t="inlineStr">
        <is>
          <t>Comparative Example 12</t>
        </is>
      </c>
      <c r="E1001" s="4" t="inlineStr">
        <is>
          <t>test</t>
        </is>
      </c>
      <c r="F1001" s="10" t="n">
        <v>1.8</v>
      </c>
      <c r="G1001" s="10" t="n">
        <v>1.161029848628196</v>
      </c>
      <c r="H1001" s="10" t="n">
        <v>2.992918414155286</v>
      </c>
      <c r="I1001" s="10">
        <f>G1001-1.96*H1001</f>
        <v/>
      </c>
      <c r="J1001" s="10">
        <f>G1001+1.96*H1001</f>
        <v/>
      </c>
      <c r="K1001" s="10">
        <f>G1001-F1001</f>
        <v/>
      </c>
      <c r="L1001" s="4">
        <f>IF(AND(F1001&gt;=I1001,F1001&lt;=J1001),1,0)</f>
        <v/>
      </c>
    </row>
    <row r="1002">
      <c r="A1002" s="4" t="inlineStr">
        <is>
          <t>m100_MPa</t>
        </is>
      </c>
      <c r="B1002" s="4" t="inlineStr">
        <is>
          <t>G116</t>
        </is>
      </c>
      <c r="C1002" s="4" t="inlineStr">
        <is>
          <t>US5696189A</t>
        </is>
      </c>
      <c r="D1002" s="4" t="inlineStr">
        <is>
          <t>Comparative Example A</t>
        </is>
      </c>
      <c r="E1002" s="4" t="inlineStr">
        <is>
          <t>test</t>
        </is>
      </c>
      <c r="F1002" s="10" t="n">
        <v>6.62</v>
      </c>
      <c r="G1002" s="10" t="n">
        <v>5.719714278819914</v>
      </c>
      <c r="H1002" s="10" t="n">
        <v>1.995575503052104</v>
      </c>
      <c r="I1002" s="10">
        <f>G1002-1.96*H1002</f>
        <v/>
      </c>
      <c r="J1002" s="10">
        <f>G1002+1.96*H1002</f>
        <v/>
      </c>
      <c r="K1002" s="10">
        <f>G1002-F1002</f>
        <v/>
      </c>
      <c r="L1002" s="4">
        <f>IF(AND(F1002&gt;=I1002,F1002&lt;=J1002),1,0)</f>
        <v/>
      </c>
    </row>
    <row r="1003">
      <c r="A1003" s="4" t="inlineStr">
        <is>
          <t>m100_MPa</t>
        </is>
      </c>
      <c r="B1003" s="4" t="inlineStr">
        <is>
          <t>G112</t>
        </is>
      </c>
      <c r="C1003" s="4" t="inlineStr">
        <is>
          <t>US6992143B2</t>
        </is>
      </c>
      <c r="D1003" s="4" t="inlineStr">
        <is>
          <t>Example 3</t>
        </is>
      </c>
      <c r="E1003" s="4" t="inlineStr">
        <is>
          <t>test</t>
        </is>
      </c>
      <c r="F1003" s="10" t="n">
        <v>3.8</v>
      </c>
      <c r="G1003" s="10" t="n">
        <v>5.890349218227121</v>
      </c>
      <c r="H1003" s="10" t="n">
        <v>1.791239340648576</v>
      </c>
      <c r="I1003" s="10">
        <f>G1003-1.96*H1003</f>
        <v/>
      </c>
      <c r="J1003" s="10">
        <f>G1003+1.96*H1003</f>
        <v/>
      </c>
      <c r="K1003" s="10">
        <f>G1003-F1003</f>
        <v/>
      </c>
      <c r="L1003" s="4">
        <f>IF(AND(F1003&gt;=I1003,F1003&lt;=J1003),1,0)</f>
        <v/>
      </c>
    </row>
    <row r="1004">
      <c r="A1004" s="4" t="inlineStr">
        <is>
          <t>m100_MPa</t>
        </is>
      </c>
      <c r="B1004" s="4" t="inlineStr">
        <is>
          <t>G158</t>
        </is>
      </c>
      <c r="C1004" s="4" t="inlineStr">
        <is>
          <t>US6956085B2</t>
        </is>
      </c>
      <c r="D1004" s="4" t="inlineStr">
        <is>
          <t>Example 1</t>
        </is>
      </c>
      <c r="E1004" s="4" t="inlineStr">
        <is>
          <t>test</t>
        </is>
      </c>
      <c r="F1004" s="10" t="n">
        <v>10.48</v>
      </c>
      <c r="G1004" s="10" t="n">
        <v>7.926489244098462</v>
      </c>
      <c r="H1004" s="10" t="n">
        <v>1.775291775739881</v>
      </c>
      <c r="I1004" s="10">
        <f>G1004-1.96*H1004</f>
        <v/>
      </c>
      <c r="J1004" s="10">
        <f>G1004+1.96*H1004</f>
        <v/>
      </c>
      <c r="K1004" s="10">
        <f>G1004-F1004</f>
        <v/>
      </c>
      <c r="L1004" s="4">
        <f>IF(AND(F1004&gt;=I1004,F1004&lt;=J1004),1,0)</f>
        <v/>
      </c>
    </row>
    <row r="1005">
      <c r="A1005" s="4" t="inlineStr">
        <is>
          <t>m100_MPa</t>
        </is>
      </c>
      <c r="B1005" s="4" t="inlineStr">
        <is>
          <t>G265</t>
        </is>
      </c>
      <c r="C1005" s="4" t="inlineStr">
        <is>
          <t>US20230174763A1</t>
        </is>
      </c>
      <c r="D1005" s="4" t="inlineStr">
        <is>
          <t>Example 2</t>
        </is>
      </c>
      <c r="E1005" s="4" t="inlineStr">
        <is>
          <t>test</t>
        </is>
      </c>
      <c r="F1005" s="10" t="n">
        <v>6</v>
      </c>
      <c r="G1005" s="10" t="n">
        <v>5.335820445808063</v>
      </c>
      <c r="H1005" s="10" t="n">
        <v>1.898950263199938</v>
      </c>
      <c r="I1005" s="10">
        <f>G1005-1.96*H1005</f>
        <v/>
      </c>
      <c r="J1005" s="10">
        <f>G1005+1.96*H1005</f>
        <v/>
      </c>
      <c r="K1005" s="10">
        <f>G1005-F1005</f>
        <v/>
      </c>
      <c r="L1005" s="4">
        <f>IF(AND(F1005&gt;=I1005,F1005&lt;=J1005),1,0)</f>
        <v/>
      </c>
    </row>
    <row r="1006">
      <c r="A1006" s="4" t="inlineStr">
        <is>
          <t>m100_MPa</t>
        </is>
      </c>
      <c r="B1006" s="4" t="inlineStr">
        <is>
          <t>G272</t>
        </is>
      </c>
      <c r="C1006" s="4" t="inlineStr">
        <is>
          <t>US20230174763A1</t>
        </is>
      </c>
      <c r="D1006" s="4" t="inlineStr">
        <is>
          <t>Comparative Example 11</t>
        </is>
      </c>
      <c r="E1006" s="4" t="inlineStr">
        <is>
          <t>test</t>
        </is>
      </c>
      <c r="F1006" s="10" t="n">
        <v>4.5</v>
      </c>
      <c r="G1006" s="10" t="n">
        <v>5.648302306255167</v>
      </c>
      <c r="H1006" s="10" t="n">
        <v>2.199866599893921</v>
      </c>
      <c r="I1006" s="10">
        <f>G1006-1.96*H1006</f>
        <v/>
      </c>
      <c r="J1006" s="10">
        <f>G1006+1.96*H1006</f>
        <v/>
      </c>
      <c r="K1006" s="10">
        <f>G1006-F1006</f>
        <v/>
      </c>
      <c r="L1006" s="4">
        <f>IF(AND(F1006&gt;=I1006,F1006&lt;=J1006),1,0)</f>
        <v/>
      </c>
    </row>
    <row r="1007">
      <c r="A1007" s="4" t="inlineStr">
        <is>
          <t>m100_MPa</t>
        </is>
      </c>
      <c r="B1007" s="4" t="inlineStr">
        <is>
          <t>G052</t>
        </is>
      </c>
      <c r="C1007" s="4" t="inlineStr">
        <is>
          <t>US8211964B2</t>
        </is>
      </c>
      <c r="D1007" s="4" t="inlineStr">
        <is>
          <t>Comparative Example 3</t>
        </is>
      </c>
      <c r="E1007" s="4" t="inlineStr">
        <is>
          <t>test</t>
        </is>
      </c>
      <c r="F1007" s="10" t="n">
        <v>5.88</v>
      </c>
      <c r="G1007" s="10" t="n">
        <v>6.421500066990367</v>
      </c>
      <c r="H1007" s="10" t="n">
        <v>1.664848237586813</v>
      </c>
      <c r="I1007" s="10">
        <f>G1007-1.96*H1007</f>
        <v/>
      </c>
      <c r="J1007" s="10">
        <f>G1007+1.96*H1007</f>
        <v/>
      </c>
      <c r="K1007" s="10">
        <f>G1007-F1007</f>
        <v/>
      </c>
      <c r="L1007" s="4">
        <f>IF(AND(F1007&gt;=I1007,F1007&lt;=J1007),1,0)</f>
        <v/>
      </c>
    </row>
    <row r="1008">
      <c r="A1008" s="4" t="inlineStr">
        <is>
          <t>m100_MPa</t>
        </is>
      </c>
      <c r="B1008" s="4" t="inlineStr">
        <is>
          <t>G146</t>
        </is>
      </c>
      <c r="C1008" s="4" t="inlineStr">
        <is>
          <t>US7247749B2</t>
        </is>
      </c>
      <c r="D1008" s="4" t="inlineStr">
        <is>
          <t>Sample 22</t>
        </is>
      </c>
      <c r="E1008" s="4" t="inlineStr">
        <is>
          <t>test</t>
        </is>
      </c>
      <c r="F1008" s="10" t="n">
        <v>8.35</v>
      </c>
      <c r="G1008" s="10" t="n">
        <v>5.631285045587788</v>
      </c>
      <c r="H1008" s="10" t="n">
        <v>1.655166404713049</v>
      </c>
      <c r="I1008" s="10">
        <f>G1008-1.96*H1008</f>
        <v/>
      </c>
      <c r="J1008" s="10">
        <f>G1008+1.96*H1008</f>
        <v/>
      </c>
      <c r="K1008" s="10">
        <f>G1008-F1008</f>
        <v/>
      </c>
      <c r="L1008" s="4">
        <f>IF(AND(F1008&gt;=I1008,F1008&lt;=J1008),1,0)</f>
        <v/>
      </c>
    </row>
    <row r="1009">
      <c r="A1009" s="4" t="inlineStr">
        <is>
          <t>m100_MPa</t>
        </is>
      </c>
      <c r="B1009" s="4" t="inlineStr">
        <is>
          <t>G074</t>
        </is>
      </c>
      <c r="C1009" s="4" t="inlineStr">
        <is>
          <t>US12091537B2</t>
        </is>
      </c>
      <c r="D1009" s="4" t="inlineStr">
        <is>
          <t>Example 1</t>
        </is>
      </c>
      <c r="E1009" s="4" t="inlineStr">
        <is>
          <t>test</t>
        </is>
      </c>
      <c r="F1009" s="10" t="n">
        <v>8.4</v>
      </c>
      <c r="G1009" s="10" t="n">
        <v>8.009409199657522</v>
      </c>
      <c r="H1009" s="10" t="n">
        <v>1.605454970178938</v>
      </c>
      <c r="I1009" s="10">
        <f>G1009-1.96*H1009</f>
        <v/>
      </c>
      <c r="J1009" s="10">
        <f>G1009+1.96*H1009</f>
        <v/>
      </c>
      <c r="K1009" s="10">
        <f>G1009-F1009</f>
        <v/>
      </c>
      <c r="L1009" s="4">
        <f>IF(AND(F1009&gt;=I1009,F1009&lt;=J1009),1,0)</f>
        <v/>
      </c>
    </row>
    <row r="1010">
      <c r="A1010" s="4" t="inlineStr">
        <is>
          <t>m100_MPa</t>
        </is>
      </c>
      <c r="B1010" s="4" t="inlineStr">
        <is>
          <t>G084</t>
        </is>
      </c>
      <c r="C1010" s="4" t="inlineStr">
        <is>
          <t>US8367776B2</t>
        </is>
      </c>
      <c r="D1010" s="4" t="inlineStr">
        <is>
          <t>Comparative Example 1</t>
        </is>
      </c>
      <c r="E1010" s="4" t="inlineStr">
        <is>
          <t>test</t>
        </is>
      </c>
      <c r="F1010" s="10" t="n">
        <v>1.3</v>
      </c>
      <c r="G1010" s="10" t="n">
        <v>1.57694416290826</v>
      </c>
      <c r="H1010" s="10" t="n">
        <v>1.601243887270599</v>
      </c>
      <c r="I1010" s="10">
        <f>G1010-1.96*H1010</f>
        <v/>
      </c>
      <c r="J1010" s="10">
        <f>G1010+1.96*H1010</f>
        <v/>
      </c>
      <c r="K1010" s="10">
        <f>G1010-F1010</f>
        <v/>
      </c>
      <c r="L1010" s="4">
        <f>IF(AND(F1010&gt;=I1010,F1010&lt;=J1010),1,0)</f>
        <v/>
      </c>
    </row>
    <row r="1011">
      <c r="A1011" s="4" t="inlineStr">
        <is>
          <t>m100_MPa</t>
        </is>
      </c>
      <c r="B1011" s="4" t="inlineStr">
        <is>
          <t>G049</t>
        </is>
      </c>
      <c r="C1011" s="4" t="inlineStr">
        <is>
          <t>US8211964B2</t>
        </is>
      </c>
      <c r="D1011" s="4" t="inlineStr">
        <is>
          <t>Example 7</t>
        </is>
      </c>
      <c r="E1011" s="4" t="inlineStr">
        <is>
          <t>test</t>
        </is>
      </c>
      <c r="F1011" s="10" t="n">
        <v>5</v>
      </c>
      <c r="G1011" s="10" t="n">
        <v>3.970014089287958</v>
      </c>
      <c r="H1011" s="10" t="n">
        <v>2.251437435802856</v>
      </c>
      <c r="I1011" s="10">
        <f>G1011-1.96*H1011</f>
        <v/>
      </c>
      <c r="J1011" s="10">
        <f>G1011+1.96*H1011</f>
        <v/>
      </c>
      <c r="K1011" s="10">
        <f>G1011-F1011</f>
        <v/>
      </c>
      <c r="L1011" s="4">
        <f>IF(AND(F1011&gt;=I1011,F1011&lt;=J1011),1,0)</f>
        <v/>
      </c>
    </row>
    <row r="1012">
      <c r="A1012" s="4" t="inlineStr">
        <is>
          <t>m100_MPa</t>
        </is>
      </c>
      <c r="B1012" s="4" t="inlineStr">
        <is>
          <t>G292</t>
        </is>
      </c>
      <c r="C1012" s="4" t="inlineStr">
        <is>
          <t>EP4249550A1</t>
        </is>
      </c>
      <c r="D1012" s="4" t="inlineStr">
        <is>
          <t>Example 3</t>
        </is>
      </c>
      <c r="E1012" s="4" t="inlineStr">
        <is>
          <t>test</t>
        </is>
      </c>
      <c r="F1012" s="10" t="n">
        <v>5.9</v>
      </c>
      <c r="G1012" s="10" t="n">
        <v>5.487497126644922</v>
      </c>
      <c r="H1012" s="10" t="n">
        <v>1.872403300109592</v>
      </c>
      <c r="I1012" s="10">
        <f>G1012-1.96*H1012</f>
        <v/>
      </c>
      <c r="J1012" s="10">
        <f>G1012+1.96*H1012</f>
        <v/>
      </c>
      <c r="K1012" s="10">
        <f>G1012-F1012</f>
        <v/>
      </c>
      <c r="L1012" s="4">
        <f>IF(AND(F1012&gt;=I1012,F1012&lt;=J1012),1,0)</f>
        <v/>
      </c>
    </row>
    <row r="1013">
      <c r="A1013" s="4" t="inlineStr">
        <is>
          <t>m100_MPa</t>
        </is>
      </c>
      <c r="B1013" s="4" t="inlineStr">
        <is>
          <t>G002</t>
        </is>
      </c>
      <c r="C1013" s="4" t="inlineStr">
        <is>
          <t>US7678858B2</t>
        </is>
      </c>
      <c r="D1013" s="4" t="inlineStr">
        <is>
          <t>Example 2</t>
        </is>
      </c>
      <c r="E1013" s="4" t="inlineStr">
        <is>
          <t>test</t>
        </is>
      </c>
      <c r="F1013" s="10" t="n">
        <v>9.32</v>
      </c>
      <c r="G1013" s="10" t="n">
        <v>8.67953895289234</v>
      </c>
      <c r="H1013" s="10" t="n">
        <v>1.585227639451102</v>
      </c>
      <c r="I1013" s="10">
        <f>G1013-1.96*H1013</f>
        <v/>
      </c>
      <c r="J1013" s="10">
        <f>G1013+1.96*H1013</f>
        <v/>
      </c>
      <c r="K1013" s="10">
        <f>G1013-F1013</f>
        <v/>
      </c>
      <c r="L1013" s="4">
        <f>IF(AND(F1013&gt;=I1013,F1013&lt;=J1013),1,0)</f>
        <v/>
      </c>
    </row>
    <row r="1014">
      <c r="A1014" s="4" t="inlineStr">
        <is>
          <t>m100_MPa</t>
        </is>
      </c>
      <c r="B1014" s="4" t="inlineStr">
        <is>
          <t>G293</t>
        </is>
      </c>
      <c r="C1014" s="4" t="inlineStr">
        <is>
          <t>EP4249550A1</t>
        </is>
      </c>
      <c r="D1014" s="4" t="inlineStr">
        <is>
          <t>Example 4</t>
        </is>
      </c>
      <c r="E1014" s="4" t="inlineStr">
        <is>
          <t>test</t>
        </is>
      </c>
      <c r="F1014" s="10" t="n">
        <v>6.1</v>
      </c>
      <c r="G1014" s="10" t="n">
        <v>5.487497126644922</v>
      </c>
      <c r="H1014" s="10" t="n">
        <v>1.872403300109592</v>
      </c>
      <c r="I1014" s="10">
        <f>G1014-1.96*H1014</f>
        <v/>
      </c>
      <c r="J1014" s="10">
        <f>G1014+1.96*H1014</f>
        <v/>
      </c>
      <c r="K1014" s="10">
        <f>G1014-F1014</f>
        <v/>
      </c>
      <c r="L1014" s="4">
        <f>IF(AND(F1014&gt;=I1014,F1014&lt;=J1014),1,0)</f>
        <v/>
      </c>
    </row>
    <row r="1015">
      <c r="A1015" s="4" t="inlineStr">
        <is>
          <t>m100_MPa</t>
        </is>
      </c>
      <c r="B1015" s="4" t="inlineStr">
        <is>
          <t>G105</t>
        </is>
      </c>
      <c r="C1015" s="4" t="inlineStr">
        <is>
          <t>US7354974B2</t>
        </is>
      </c>
      <c r="D1015" s="4" t="inlineStr">
        <is>
          <t>Control B</t>
        </is>
      </c>
      <c r="E1015" s="4" t="inlineStr">
        <is>
          <t>test</t>
        </is>
      </c>
      <c r="F1015" s="10" t="n">
        <v>7.5</v>
      </c>
      <c r="G1015" s="10" t="n">
        <v>7.995574324821213</v>
      </c>
      <c r="H1015" s="10" t="n">
        <v>1.970016512448617</v>
      </c>
      <c r="I1015" s="10">
        <f>G1015-1.96*H1015</f>
        <v/>
      </c>
      <c r="J1015" s="10">
        <f>G1015+1.96*H1015</f>
        <v/>
      </c>
      <c r="K1015" s="10">
        <f>G1015-F1015</f>
        <v/>
      </c>
      <c r="L1015" s="4">
        <f>IF(AND(F1015&gt;=I1015,F1015&lt;=J1015),1,0)</f>
        <v/>
      </c>
    </row>
    <row r="1016">
      <c r="A1016" s="4" t="inlineStr">
        <is>
          <t>m100_MPa</t>
        </is>
      </c>
      <c r="B1016" s="4" t="inlineStr">
        <is>
          <t>G294</t>
        </is>
      </c>
      <c r="C1016" s="4" t="inlineStr">
        <is>
          <t>EP4249550A1</t>
        </is>
      </c>
      <c r="D1016" s="4" t="inlineStr">
        <is>
          <t>Example 5</t>
        </is>
      </c>
      <c r="E1016" s="4" t="inlineStr">
        <is>
          <t>test</t>
        </is>
      </c>
      <c r="F1016" s="10" t="n">
        <v>5.8</v>
      </c>
      <c r="G1016" s="10" t="n">
        <v>5.494722367698274</v>
      </c>
      <c r="H1016" s="10" t="n">
        <v>1.899908406399176</v>
      </c>
      <c r="I1016" s="10">
        <f>G1016-1.96*H1016</f>
        <v/>
      </c>
      <c r="J1016" s="10">
        <f>G1016+1.96*H1016</f>
        <v/>
      </c>
      <c r="K1016" s="10">
        <f>G1016-F1016</f>
        <v/>
      </c>
      <c r="L1016" s="4">
        <f>IF(AND(F1016&gt;=I1016,F1016&lt;=J1016),1,0)</f>
        <v/>
      </c>
    </row>
    <row r="1017">
      <c r="A1017" s="4" t="inlineStr">
        <is>
          <t>m100_MPa</t>
        </is>
      </c>
      <c r="B1017" s="4" t="inlineStr">
        <is>
          <t>G085</t>
        </is>
      </c>
      <c r="C1017" s="4" t="inlineStr">
        <is>
          <t>US8367776B2</t>
        </is>
      </c>
      <c r="D1017" s="4" t="inlineStr">
        <is>
          <t>Comparative Example 2</t>
        </is>
      </c>
      <c r="E1017" s="4" t="inlineStr">
        <is>
          <t>test</t>
        </is>
      </c>
      <c r="F1017" s="10" t="n">
        <v>3.2</v>
      </c>
      <c r="G1017" s="10" t="n">
        <v>1.57694416290826</v>
      </c>
      <c r="H1017" s="10" t="n">
        <v>1.601243887270599</v>
      </c>
      <c r="I1017" s="10">
        <f>G1017-1.96*H1017</f>
        <v/>
      </c>
      <c r="J1017" s="10">
        <f>G1017+1.96*H1017</f>
        <v/>
      </c>
      <c r="K1017" s="10">
        <f>G1017-F1017</f>
        <v/>
      </c>
      <c r="L1017" s="4">
        <f>IF(AND(F1017&gt;=I1017,F1017&lt;=J1017),1,0)</f>
        <v/>
      </c>
    </row>
    <row r="1018">
      <c r="A1018" s="4" t="inlineStr">
        <is>
          <t>m100_MPa</t>
        </is>
      </c>
      <c r="B1018" s="4" t="inlineStr">
        <is>
          <t>G266</t>
        </is>
      </c>
      <c r="C1018" s="4" t="inlineStr">
        <is>
          <t>US20230174763A1</t>
        </is>
      </c>
      <c r="D1018" s="4" t="inlineStr">
        <is>
          <t>Example 3</t>
        </is>
      </c>
      <c r="E1018" s="4" t="inlineStr">
        <is>
          <t>test</t>
        </is>
      </c>
      <c r="F1018" s="10" t="n">
        <v>8.300000000000001</v>
      </c>
      <c r="G1018" s="10" t="n">
        <v>9.92010992050235</v>
      </c>
      <c r="H1018" s="10" t="n">
        <v>2.31461684564297</v>
      </c>
      <c r="I1018" s="10">
        <f>G1018-1.96*H1018</f>
        <v/>
      </c>
      <c r="J1018" s="10">
        <f>G1018+1.96*H1018</f>
        <v/>
      </c>
      <c r="K1018" s="10">
        <f>G1018-F1018</f>
        <v/>
      </c>
      <c r="L1018" s="4">
        <f>IF(AND(F1018&gt;=I1018,F1018&lt;=J1018),1,0)</f>
        <v/>
      </c>
    </row>
    <row r="1019">
      <c r="A1019" s="4" t="inlineStr">
        <is>
          <t>m100_MPa</t>
        </is>
      </c>
      <c r="B1019" s="4" t="inlineStr">
        <is>
          <t>G251</t>
        </is>
      </c>
      <c r="C1019" s="4" t="inlineStr">
        <is>
          <t>US12584054B2</t>
        </is>
      </c>
      <c r="D1019" s="4" t="inlineStr">
        <is>
          <t>Comparative Example 3</t>
        </is>
      </c>
      <c r="E1019" s="4" t="inlineStr">
        <is>
          <t>test</t>
        </is>
      </c>
      <c r="F1019" s="10" t="n">
        <v>5.6</v>
      </c>
      <c r="G1019" s="10" t="n">
        <v>6.002605779560577</v>
      </c>
      <c r="H1019" s="10" t="n">
        <v>2.397546282617971</v>
      </c>
      <c r="I1019" s="10">
        <f>G1019-1.96*H1019</f>
        <v/>
      </c>
      <c r="J1019" s="10">
        <f>G1019+1.96*H1019</f>
        <v/>
      </c>
      <c r="K1019" s="10">
        <f>G1019-F1019</f>
        <v/>
      </c>
      <c r="L1019" s="4">
        <f>IF(AND(F1019&gt;=I1019,F1019&lt;=J1019),1,0)</f>
        <v/>
      </c>
    </row>
    <row r="1020">
      <c r="A1020" s="4" t="inlineStr">
        <is>
          <t>m100_MPa</t>
        </is>
      </c>
      <c r="B1020" s="4" t="inlineStr">
        <is>
          <t>G138</t>
        </is>
      </c>
      <c r="C1020" s="4" t="inlineStr">
        <is>
          <t>US7247749B2</t>
        </is>
      </c>
      <c r="D1020" s="4" t="inlineStr">
        <is>
          <t>Sample 14</t>
        </is>
      </c>
      <c r="E1020" s="4" t="inlineStr">
        <is>
          <t>test</t>
        </is>
      </c>
      <c r="F1020" s="10" t="n">
        <v>2.8</v>
      </c>
      <c r="G1020" s="10" t="n">
        <v>4.47933276117607</v>
      </c>
      <c r="H1020" s="10" t="n">
        <v>1.769910258398189</v>
      </c>
      <c r="I1020" s="10">
        <f>G1020-1.96*H1020</f>
        <v/>
      </c>
      <c r="J1020" s="10">
        <f>G1020+1.96*H1020</f>
        <v/>
      </c>
      <c r="K1020" s="10">
        <f>G1020-F1020</f>
        <v/>
      </c>
      <c r="L1020" s="4">
        <f>IF(AND(F1020&gt;=I1020,F1020&lt;=J1020),1,0)</f>
        <v/>
      </c>
    </row>
    <row r="1021">
      <c r="A1021" s="4" t="inlineStr">
        <is>
          <t>m100_MPa</t>
        </is>
      </c>
      <c r="B1021" s="4" t="inlineStr">
        <is>
          <t>G039</t>
        </is>
      </c>
      <c r="C1021" s="4" t="inlineStr">
        <is>
          <t>US8173727B2</t>
        </is>
      </c>
      <c r="D1021" s="4" t="inlineStr">
        <is>
          <t>Example 11</t>
        </is>
      </c>
      <c r="E1021" s="4" t="inlineStr">
        <is>
          <t>test</t>
        </is>
      </c>
      <c r="F1021" s="10" t="n">
        <v>2.45</v>
      </c>
      <c r="G1021" s="10" t="n">
        <v>3.416373221584882</v>
      </c>
      <c r="H1021" s="10" t="n">
        <v>1.785860335501563</v>
      </c>
      <c r="I1021" s="10">
        <f>G1021-1.96*H1021</f>
        <v/>
      </c>
      <c r="J1021" s="10">
        <f>G1021+1.96*H1021</f>
        <v/>
      </c>
      <c r="K1021" s="10">
        <f>G1021-F1021</f>
        <v/>
      </c>
      <c r="L1021" s="4">
        <f>IF(AND(F1021&gt;=I1021,F1021&lt;=J1021),1,0)</f>
        <v/>
      </c>
    </row>
    <row r="1022">
      <c r="A1022" s="4" t="inlineStr">
        <is>
          <t>m100_MPa</t>
        </is>
      </c>
      <c r="B1022" s="4" t="inlineStr">
        <is>
          <t>G088</t>
        </is>
      </c>
      <c r="C1022" s="4" t="inlineStr">
        <is>
          <t>US8367776B2</t>
        </is>
      </c>
      <c r="D1022" s="4" t="inlineStr">
        <is>
          <t>Example 6</t>
        </is>
      </c>
      <c r="E1022" s="4" t="inlineStr">
        <is>
          <t>test</t>
        </is>
      </c>
      <c r="F1022" s="10" t="n">
        <v>1.38</v>
      </c>
      <c r="G1022" s="10" t="n">
        <v>1.55048402241547</v>
      </c>
      <c r="H1022" s="10" t="n">
        <v>1.583163940155966</v>
      </c>
      <c r="I1022" s="10">
        <f>G1022-1.96*H1022</f>
        <v/>
      </c>
      <c r="J1022" s="10">
        <f>G1022+1.96*H1022</f>
        <v/>
      </c>
      <c r="K1022" s="10">
        <f>G1022-F1022</f>
        <v/>
      </c>
      <c r="L1022" s="4">
        <f>IF(AND(F1022&gt;=I1022,F1022&lt;=J1022),1,0)</f>
        <v/>
      </c>
    </row>
    <row r="1023">
      <c r="A1023" s="4" t="inlineStr">
        <is>
          <t>m100_MPa</t>
        </is>
      </c>
      <c r="B1023" s="4" t="inlineStr">
        <is>
          <t>G004</t>
        </is>
      </c>
      <c r="C1023" s="4" t="inlineStr">
        <is>
          <t>US7678858B2</t>
        </is>
      </c>
      <c r="D1023" s="4" t="inlineStr">
        <is>
          <t>Example 4</t>
        </is>
      </c>
      <c r="E1023" s="4" t="inlineStr">
        <is>
          <t>test</t>
        </is>
      </c>
      <c r="F1023" s="10" t="n">
        <v>9.32</v>
      </c>
      <c r="G1023" s="10" t="n">
        <v>8.67953895289234</v>
      </c>
      <c r="H1023" s="10" t="n">
        <v>1.585227639451102</v>
      </c>
      <c r="I1023" s="10">
        <f>G1023-1.96*H1023</f>
        <v/>
      </c>
      <c r="J1023" s="10">
        <f>G1023+1.96*H1023</f>
        <v/>
      </c>
      <c r="K1023" s="10">
        <f>G1023-F1023</f>
        <v/>
      </c>
      <c r="L1023" s="4">
        <f>IF(AND(F1023&gt;=I1023,F1023&lt;=J1023),1,0)</f>
        <v/>
      </c>
    </row>
    <row r="1024">
      <c r="A1024" s="4" t="inlineStr">
        <is>
          <t>m100_MPa</t>
        </is>
      </c>
      <c r="B1024" s="4" t="inlineStr">
        <is>
          <t>G046</t>
        </is>
      </c>
      <c r="C1024" s="4" t="inlineStr">
        <is>
          <t>US8211964B2</t>
        </is>
      </c>
      <c r="D1024" s="4" t="inlineStr">
        <is>
          <t>Example 5</t>
        </is>
      </c>
      <c r="E1024" s="4" t="inlineStr">
        <is>
          <t>test</t>
        </is>
      </c>
      <c r="F1024" s="10" t="n">
        <v>4.9</v>
      </c>
      <c r="G1024" s="10" t="n">
        <v>5.469066603909427</v>
      </c>
      <c r="H1024" s="10" t="n">
        <v>2.041868178449553</v>
      </c>
      <c r="I1024" s="10">
        <f>G1024-1.96*H1024</f>
        <v/>
      </c>
      <c r="J1024" s="10">
        <f>G1024+1.96*H1024</f>
        <v/>
      </c>
      <c r="K1024" s="10">
        <f>G1024-F1024</f>
        <v/>
      </c>
      <c r="L1024" s="4">
        <f>IF(AND(F1024&gt;=I1024,F1024&lt;=J1024),1,0)</f>
        <v/>
      </c>
    </row>
    <row r="1025">
      <c r="A1025" s="4" t="inlineStr">
        <is>
          <t>m100_MPa</t>
        </is>
      </c>
      <c r="B1025" s="4" t="inlineStr">
        <is>
          <t>G100</t>
        </is>
      </c>
      <c r="C1025" s="4" t="inlineStr">
        <is>
          <t>US7354974B2</t>
        </is>
      </c>
      <c r="D1025" s="4" t="inlineStr">
        <is>
          <t>Example 4</t>
        </is>
      </c>
      <c r="E1025" s="4" t="inlineStr">
        <is>
          <t>test</t>
        </is>
      </c>
      <c r="F1025" s="10" t="n">
        <v>8.800000000000001</v>
      </c>
      <c r="G1025" s="10" t="n">
        <v>7.53953282123559</v>
      </c>
      <c r="H1025" s="10" t="n">
        <v>2.497006719300097</v>
      </c>
      <c r="I1025" s="10">
        <f>G1025-1.96*H1025</f>
        <v/>
      </c>
      <c r="J1025" s="10">
        <f>G1025+1.96*H1025</f>
        <v/>
      </c>
      <c r="K1025" s="10">
        <f>G1025-F1025</f>
        <v/>
      </c>
      <c r="L1025" s="4">
        <f>IF(AND(F1025&gt;=I1025,F1025&lt;=J1025),1,0)</f>
        <v/>
      </c>
    </row>
    <row r="1026">
      <c r="A1026" s="4" t="inlineStr">
        <is>
          <t>compression_set_pct</t>
        </is>
      </c>
      <c r="B1026" s="4" t="inlineStr">
        <is>
          <t>G155</t>
        </is>
      </c>
      <c r="C1026" s="4" t="inlineStr">
        <is>
          <t>US7402630B2</t>
        </is>
      </c>
      <c r="D1026" s="4" t="inlineStr">
        <is>
          <t>Example 7</t>
        </is>
      </c>
      <c r="E1026" s="4" t="inlineStr">
        <is>
          <t>dev(OOF)</t>
        </is>
      </c>
      <c r="F1026" s="10" t="n">
        <v>22</v>
      </c>
      <c r="G1026" s="10" t="n">
        <v>30.77139755764198</v>
      </c>
      <c r="H1026" s="10" t="n">
        <v>8.155344490254082</v>
      </c>
      <c r="I1026" s="10">
        <f>G1026-1.96*H1026</f>
        <v/>
      </c>
      <c r="J1026" s="10">
        <f>G1026+1.96*H1026</f>
        <v/>
      </c>
      <c r="K1026" s="10">
        <f>G1026-F1026</f>
        <v/>
      </c>
      <c r="L1026" s="4">
        <f>IF(AND(F1026&gt;=I1026,F1026&lt;=J1026),1,0)</f>
        <v/>
      </c>
    </row>
    <row r="1027">
      <c r="A1027" s="4" t="inlineStr">
        <is>
          <t>compression_set_pct</t>
        </is>
      </c>
      <c r="B1027" s="4" t="inlineStr">
        <is>
          <t>G169</t>
        </is>
      </c>
      <c r="C1027" s="4" t="inlineStr">
        <is>
          <t>US20050107544A1</t>
        </is>
      </c>
      <c r="D1027" s="4" t="inlineStr">
        <is>
          <t>Comparative Example A</t>
        </is>
      </c>
      <c r="E1027" s="4" t="inlineStr">
        <is>
          <t>dev(OOF)</t>
        </is>
      </c>
      <c r="F1027" s="10" t="n">
        <v>13</v>
      </c>
      <c r="G1027" s="10" t="n">
        <v>26.25773596868386</v>
      </c>
      <c r="H1027" s="10" t="n">
        <v>12.67127544048899</v>
      </c>
      <c r="I1027" s="10">
        <f>G1027-1.96*H1027</f>
        <v/>
      </c>
      <c r="J1027" s="10">
        <f>G1027+1.96*H1027</f>
        <v/>
      </c>
      <c r="K1027" s="10">
        <f>G1027-F1027</f>
        <v/>
      </c>
      <c r="L1027" s="4">
        <f>IF(AND(F1027&gt;=I1027,F1027&lt;=J1027),1,0)</f>
        <v/>
      </c>
    </row>
    <row r="1028">
      <c r="A1028" s="4" t="inlineStr">
        <is>
          <t>compression_set_pct</t>
        </is>
      </c>
      <c r="B1028" s="4" t="inlineStr">
        <is>
          <t>G314</t>
        </is>
      </c>
      <c r="C1028" s="4" t="inlineStr">
        <is>
          <t>KR102400335B1</t>
        </is>
      </c>
      <c r="D1028" s="4" t="inlineStr">
        <is>
          <t>Comparative Example</t>
        </is>
      </c>
      <c r="E1028" s="4" t="inlineStr">
        <is>
          <t>dev(OOF)</t>
        </is>
      </c>
      <c r="F1028" s="10" t="n">
        <v>29</v>
      </c>
      <c r="G1028" s="10" t="n">
        <v>23.24458771931593</v>
      </c>
      <c r="H1028" s="10" t="n">
        <v>12.35713625117996</v>
      </c>
      <c r="I1028" s="10">
        <f>G1028-1.96*H1028</f>
        <v/>
      </c>
      <c r="J1028" s="10">
        <f>G1028+1.96*H1028</f>
        <v/>
      </c>
      <c r="K1028" s="10">
        <f>G1028-F1028</f>
        <v/>
      </c>
      <c r="L1028" s="4">
        <f>IF(AND(F1028&gt;=I1028,F1028&lt;=J1028),1,0)</f>
        <v/>
      </c>
    </row>
    <row r="1029">
      <c r="A1029" s="4" t="inlineStr">
        <is>
          <t>compression_set_pct</t>
        </is>
      </c>
      <c r="B1029" s="4" t="inlineStr">
        <is>
          <t>G089</t>
        </is>
      </c>
      <c r="C1029" s="4" t="inlineStr">
        <is>
          <t>US8367776B2</t>
        </is>
      </c>
      <c r="D1029" s="4" t="inlineStr">
        <is>
          <t>Example 7</t>
        </is>
      </c>
      <c r="E1029" s="4" t="inlineStr">
        <is>
          <t>dev(OOF)</t>
        </is>
      </c>
      <c r="F1029" s="10" t="n">
        <v>20.3</v>
      </c>
      <c r="G1029" s="10" t="n">
        <v>19.76994467963332</v>
      </c>
      <c r="H1029" s="10" t="n">
        <v>4.528577369517574</v>
      </c>
      <c r="I1029" s="10">
        <f>G1029-1.96*H1029</f>
        <v/>
      </c>
      <c r="J1029" s="10">
        <f>G1029+1.96*H1029</f>
        <v/>
      </c>
      <c r="K1029" s="10">
        <f>G1029-F1029</f>
        <v/>
      </c>
      <c r="L1029" s="4">
        <f>IF(AND(F1029&gt;=I1029,F1029&lt;=J1029),1,0)</f>
        <v/>
      </c>
    </row>
    <row r="1030">
      <c r="A1030" s="4" t="inlineStr">
        <is>
          <t>compression_set_pct</t>
        </is>
      </c>
      <c r="B1030" s="4" t="inlineStr">
        <is>
          <t>G028</t>
        </is>
      </c>
      <c r="C1030" s="4" t="inlineStr">
        <is>
          <t>US6803402B2</t>
        </is>
      </c>
      <c r="D1030" s="4" t="inlineStr">
        <is>
          <t>Comparative Example 3</t>
        </is>
      </c>
      <c r="E1030" s="4" t="inlineStr">
        <is>
          <t>dev(OOF)</t>
        </is>
      </c>
      <c r="F1030" s="10" t="n">
        <v>20</v>
      </c>
      <c r="G1030" s="10" t="n">
        <v>26.36489844992851</v>
      </c>
      <c r="H1030" s="10" t="n">
        <v>12.64094093626106</v>
      </c>
      <c r="I1030" s="10">
        <f>G1030-1.96*H1030</f>
        <v/>
      </c>
      <c r="J1030" s="10">
        <f>G1030+1.96*H1030</f>
        <v/>
      </c>
      <c r="K1030" s="10">
        <f>G1030-F1030</f>
        <v/>
      </c>
      <c r="L1030" s="4">
        <f>IF(AND(F1030&gt;=I1030,F1030&lt;=J1030),1,0)</f>
        <v/>
      </c>
    </row>
    <row r="1031">
      <c r="A1031" s="4" t="inlineStr">
        <is>
          <t>compression_set_pct</t>
        </is>
      </c>
      <c r="B1031" s="4" t="inlineStr">
        <is>
          <t>G152</t>
        </is>
      </c>
      <c r="C1031" s="4" t="inlineStr">
        <is>
          <t>US7247749B2</t>
        </is>
      </c>
      <c r="D1031" s="4" t="inlineStr">
        <is>
          <t>Sample 32</t>
        </is>
      </c>
      <c r="E1031" s="4" t="inlineStr">
        <is>
          <t>dev(OOF)</t>
        </is>
      </c>
      <c r="F1031" s="10" t="n">
        <v>8.33</v>
      </c>
      <c r="G1031" s="10" t="n">
        <v>10.71310782419382</v>
      </c>
      <c r="H1031" s="10" t="n">
        <v>2.829762662116224</v>
      </c>
      <c r="I1031" s="10">
        <f>G1031-1.96*H1031</f>
        <v/>
      </c>
      <c r="J1031" s="10">
        <f>G1031+1.96*H1031</f>
        <v/>
      </c>
      <c r="K1031" s="10">
        <f>G1031-F1031</f>
        <v/>
      </c>
      <c r="L1031" s="4">
        <f>IF(AND(F1031&gt;=I1031,F1031&lt;=J1031),1,0)</f>
        <v/>
      </c>
    </row>
    <row r="1032">
      <c r="A1032" s="4" t="inlineStr">
        <is>
          <t>compression_set_pct</t>
        </is>
      </c>
      <c r="B1032" s="4" t="inlineStr">
        <is>
          <t>G158</t>
        </is>
      </c>
      <c r="C1032" s="4" t="inlineStr">
        <is>
          <t>US6956085B2</t>
        </is>
      </c>
      <c r="D1032" s="4" t="inlineStr">
        <is>
          <t>Example 1</t>
        </is>
      </c>
      <c r="E1032" s="4" t="inlineStr">
        <is>
          <t>dev(OOF)</t>
        </is>
      </c>
      <c r="F1032" s="10" t="n">
        <v>47</v>
      </c>
      <c r="G1032" s="10" t="n">
        <v>37.09374645555274</v>
      </c>
      <c r="H1032" s="10" t="n">
        <v>17.91467311888791</v>
      </c>
      <c r="I1032" s="10">
        <f>G1032-1.96*H1032</f>
        <v/>
      </c>
      <c r="J1032" s="10">
        <f>G1032+1.96*H1032</f>
        <v/>
      </c>
      <c r="K1032" s="10">
        <f>G1032-F1032</f>
        <v/>
      </c>
      <c r="L1032" s="4">
        <f>IF(AND(F1032&gt;=I1032,F1032&lt;=J1032),1,0)</f>
        <v/>
      </c>
    </row>
    <row r="1033">
      <c r="A1033" s="4" t="inlineStr">
        <is>
          <t>compression_set_pct</t>
        </is>
      </c>
      <c r="B1033" s="4" t="inlineStr">
        <is>
          <t>G093</t>
        </is>
      </c>
      <c r="C1033" s="4" t="inlineStr">
        <is>
          <t>US8367776B2</t>
        </is>
      </c>
      <c r="D1033" s="4" t="inlineStr">
        <is>
          <t>Example 11</t>
        </is>
      </c>
      <c r="E1033" s="4" t="inlineStr">
        <is>
          <t>dev(OOF)</t>
        </is>
      </c>
      <c r="F1033" s="10" t="n">
        <v>18.5</v>
      </c>
      <c r="G1033" s="10" t="n">
        <v>21.27758090660544</v>
      </c>
      <c r="H1033" s="10" t="n">
        <v>5.030140644250038</v>
      </c>
      <c r="I1033" s="10">
        <f>G1033-1.96*H1033</f>
        <v/>
      </c>
      <c r="J1033" s="10">
        <f>G1033+1.96*H1033</f>
        <v/>
      </c>
      <c r="K1033" s="10">
        <f>G1033-F1033</f>
        <v/>
      </c>
      <c r="L1033" s="4">
        <f>IF(AND(F1033&gt;=I1033,F1033&lt;=J1033),1,0)</f>
        <v/>
      </c>
    </row>
    <row r="1034">
      <c r="A1034" s="4" t="inlineStr">
        <is>
          <t>compression_set_pct</t>
        </is>
      </c>
      <c r="B1034" s="4" t="inlineStr">
        <is>
          <t>G206</t>
        </is>
      </c>
      <c r="C1034" s="4" t="inlineStr">
        <is>
          <t>US11118045B2</t>
        </is>
      </c>
      <c r="D1034" s="4" t="inlineStr">
        <is>
          <t>Example 3</t>
        </is>
      </c>
      <c r="E1034" s="4" t="inlineStr">
        <is>
          <t>dev(OOF)</t>
        </is>
      </c>
      <c r="F1034" s="10" t="n">
        <v>23</v>
      </c>
      <c r="G1034" s="10" t="n">
        <v>23.05975471933958</v>
      </c>
      <c r="H1034" s="10" t="n">
        <v>5.099964136870494</v>
      </c>
      <c r="I1034" s="10">
        <f>G1034-1.96*H1034</f>
        <v/>
      </c>
      <c r="J1034" s="10">
        <f>G1034+1.96*H1034</f>
        <v/>
      </c>
      <c r="K1034" s="10">
        <f>G1034-F1034</f>
        <v/>
      </c>
      <c r="L1034" s="4">
        <f>IF(AND(F1034&gt;=I1034,F1034&lt;=J1034),1,0)</f>
        <v/>
      </c>
    </row>
    <row r="1035">
      <c r="A1035" s="4" t="inlineStr">
        <is>
          <t>compression_set_pct</t>
        </is>
      </c>
      <c r="B1035" s="4" t="inlineStr">
        <is>
          <t>G115</t>
        </is>
      </c>
      <c r="C1035" s="4" t="inlineStr">
        <is>
          <t>US6992143B2</t>
        </is>
      </c>
      <c r="D1035" s="4" t="inlineStr">
        <is>
          <t>Comparative Example B</t>
        </is>
      </c>
      <c r="E1035" s="4" t="inlineStr">
        <is>
          <t>dev(OOF)</t>
        </is>
      </c>
      <c r="F1035" s="10" t="n">
        <v>38</v>
      </c>
      <c r="G1035" s="10" t="n">
        <v>40.92768304599168</v>
      </c>
      <c r="H1035" s="10" t="n">
        <v>19.61920354403604</v>
      </c>
      <c r="I1035" s="10">
        <f>G1035-1.96*H1035</f>
        <v/>
      </c>
      <c r="J1035" s="10">
        <f>G1035+1.96*H1035</f>
        <v/>
      </c>
      <c r="K1035" s="10">
        <f>G1035-F1035</f>
        <v/>
      </c>
      <c r="L1035" s="4">
        <f>IF(AND(F1035&gt;=I1035,F1035&lt;=J1035),1,0)</f>
        <v/>
      </c>
    </row>
    <row r="1036">
      <c r="A1036" s="4" t="inlineStr">
        <is>
          <t>compression_set_pct</t>
        </is>
      </c>
      <c r="B1036" s="4" t="inlineStr">
        <is>
          <t>G005</t>
        </is>
      </c>
      <c r="C1036" s="4" t="inlineStr">
        <is>
          <t>US7678858B2</t>
        </is>
      </c>
      <c r="D1036" s="4" t="inlineStr">
        <is>
          <t>Example 5</t>
        </is>
      </c>
      <c r="E1036" s="4" t="inlineStr">
        <is>
          <t>dev(OOF)</t>
        </is>
      </c>
      <c r="F1036" s="10" t="n">
        <v>23</v>
      </c>
      <c r="G1036" s="10" t="n">
        <v>23.20560839873646</v>
      </c>
      <c r="H1036" s="10" t="n">
        <v>5.01506195749131</v>
      </c>
      <c r="I1036" s="10">
        <f>G1036-1.96*H1036</f>
        <v/>
      </c>
      <c r="J1036" s="10">
        <f>G1036+1.96*H1036</f>
        <v/>
      </c>
      <c r="K1036" s="10">
        <f>G1036-F1036</f>
        <v/>
      </c>
      <c r="L1036" s="4">
        <f>IF(AND(F1036&gt;=I1036,F1036&lt;=J1036),1,0)</f>
        <v/>
      </c>
    </row>
    <row r="1037">
      <c r="A1037" s="4" t="inlineStr">
        <is>
          <t>compression_set_pct</t>
        </is>
      </c>
      <c r="B1037" s="4" t="inlineStr">
        <is>
          <t>G232</t>
        </is>
      </c>
      <c r="C1037" s="4" t="inlineStr">
        <is>
          <t>US8349965B2</t>
        </is>
      </c>
      <c r="D1037" s="4" t="inlineStr">
        <is>
          <t>Example 9</t>
        </is>
      </c>
      <c r="E1037" s="4" t="inlineStr">
        <is>
          <t>dev(OOF)</t>
        </is>
      </c>
      <c r="F1037" s="10" t="n">
        <v>35</v>
      </c>
      <c r="G1037" s="10" t="n">
        <v>31.33003244279296</v>
      </c>
      <c r="H1037" s="10" t="n">
        <v>11.22175875711551</v>
      </c>
      <c r="I1037" s="10">
        <f>G1037-1.96*H1037</f>
        <v/>
      </c>
      <c r="J1037" s="10">
        <f>G1037+1.96*H1037</f>
        <v/>
      </c>
      <c r="K1037" s="10">
        <f>G1037-F1037</f>
        <v/>
      </c>
      <c r="L1037" s="4">
        <f>IF(AND(F1037&gt;=I1037,F1037&lt;=J1037),1,0)</f>
        <v/>
      </c>
    </row>
    <row r="1038">
      <c r="A1038" s="4" t="inlineStr">
        <is>
          <t>compression_set_pct</t>
        </is>
      </c>
      <c r="B1038" s="4" t="inlineStr">
        <is>
          <t>G046</t>
        </is>
      </c>
      <c r="C1038" s="4" t="inlineStr">
        <is>
          <t>US8211964B2</t>
        </is>
      </c>
      <c r="D1038" s="4" t="inlineStr">
        <is>
          <t>Example 5</t>
        </is>
      </c>
      <c r="E1038" s="4" t="inlineStr">
        <is>
          <t>dev(OOF)</t>
        </is>
      </c>
      <c r="F1038" s="10" t="n">
        <v>48</v>
      </c>
      <c r="G1038" s="10" t="n">
        <v>39.71564806863503</v>
      </c>
      <c r="H1038" s="10" t="n">
        <v>9.999946281159527</v>
      </c>
      <c r="I1038" s="10">
        <f>G1038-1.96*H1038</f>
        <v/>
      </c>
      <c r="J1038" s="10">
        <f>G1038+1.96*H1038</f>
        <v/>
      </c>
      <c r="K1038" s="10">
        <f>G1038-F1038</f>
        <v/>
      </c>
      <c r="L1038" s="4">
        <f>IF(AND(F1038&gt;=I1038,F1038&lt;=J1038),1,0)</f>
        <v/>
      </c>
    </row>
    <row r="1039">
      <c r="A1039" s="4" t="inlineStr">
        <is>
          <t>compression_set_pct</t>
        </is>
      </c>
      <c r="B1039" s="4" t="inlineStr">
        <is>
          <t>G009</t>
        </is>
      </c>
      <c r="C1039" s="4" t="inlineStr">
        <is>
          <t>US7678858B2</t>
        </is>
      </c>
      <c r="D1039" s="4" t="inlineStr">
        <is>
          <t>Example 9</t>
        </is>
      </c>
      <c r="E1039" s="4" t="inlineStr">
        <is>
          <t>dev(OOF)</t>
        </is>
      </c>
      <c r="F1039" s="10" t="n">
        <v>28</v>
      </c>
      <c r="G1039" s="10" t="n">
        <v>25.51926015218287</v>
      </c>
      <c r="H1039" s="10" t="n">
        <v>4.941035143062019</v>
      </c>
      <c r="I1039" s="10">
        <f>G1039-1.96*H1039</f>
        <v/>
      </c>
      <c r="J1039" s="10">
        <f>G1039+1.96*H1039</f>
        <v/>
      </c>
      <c r="K1039" s="10">
        <f>G1039-F1039</f>
        <v/>
      </c>
      <c r="L1039" s="4">
        <f>IF(AND(F1039&gt;=I1039,F1039&lt;=J1039),1,0)</f>
        <v/>
      </c>
    </row>
    <row r="1040">
      <c r="A1040" s="4" t="inlineStr">
        <is>
          <t>compression_set_pct</t>
        </is>
      </c>
      <c r="B1040" s="4" t="inlineStr">
        <is>
          <t>G171</t>
        </is>
      </c>
      <c r="C1040" s="4" t="inlineStr">
        <is>
          <t>US20050107544A1</t>
        </is>
      </c>
      <c r="D1040" s="4" t="inlineStr">
        <is>
          <t>Sample 6</t>
        </is>
      </c>
      <c r="E1040" s="4" t="inlineStr">
        <is>
          <t>dev(OOF)</t>
        </is>
      </c>
      <c r="F1040" s="10" t="n">
        <v>28</v>
      </c>
      <c r="G1040" s="10" t="n">
        <v>30.861288541542</v>
      </c>
      <c r="H1040" s="10" t="n">
        <v>8.613920573847057</v>
      </c>
      <c r="I1040" s="10">
        <f>G1040-1.96*H1040</f>
        <v/>
      </c>
      <c r="J1040" s="10">
        <f>G1040+1.96*H1040</f>
        <v/>
      </c>
      <c r="K1040" s="10">
        <f>G1040-F1040</f>
        <v/>
      </c>
      <c r="L1040" s="4">
        <f>IF(AND(F1040&gt;=I1040,F1040&lt;=J1040),1,0)</f>
        <v/>
      </c>
    </row>
    <row r="1041">
      <c r="A1041" s="4" t="inlineStr">
        <is>
          <t>compression_set_pct</t>
        </is>
      </c>
      <c r="B1041" s="4" t="inlineStr">
        <is>
          <t>G144</t>
        </is>
      </c>
      <c r="C1041" s="4" t="inlineStr">
        <is>
          <t>US7247749B2</t>
        </is>
      </c>
      <c r="D1041" s="4" t="inlineStr">
        <is>
          <t>Comparative Sample 20</t>
        </is>
      </c>
      <c r="E1041" s="4" t="inlineStr">
        <is>
          <t>dev(OOF)</t>
        </is>
      </c>
      <c r="F1041" s="10" t="n">
        <v>21</v>
      </c>
      <c r="G1041" s="10" t="n">
        <v>20.25998923591112</v>
      </c>
      <c r="H1041" s="10" t="n">
        <v>5.025607539929482</v>
      </c>
      <c r="I1041" s="10">
        <f>G1041-1.96*H1041</f>
        <v/>
      </c>
      <c r="J1041" s="10">
        <f>G1041+1.96*H1041</f>
        <v/>
      </c>
      <c r="K1041" s="10">
        <f>G1041-F1041</f>
        <v/>
      </c>
      <c r="L1041" s="4">
        <f>IF(AND(F1041&gt;=I1041,F1041&lt;=J1041),1,0)</f>
        <v/>
      </c>
    </row>
    <row r="1042">
      <c r="A1042" s="4" t="inlineStr">
        <is>
          <t>compression_set_pct</t>
        </is>
      </c>
      <c r="B1042" s="4" t="inlineStr">
        <is>
          <t>G010</t>
        </is>
      </c>
      <c r="C1042" s="4" t="inlineStr">
        <is>
          <t>US7678858B2</t>
        </is>
      </c>
      <c r="D1042" s="4" t="inlineStr">
        <is>
          <t>Comparative Example 1</t>
        </is>
      </c>
      <c r="E1042" s="4" t="inlineStr">
        <is>
          <t>dev(OOF)</t>
        </is>
      </c>
      <c r="F1042" s="10" t="n">
        <v>21</v>
      </c>
      <c r="G1042" s="10" t="n">
        <v>16.65564644168753</v>
      </c>
      <c r="H1042" s="10" t="n">
        <v>3.841228377070873</v>
      </c>
      <c r="I1042" s="10">
        <f>G1042-1.96*H1042</f>
        <v/>
      </c>
      <c r="J1042" s="10">
        <f>G1042+1.96*H1042</f>
        <v/>
      </c>
      <c r="K1042" s="10">
        <f>G1042-F1042</f>
        <v/>
      </c>
      <c r="L1042" s="4">
        <f>IF(AND(F1042&gt;=I1042,F1042&lt;=J1042),1,0)</f>
        <v/>
      </c>
    </row>
    <row r="1043">
      <c r="A1043" s="4" t="inlineStr">
        <is>
          <t>compression_set_pct</t>
        </is>
      </c>
      <c r="B1043" s="4" t="inlineStr">
        <is>
          <t>G233</t>
        </is>
      </c>
      <c r="C1043" s="4" t="inlineStr">
        <is>
          <t>US8349965B2</t>
        </is>
      </c>
      <c r="D1043" s="4" t="inlineStr">
        <is>
          <t>Example 10</t>
        </is>
      </c>
      <c r="E1043" s="4" t="inlineStr">
        <is>
          <t>dev(OOF)</t>
        </is>
      </c>
      <c r="F1043" s="10" t="n">
        <v>30</v>
      </c>
      <c r="G1043" s="10" t="n">
        <v>31.01552279039993</v>
      </c>
      <c r="H1043" s="10" t="n">
        <v>6.407271516829802</v>
      </c>
      <c r="I1043" s="10">
        <f>G1043-1.96*H1043</f>
        <v/>
      </c>
      <c r="J1043" s="10">
        <f>G1043+1.96*H1043</f>
        <v/>
      </c>
      <c r="K1043" s="10">
        <f>G1043-F1043</f>
        <v/>
      </c>
      <c r="L1043" s="4">
        <f>IF(AND(F1043&gt;=I1043,F1043&lt;=J1043),1,0)</f>
        <v/>
      </c>
    </row>
    <row r="1044">
      <c r="A1044" s="4" t="inlineStr">
        <is>
          <t>compression_set_pct</t>
        </is>
      </c>
      <c r="B1044" s="4" t="inlineStr">
        <is>
          <t>G203</t>
        </is>
      </c>
      <c r="C1044" s="4" t="inlineStr">
        <is>
          <t>US20160319102A1</t>
        </is>
      </c>
      <c r="D1044" s="4" t="inlineStr">
        <is>
          <t>Comparative Example 9</t>
        </is>
      </c>
      <c r="E1044" s="4" t="inlineStr">
        <is>
          <t>dev(OOF)</t>
        </is>
      </c>
      <c r="F1044" s="10" t="n">
        <v>33</v>
      </c>
      <c r="G1044" s="10" t="n">
        <v>28.28716572057904</v>
      </c>
      <c r="H1044" s="10" t="n">
        <v>6.976170482360833</v>
      </c>
      <c r="I1044" s="10">
        <f>G1044-1.96*H1044</f>
        <v/>
      </c>
      <c r="J1044" s="10">
        <f>G1044+1.96*H1044</f>
        <v/>
      </c>
      <c r="K1044" s="10">
        <f>G1044-F1044</f>
        <v/>
      </c>
      <c r="L1044" s="4">
        <f>IF(AND(F1044&gt;=I1044,F1044&lt;=J1044),1,0)</f>
        <v/>
      </c>
    </row>
    <row r="1045">
      <c r="A1045" s="4" t="inlineStr">
        <is>
          <t>compression_set_pct</t>
        </is>
      </c>
      <c r="B1045" s="4" t="inlineStr">
        <is>
          <t>G004</t>
        </is>
      </c>
      <c r="C1045" s="4" t="inlineStr">
        <is>
          <t>US7678858B2</t>
        </is>
      </c>
      <c r="D1045" s="4" t="inlineStr">
        <is>
          <t>Example 4</t>
        </is>
      </c>
      <c r="E1045" s="4" t="inlineStr">
        <is>
          <t>dev(OOF)</t>
        </is>
      </c>
      <c r="F1045" s="10" t="n">
        <v>21</v>
      </c>
      <c r="G1045" s="10" t="n">
        <v>26.12602537367069</v>
      </c>
      <c r="H1045" s="10" t="n">
        <v>5.503879352244915</v>
      </c>
      <c r="I1045" s="10">
        <f>G1045-1.96*H1045</f>
        <v/>
      </c>
      <c r="J1045" s="10">
        <f>G1045+1.96*H1045</f>
        <v/>
      </c>
      <c r="K1045" s="10">
        <f>G1045-F1045</f>
        <v/>
      </c>
      <c r="L1045" s="4">
        <f>IF(AND(F1045&gt;=I1045,F1045&lt;=J1045),1,0)</f>
        <v/>
      </c>
    </row>
    <row r="1046">
      <c r="A1046" s="4" t="inlineStr">
        <is>
          <t>compression_set_pct</t>
        </is>
      </c>
      <c r="B1046" s="4" t="inlineStr">
        <is>
          <t>G049</t>
        </is>
      </c>
      <c r="C1046" s="4" t="inlineStr">
        <is>
          <t>US8211964B2</t>
        </is>
      </c>
      <c r="D1046" s="4" t="inlineStr">
        <is>
          <t>Example 7</t>
        </is>
      </c>
      <c r="E1046" s="4" t="inlineStr">
        <is>
          <t>dev(OOF)</t>
        </is>
      </c>
      <c r="F1046" s="10" t="n">
        <v>53</v>
      </c>
      <c r="G1046" s="10" t="n">
        <v>61.05718849550601</v>
      </c>
      <c r="H1046" s="10" t="n">
        <v>17.61025900840635</v>
      </c>
      <c r="I1046" s="10">
        <f>G1046-1.96*H1046</f>
        <v/>
      </c>
      <c r="J1046" s="10">
        <f>G1046+1.96*H1046</f>
        <v/>
      </c>
      <c r="K1046" s="10">
        <f>G1046-F1046</f>
        <v/>
      </c>
      <c r="L1046" s="4">
        <f>IF(AND(F1046&gt;=I1046,F1046&lt;=J1046),1,0)</f>
        <v/>
      </c>
    </row>
    <row r="1047">
      <c r="A1047" s="4" t="inlineStr">
        <is>
          <t>compression_set_pct</t>
        </is>
      </c>
      <c r="B1047" s="4" t="inlineStr">
        <is>
          <t>G132</t>
        </is>
      </c>
      <c r="C1047" s="4" t="inlineStr">
        <is>
          <t>US7247749B2</t>
        </is>
      </c>
      <c r="D1047" s="4" t="inlineStr">
        <is>
          <t>Sample 8</t>
        </is>
      </c>
      <c r="E1047" s="4" t="inlineStr">
        <is>
          <t>dev(OOF)</t>
        </is>
      </c>
      <c r="F1047" s="10" t="n">
        <v>11</v>
      </c>
      <c r="G1047" s="10" t="n">
        <v>21.68435985014801</v>
      </c>
      <c r="H1047" s="10" t="n">
        <v>10.23716171429076</v>
      </c>
      <c r="I1047" s="10">
        <f>G1047-1.96*H1047</f>
        <v/>
      </c>
      <c r="J1047" s="10">
        <f>G1047+1.96*H1047</f>
        <v/>
      </c>
      <c r="K1047" s="10">
        <f>G1047-F1047</f>
        <v/>
      </c>
      <c r="L1047" s="4">
        <f>IF(AND(F1047&gt;=I1047,F1047&lt;=J1047),1,0)</f>
        <v/>
      </c>
    </row>
    <row r="1048">
      <c r="A1048" s="4" t="inlineStr">
        <is>
          <t>compression_set_pct</t>
        </is>
      </c>
      <c r="B1048" s="4" t="inlineStr">
        <is>
          <t>G187</t>
        </is>
      </c>
      <c r="C1048" s="4" t="inlineStr">
        <is>
          <t>US20090093590A1</t>
        </is>
      </c>
      <c r="D1048" s="4" t="inlineStr">
        <is>
          <t>Comparative Example 5</t>
        </is>
      </c>
      <c r="E1048" s="4" t="inlineStr">
        <is>
          <t>dev(OOF)</t>
        </is>
      </c>
      <c r="F1048" s="10" t="n">
        <v>28</v>
      </c>
      <c r="G1048" s="10" t="n">
        <v>26.37305548069615</v>
      </c>
      <c r="H1048" s="10" t="n">
        <v>12.6448549373648</v>
      </c>
      <c r="I1048" s="10">
        <f>G1048-1.96*H1048</f>
        <v/>
      </c>
      <c r="J1048" s="10">
        <f>G1048+1.96*H1048</f>
        <v/>
      </c>
      <c r="K1048" s="10">
        <f>G1048-F1048</f>
        <v/>
      </c>
      <c r="L1048" s="4">
        <f>IF(AND(F1048&gt;=I1048,F1048&lt;=J1048),1,0)</f>
        <v/>
      </c>
    </row>
    <row r="1049">
      <c r="A1049" s="4" t="inlineStr">
        <is>
          <t>compression_set_pct</t>
        </is>
      </c>
      <c r="B1049" s="4" t="inlineStr">
        <is>
          <t>G293</t>
        </is>
      </c>
      <c r="C1049" s="4" t="inlineStr">
        <is>
          <t>EP4249550A1</t>
        </is>
      </c>
      <c r="D1049" s="4" t="inlineStr">
        <is>
          <t>Example 4</t>
        </is>
      </c>
      <c r="E1049" s="4" t="inlineStr">
        <is>
          <t>dev(OOF)</t>
        </is>
      </c>
      <c r="F1049" s="10" t="n">
        <v>25</v>
      </c>
      <c r="G1049" s="10" t="n">
        <v>31.24397142253737</v>
      </c>
      <c r="H1049" s="10" t="n">
        <v>6.646833339755051</v>
      </c>
      <c r="I1049" s="10">
        <f>G1049-1.96*H1049</f>
        <v/>
      </c>
      <c r="J1049" s="10">
        <f>G1049+1.96*H1049</f>
        <v/>
      </c>
      <c r="K1049" s="10">
        <f>G1049-F1049</f>
        <v/>
      </c>
      <c r="L1049" s="4">
        <f>IF(AND(F1049&gt;=I1049,F1049&lt;=J1049),1,0)</f>
        <v/>
      </c>
    </row>
    <row r="1050">
      <c r="A1050" s="4" t="inlineStr">
        <is>
          <t>compression_set_pct</t>
        </is>
      </c>
      <c r="B1050" s="4" t="inlineStr">
        <is>
          <t>G110</t>
        </is>
      </c>
      <c r="C1050" s="4" t="inlineStr">
        <is>
          <t>US6992143B2</t>
        </is>
      </c>
      <c r="D1050" s="4" t="inlineStr">
        <is>
          <t>Example 1</t>
        </is>
      </c>
      <c r="E1050" s="4" t="inlineStr">
        <is>
          <t>dev(OOF)</t>
        </is>
      </c>
      <c r="F1050" s="10" t="n">
        <v>29</v>
      </c>
      <c r="G1050" s="10" t="n">
        <v>48.32963414778048</v>
      </c>
      <c r="H1050" s="10" t="n">
        <v>12.90347966448746</v>
      </c>
      <c r="I1050" s="10">
        <f>G1050-1.96*H1050</f>
        <v/>
      </c>
      <c r="J1050" s="10">
        <f>G1050+1.96*H1050</f>
        <v/>
      </c>
      <c r="K1050" s="10">
        <f>G1050-F1050</f>
        <v/>
      </c>
      <c r="L1050" s="4">
        <f>IF(AND(F1050&gt;=I1050,F1050&lt;=J1050),1,0)</f>
        <v/>
      </c>
    </row>
    <row r="1051">
      <c r="A1051" s="4" t="inlineStr">
        <is>
          <t>compression_set_pct</t>
        </is>
      </c>
      <c r="B1051" s="4" t="inlineStr">
        <is>
          <t>G066</t>
        </is>
      </c>
      <c r="C1051" s="4" t="inlineStr">
        <is>
          <t>US11753523B2</t>
        </is>
      </c>
      <c r="D1051" s="4" t="inlineStr">
        <is>
          <t>Comparative Example 9</t>
        </is>
      </c>
      <c r="E1051" s="4" t="inlineStr">
        <is>
          <t>dev(OOF)</t>
        </is>
      </c>
      <c r="F1051" s="10" t="n">
        <v>33</v>
      </c>
      <c r="G1051" s="10" t="n">
        <v>28.26073220527399</v>
      </c>
      <c r="H1051" s="10" t="n">
        <v>13.12303174091809</v>
      </c>
      <c r="I1051" s="10">
        <f>G1051-1.96*H1051</f>
        <v/>
      </c>
      <c r="J1051" s="10">
        <f>G1051+1.96*H1051</f>
        <v/>
      </c>
      <c r="K1051" s="10">
        <f>G1051-F1051</f>
        <v/>
      </c>
      <c r="L1051" s="4">
        <f>IF(AND(F1051&gt;=I1051,F1051&lt;=J1051),1,0)</f>
        <v/>
      </c>
    </row>
    <row r="1052">
      <c r="A1052" s="4" t="inlineStr">
        <is>
          <t>compression_set_pct</t>
        </is>
      </c>
      <c r="B1052" s="4" t="inlineStr">
        <is>
          <t>G119</t>
        </is>
      </c>
      <c r="C1052" s="4" t="inlineStr">
        <is>
          <t>US5696189A</t>
        </is>
      </c>
      <c r="D1052" s="4" t="inlineStr">
        <is>
          <t>Example 2</t>
        </is>
      </c>
      <c r="E1052" s="4" t="inlineStr">
        <is>
          <t>dev(OOF)</t>
        </is>
      </c>
      <c r="F1052" s="10" t="n">
        <v>20</v>
      </c>
      <c r="G1052" s="10" t="n">
        <v>26.28695882480652</v>
      </c>
      <c r="H1052" s="10" t="n">
        <v>12.68543365389674</v>
      </c>
      <c r="I1052" s="10">
        <f>G1052-1.96*H1052</f>
        <v/>
      </c>
      <c r="J1052" s="10">
        <f>G1052+1.96*H1052</f>
        <v/>
      </c>
      <c r="K1052" s="10">
        <f>G1052-F1052</f>
        <v/>
      </c>
      <c r="L1052" s="4">
        <f>IF(AND(F1052&gt;=I1052,F1052&lt;=J1052),1,0)</f>
        <v/>
      </c>
    </row>
    <row r="1053">
      <c r="A1053" s="4" t="inlineStr">
        <is>
          <t>compression_set_pct</t>
        </is>
      </c>
      <c r="B1053" s="4" t="inlineStr">
        <is>
          <t>G018</t>
        </is>
      </c>
      <c r="C1053" s="4" t="inlineStr">
        <is>
          <t>US7678858B2</t>
        </is>
      </c>
      <c r="D1053" s="4" t="inlineStr">
        <is>
          <t>Example 17</t>
        </is>
      </c>
      <c r="E1053" s="4" t="inlineStr">
        <is>
          <t>dev(OOF)</t>
        </is>
      </c>
      <c r="F1053" s="10" t="n">
        <v>26</v>
      </c>
      <c r="G1053" s="10" t="n">
        <v>21.58754726567746</v>
      </c>
      <c r="H1053" s="10" t="n">
        <v>4.754336348715421</v>
      </c>
      <c r="I1053" s="10">
        <f>G1053-1.96*H1053</f>
        <v/>
      </c>
      <c r="J1053" s="10">
        <f>G1053+1.96*H1053</f>
        <v/>
      </c>
      <c r="K1053" s="10">
        <f>G1053-F1053</f>
        <v/>
      </c>
      <c r="L1053" s="4">
        <f>IF(AND(F1053&gt;=I1053,F1053&lt;=J1053),1,0)</f>
        <v/>
      </c>
    </row>
    <row r="1054">
      <c r="A1054" s="4" t="inlineStr">
        <is>
          <t>compression_set_pct</t>
        </is>
      </c>
      <c r="B1054" s="4" t="inlineStr">
        <is>
          <t>G153</t>
        </is>
      </c>
      <c r="C1054" s="4" t="inlineStr">
        <is>
          <t>US7247749B2</t>
        </is>
      </c>
      <c r="D1054" s="4" t="inlineStr">
        <is>
          <t>Sample 33</t>
        </is>
      </c>
      <c r="E1054" s="4" t="inlineStr">
        <is>
          <t>dev(OOF)</t>
        </is>
      </c>
      <c r="F1054" s="10" t="n">
        <v>8.57</v>
      </c>
      <c r="G1054" s="10" t="n">
        <v>12.82174193227909</v>
      </c>
      <c r="H1054" s="10" t="n">
        <v>4.546090983913008</v>
      </c>
      <c r="I1054" s="10">
        <f>G1054-1.96*H1054</f>
        <v/>
      </c>
      <c r="J1054" s="10">
        <f>G1054+1.96*H1054</f>
        <v/>
      </c>
      <c r="K1054" s="10">
        <f>G1054-F1054</f>
        <v/>
      </c>
      <c r="L1054" s="4">
        <f>IF(AND(F1054&gt;=I1054,F1054&lt;=J1054),1,0)</f>
        <v/>
      </c>
    </row>
    <row r="1055">
      <c r="A1055" s="4" t="inlineStr">
        <is>
          <t>compression_set_pct</t>
        </is>
      </c>
      <c r="B1055" s="4" t="inlineStr">
        <is>
          <t>G196</t>
        </is>
      </c>
      <c r="C1055" s="4" t="inlineStr">
        <is>
          <t>US20160319102A1</t>
        </is>
      </c>
      <c r="D1055" s="4" t="inlineStr">
        <is>
          <t>Comparative Example 1</t>
        </is>
      </c>
      <c r="E1055" s="4" t="inlineStr">
        <is>
          <t>dev(OOF)</t>
        </is>
      </c>
      <c r="F1055" s="10" t="n">
        <v>11</v>
      </c>
      <c r="G1055" s="10" t="n">
        <v>19.49345400441597</v>
      </c>
      <c r="H1055" s="10" t="n">
        <v>7.841749460370107</v>
      </c>
      <c r="I1055" s="10">
        <f>G1055-1.96*H1055</f>
        <v/>
      </c>
      <c r="J1055" s="10">
        <f>G1055+1.96*H1055</f>
        <v/>
      </c>
      <c r="K1055" s="10">
        <f>G1055-F1055</f>
        <v/>
      </c>
      <c r="L1055" s="4">
        <f>IF(AND(F1055&gt;=I1055,F1055&lt;=J1055),1,0)</f>
        <v/>
      </c>
    </row>
    <row r="1056">
      <c r="A1056" s="4" t="inlineStr">
        <is>
          <t>compression_set_pct</t>
        </is>
      </c>
      <c r="B1056" s="4" t="inlineStr">
        <is>
          <t>G272</t>
        </is>
      </c>
      <c r="C1056" s="4" t="inlineStr">
        <is>
          <t>US20230174763A1</t>
        </is>
      </c>
      <c r="D1056" s="4" t="inlineStr">
        <is>
          <t>Comparative Example 11</t>
        </is>
      </c>
      <c r="E1056" s="4" t="inlineStr">
        <is>
          <t>dev(OOF)</t>
        </is>
      </c>
      <c r="F1056" s="10" t="n">
        <v>37</v>
      </c>
      <c r="G1056" s="10" t="n">
        <v>29.16925666115306</v>
      </c>
      <c r="H1056" s="10" t="n">
        <v>11.80837238110157</v>
      </c>
      <c r="I1056" s="10">
        <f>G1056-1.96*H1056</f>
        <v/>
      </c>
      <c r="J1056" s="10">
        <f>G1056+1.96*H1056</f>
        <v/>
      </c>
      <c r="K1056" s="10">
        <f>G1056-F1056</f>
        <v/>
      </c>
      <c r="L1056" s="4">
        <f>IF(AND(F1056&gt;=I1056,F1056&lt;=J1056),1,0)</f>
        <v/>
      </c>
    </row>
    <row r="1057">
      <c r="A1057" s="4" t="inlineStr">
        <is>
          <t>compression_set_pct</t>
        </is>
      </c>
      <c r="B1057" s="4" t="inlineStr">
        <is>
          <t>G147</t>
        </is>
      </c>
      <c r="C1057" s="4" t="inlineStr">
        <is>
          <t>US7247749B2</t>
        </is>
      </c>
      <c r="D1057" s="4" t="inlineStr">
        <is>
          <t>Sample 23</t>
        </is>
      </c>
      <c r="E1057" s="4" t="inlineStr">
        <is>
          <t>dev(OOF)</t>
        </is>
      </c>
      <c r="F1057" s="10" t="n">
        <v>31</v>
      </c>
      <c r="G1057" s="10" t="n">
        <v>17.99769632732548</v>
      </c>
      <c r="H1057" s="10" t="n">
        <v>3.875224534144416</v>
      </c>
      <c r="I1057" s="10">
        <f>G1057-1.96*H1057</f>
        <v/>
      </c>
      <c r="J1057" s="10">
        <f>G1057+1.96*H1057</f>
        <v/>
      </c>
      <c r="K1057" s="10">
        <f>G1057-F1057</f>
        <v/>
      </c>
      <c r="L1057" s="4">
        <f>IF(AND(F1057&gt;=I1057,F1057&lt;=J1057),1,0)</f>
        <v/>
      </c>
    </row>
    <row r="1058">
      <c r="A1058" s="4" t="inlineStr">
        <is>
          <t>compression_set_pct</t>
        </is>
      </c>
      <c r="B1058" s="4" t="inlineStr">
        <is>
          <t>G178</t>
        </is>
      </c>
      <c r="C1058" s="4" t="inlineStr">
        <is>
          <t>US6281296B1</t>
        </is>
      </c>
      <c r="D1058" s="4" t="inlineStr">
        <is>
          <t>Example 2</t>
        </is>
      </c>
      <c r="E1058" s="4" t="inlineStr">
        <is>
          <t>dev(OOF)</t>
        </is>
      </c>
      <c r="F1058" s="10" t="n">
        <v>22</v>
      </c>
      <c r="G1058" s="10" t="n">
        <v>21.84081558657765</v>
      </c>
      <c r="H1058" s="10" t="n">
        <v>5.868191209747668</v>
      </c>
      <c r="I1058" s="10">
        <f>G1058-1.96*H1058</f>
        <v/>
      </c>
      <c r="J1058" s="10">
        <f>G1058+1.96*H1058</f>
        <v/>
      </c>
      <c r="K1058" s="10">
        <f>G1058-F1058</f>
        <v/>
      </c>
      <c r="L1058" s="4">
        <f>IF(AND(F1058&gt;=I1058,F1058&lt;=J1058),1,0)</f>
        <v/>
      </c>
    </row>
    <row r="1059">
      <c r="A1059" s="4" t="inlineStr">
        <is>
          <t>compression_set_pct</t>
        </is>
      </c>
      <c r="B1059" s="4" t="inlineStr">
        <is>
          <t>G179</t>
        </is>
      </c>
      <c r="C1059" s="4" t="inlineStr">
        <is>
          <t>US6281296B1</t>
        </is>
      </c>
      <c r="D1059" s="4" t="inlineStr">
        <is>
          <t>Control A</t>
        </is>
      </c>
      <c r="E1059" s="4" t="inlineStr">
        <is>
          <t>dev(OOF)</t>
        </is>
      </c>
      <c r="F1059" s="10" t="n">
        <v>21</v>
      </c>
      <c r="G1059" s="10" t="n">
        <v>22.75908399997022</v>
      </c>
      <c r="H1059" s="10" t="n">
        <v>6.300789817887736</v>
      </c>
      <c r="I1059" s="10">
        <f>G1059-1.96*H1059</f>
        <v/>
      </c>
      <c r="J1059" s="10">
        <f>G1059+1.96*H1059</f>
        <v/>
      </c>
      <c r="K1059" s="10">
        <f>G1059-F1059</f>
        <v/>
      </c>
      <c r="L1059" s="4">
        <f>IF(AND(F1059&gt;=I1059,F1059&lt;=J1059),1,0)</f>
        <v/>
      </c>
    </row>
    <row r="1060">
      <c r="A1060" s="4" t="inlineStr">
        <is>
          <t>compression_set_pct</t>
        </is>
      </c>
      <c r="B1060" s="4" t="inlineStr">
        <is>
          <t>G186</t>
        </is>
      </c>
      <c r="C1060" s="4" t="inlineStr">
        <is>
          <t>US20040019153A1</t>
        </is>
      </c>
      <c r="D1060" s="4" t="inlineStr">
        <is>
          <t>Example 3</t>
        </is>
      </c>
      <c r="E1060" s="4" t="inlineStr">
        <is>
          <t>dev(OOF)</t>
        </is>
      </c>
      <c r="F1060" s="10" t="n">
        <v>31</v>
      </c>
      <c r="G1060" s="10" t="n">
        <v>26.43260940094133</v>
      </c>
      <c r="H1060" s="10" t="n">
        <v>13.9159240267273</v>
      </c>
      <c r="I1060" s="10">
        <f>G1060-1.96*H1060</f>
        <v/>
      </c>
      <c r="J1060" s="10">
        <f>G1060+1.96*H1060</f>
        <v/>
      </c>
      <c r="K1060" s="10">
        <f>G1060-F1060</f>
        <v/>
      </c>
      <c r="L1060" s="4">
        <f>IF(AND(F1060&gt;=I1060,F1060&lt;=J1060),1,0)</f>
        <v/>
      </c>
    </row>
    <row r="1061">
      <c r="A1061" s="4" t="inlineStr">
        <is>
          <t>compression_set_pct</t>
        </is>
      </c>
      <c r="B1061" s="4" t="inlineStr">
        <is>
          <t>G130</t>
        </is>
      </c>
      <c r="C1061" s="4" t="inlineStr">
        <is>
          <t>US7247749B2</t>
        </is>
      </c>
      <c r="D1061" s="4" t="inlineStr">
        <is>
          <t>Sample 6</t>
        </is>
      </c>
      <c r="E1061" s="4" t="inlineStr">
        <is>
          <t>dev(OOF)</t>
        </is>
      </c>
      <c r="F1061" s="10" t="n">
        <v>9.199999999999999</v>
      </c>
      <c r="G1061" s="10" t="n">
        <v>22.6860331419264</v>
      </c>
      <c r="H1061" s="10" t="n">
        <v>7.388359803618223</v>
      </c>
      <c r="I1061" s="10">
        <f>G1061-1.96*H1061</f>
        <v/>
      </c>
      <c r="J1061" s="10">
        <f>G1061+1.96*H1061</f>
        <v/>
      </c>
      <c r="K1061" s="10">
        <f>G1061-F1061</f>
        <v/>
      </c>
      <c r="L1061" s="4">
        <f>IF(AND(F1061&gt;=I1061,F1061&lt;=J1061),1,0)</f>
        <v/>
      </c>
    </row>
    <row r="1062">
      <c r="A1062" s="4" t="inlineStr">
        <is>
          <t>compression_set_pct</t>
        </is>
      </c>
      <c r="B1062" s="4" t="inlineStr">
        <is>
          <t>G086</t>
        </is>
      </c>
      <c r="C1062" s="4" t="inlineStr">
        <is>
          <t>US8367776B2</t>
        </is>
      </c>
      <c r="D1062" s="4" t="inlineStr">
        <is>
          <t>Example 4</t>
        </is>
      </c>
      <c r="E1062" s="4" t="inlineStr">
        <is>
          <t>dev(OOF)</t>
        </is>
      </c>
      <c r="F1062" s="10" t="n">
        <v>21.2</v>
      </c>
      <c r="G1062" s="10" t="n">
        <v>19.8905476895164</v>
      </c>
      <c r="H1062" s="10" t="n">
        <v>4.823667349024992</v>
      </c>
      <c r="I1062" s="10">
        <f>G1062-1.96*H1062</f>
        <v/>
      </c>
      <c r="J1062" s="10">
        <f>G1062+1.96*H1062</f>
        <v/>
      </c>
      <c r="K1062" s="10">
        <f>G1062-F1062</f>
        <v/>
      </c>
      <c r="L1062" s="4">
        <f>IF(AND(F1062&gt;=I1062,F1062&lt;=J1062),1,0)</f>
        <v/>
      </c>
    </row>
    <row r="1063">
      <c r="A1063" s="4" t="inlineStr">
        <is>
          <t>compression_set_pct</t>
        </is>
      </c>
      <c r="B1063" s="4" t="inlineStr">
        <is>
          <t>G326</t>
        </is>
      </c>
      <c r="C1063" s="4" t="inlineStr">
        <is>
          <t>KR101467101B1</t>
        </is>
      </c>
      <c r="D1063" s="4" t="inlineStr">
        <is>
          <t>Example 1 (Table 2 sample 4)</t>
        </is>
      </c>
      <c r="E1063" s="4" t="inlineStr">
        <is>
          <t>dev(OOF)</t>
        </is>
      </c>
      <c r="F1063" s="10" t="n">
        <v>22.7</v>
      </c>
      <c r="G1063" s="10" t="n">
        <v>23.71600481567886</v>
      </c>
      <c r="H1063" s="10" t="n">
        <v>9.104838060583257</v>
      </c>
      <c r="I1063" s="10">
        <f>G1063-1.96*H1063</f>
        <v/>
      </c>
      <c r="J1063" s="10">
        <f>G1063+1.96*H1063</f>
        <v/>
      </c>
      <c r="K1063" s="10">
        <f>G1063-F1063</f>
        <v/>
      </c>
      <c r="L1063" s="4">
        <f>IF(AND(F1063&gt;=I1063,F1063&lt;=J1063),1,0)</f>
        <v/>
      </c>
    </row>
    <row r="1064">
      <c r="A1064" s="4" t="inlineStr">
        <is>
          <t>compression_set_pct</t>
        </is>
      </c>
      <c r="B1064" s="4" t="inlineStr">
        <is>
          <t>G224</t>
        </is>
      </c>
      <c r="C1064" s="4" t="inlineStr">
        <is>
          <t>US8349965B2</t>
        </is>
      </c>
      <c r="D1064" s="4" t="inlineStr">
        <is>
          <t>Example 1</t>
        </is>
      </c>
      <c r="E1064" s="4" t="inlineStr">
        <is>
          <t>dev(OOF)</t>
        </is>
      </c>
      <c r="F1064" s="10" t="n">
        <v>24</v>
      </c>
      <c r="G1064" s="10" t="n">
        <v>30.754056319057</v>
      </c>
      <c r="H1064" s="10" t="n">
        <v>6.451893361264656</v>
      </c>
      <c r="I1064" s="10">
        <f>G1064-1.96*H1064</f>
        <v/>
      </c>
      <c r="J1064" s="10">
        <f>G1064+1.96*H1064</f>
        <v/>
      </c>
      <c r="K1064" s="10">
        <f>G1064-F1064</f>
        <v/>
      </c>
      <c r="L1064" s="4">
        <f>IF(AND(F1064&gt;=I1064,F1064&lt;=J1064),1,0)</f>
        <v/>
      </c>
    </row>
    <row r="1065">
      <c r="A1065" s="4" t="inlineStr">
        <is>
          <t>compression_set_pct</t>
        </is>
      </c>
      <c r="B1065" s="4" t="inlineStr">
        <is>
          <t>G191</t>
        </is>
      </c>
      <c r="C1065" s="4" t="inlineStr">
        <is>
          <t>US20160319102A1</t>
        </is>
      </c>
      <c r="D1065" s="4" t="inlineStr">
        <is>
          <t>Example 2</t>
        </is>
      </c>
      <c r="E1065" s="4" t="inlineStr">
        <is>
          <t>dev(OOF)</t>
        </is>
      </c>
      <c r="F1065" s="10" t="n">
        <v>19</v>
      </c>
      <c r="G1065" s="10" t="n">
        <v>20.87589795852751</v>
      </c>
      <c r="H1065" s="10" t="n">
        <v>4.807790788386472</v>
      </c>
      <c r="I1065" s="10">
        <f>G1065-1.96*H1065</f>
        <v/>
      </c>
      <c r="J1065" s="10">
        <f>G1065+1.96*H1065</f>
        <v/>
      </c>
      <c r="K1065" s="10">
        <f>G1065-F1065</f>
        <v/>
      </c>
      <c r="L1065" s="4">
        <f>IF(AND(F1065&gt;=I1065,F1065&lt;=J1065),1,0)</f>
        <v/>
      </c>
    </row>
    <row r="1066">
      <c r="A1066" s="4" t="inlineStr">
        <is>
          <t>compression_set_pct</t>
        </is>
      </c>
      <c r="B1066" s="4" t="inlineStr">
        <is>
          <t>G100</t>
        </is>
      </c>
      <c r="C1066" s="4" t="inlineStr">
        <is>
          <t>US7354974B2</t>
        </is>
      </c>
      <c r="D1066" s="4" t="inlineStr">
        <is>
          <t>Example 4</t>
        </is>
      </c>
      <c r="E1066" s="4" t="inlineStr">
        <is>
          <t>dev(OOF)</t>
        </is>
      </c>
      <c r="F1066" s="10" t="n">
        <v>50</v>
      </c>
      <c r="G1066" s="10" t="n">
        <v>36.70599685464786</v>
      </c>
      <c r="H1066" s="10" t="n">
        <v>10.54473665940058</v>
      </c>
      <c r="I1066" s="10">
        <f>G1066-1.96*H1066</f>
        <v/>
      </c>
      <c r="J1066" s="10">
        <f>G1066+1.96*H1066</f>
        <v/>
      </c>
      <c r="K1066" s="10">
        <f>G1066-F1066</f>
        <v/>
      </c>
      <c r="L1066" s="4">
        <f>IF(AND(F1066&gt;=I1066,F1066&lt;=J1066),1,0)</f>
        <v/>
      </c>
    </row>
    <row r="1067">
      <c r="A1067" s="4" t="inlineStr">
        <is>
          <t>compression_set_pct</t>
        </is>
      </c>
      <c r="B1067" s="4" t="inlineStr">
        <is>
          <t>G331</t>
        </is>
      </c>
      <c r="C1067" s="4" t="inlineStr">
        <is>
          <t>KR101467101B1</t>
        </is>
      </c>
      <c r="D1067" s="4" t="inlineStr">
        <is>
          <t>Example 2</t>
        </is>
      </c>
      <c r="E1067" s="4" t="inlineStr">
        <is>
          <t>dev(OOF)</t>
        </is>
      </c>
      <c r="F1067" s="10" t="n">
        <v>22.7</v>
      </c>
      <c r="G1067" s="10" t="n">
        <v>22.45280242529913</v>
      </c>
      <c r="H1067" s="10" t="n">
        <v>6.074360038490632</v>
      </c>
      <c r="I1067" s="10">
        <f>G1067-1.96*H1067</f>
        <v/>
      </c>
      <c r="J1067" s="10">
        <f>G1067+1.96*H1067</f>
        <v/>
      </c>
      <c r="K1067" s="10">
        <f>G1067-F1067</f>
        <v/>
      </c>
      <c r="L1067" s="4">
        <f>IF(AND(F1067&gt;=I1067,F1067&lt;=J1067),1,0)</f>
        <v/>
      </c>
    </row>
    <row r="1068">
      <c r="A1068" s="4" t="inlineStr">
        <is>
          <t>compression_set_pct</t>
        </is>
      </c>
      <c r="B1068" s="4" t="inlineStr">
        <is>
          <t>G195</t>
        </is>
      </c>
      <c r="C1068" s="4" t="inlineStr">
        <is>
          <t>US20160319102A1</t>
        </is>
      </c>
      <c r="D1068" s="4" t="inlineStr">
        <is>
          <t>Example 6</t>
        </is>
      </c>
      <c r="E1068" s="4" t="inlineStr">
        <is>
          <t>dev(OOF)</t>
        </is>
      </c>
      <c r="F1068" s="10" t="n">
        <v>29</v>
      </c>
      <c r="G1068" s="10" t="n">
        <v>27.89365437698268</v>
      </c>
      <c r="H1068" s="10" t="n">
        <v>6.583653528422644</v>
      </c>
      <c r="I1068" s="10">
        <f>G1068-1.96*H1068</f>
        <v/>
      </c>
      <c r="J1068" s="10">
        <f>G1068+1.96*H1068</f>
        <v/>
      </c>
      <c r="K1068" s="10">
        <f>G1068-F1068</f>
        <v/>
      </c>
      <c r="L1068" s="4">
        <f>IF(AND(F1068&gt;=I1068,F1068&lt;=J1068),1,0)</f>
        <v/>
      </c>
    </row>
    <row r="1069">
      <c r="A1069" s="4" t="inlineStr">
        <is>
          <t>compression_set_pct</t>
        </is>
      </c>
      <c r="B1069" s="4" t="inlineStr">
        <is>
          <t>G015</t>
        </is>
      </c>
      <c r="C1069" s="4" t="inlineStr">
        <is>
          <t>US7678858B2</t>
        </is>
      </c>
      <c r="D1069" s="4" t="inlineStr">
        <is>
          <t>Example 14</t>
        </is>
      </c>
      <c r="E1069" s="4" t="inlineStr">
        <is>
          <t>dev(OOF)</t>
        </is>
      </c>
      <c r="F1069" s="10" t="n">
        <v>28</v>
      </c>
      <c r="G1069" s="10" t="n">
        <v>26.12602537367069</v>
      </c>
      <c r="H1069" s="10" t="n">
        <v>5.503879352244915</v>
      </c>
      <c r="I1069" s="10">
        <f>G1069-1.96*H1069</f>
        <v/>
      </c>
      <c r="J1069" s="10">
        <f>G1069+1.96*H1069</f>
        <v/>
      </c>
      <c r="K1069" s="10">
        <f>G1069-F1069</f>
        <v/>
      </c>
      <c r="L1069" s="4">
        <f>IF(AND(F1069&gt;=I1069,F1069&lt;=J1069),1,0)</f>
        <v/>
      </c>
    </row>
    <row r="1070">
      <c r="A1070" s="4" t="inlineStr">
        <is>
          <t>compression_set_pct</t>
        </is>
      </c>
      <c r="B1070" s="4" t="inlineStr">
        <is>
          <t>G172</t>
        </is>
      </c>
      <c r="C1070" s="4" t="inlineStr">
        <is>
          <t>US20050107544A1</t>
        </is>
      </c>
      <c r="D1070" s="4" t="inlineStr">
        <is>
          <t>Comparative Example C</t>
        </is>
      </c>
      <c r="E1070" s="4" t="inlineStr">
        <is>
          <t>dev(OOF)</t>
        </is>
      </c>
      <c r="F1070" s="10" t="n">
        <v>32</v>
      </c>
      <c r="G1070" s="10" t="n">
        <v>27.71749368227377</v>
      </c>
      <c r="H1070" s="10" t="n">
        <v>7.40055911469558</v>
      </c>
      <c r="I1070" s="10">
        <f>G1070-1.96*H1070</f>
        <v/>
      </c>
      <c r="J1070" s="10">
        <f>G1070+1.96*H1070</f>
        <v/>
      </c>
      <c r="K1070" s="10">
        <f>G1070-F1070</f>
        <v/>
      </c>
      <c r="L1070" s="4">
        <f>IF(AND(F1070&gt;=I1070,F1070&lt;=J1070),1,0)</f>
        <v/>
      </c>
    </row>
    <row r="1071">
      <c r="A1071" s="4" t="inlineStr">
        <is>
          <t>compression_set_pct</t>
        </is>
      </c>
      <c r="B1071" s="4" t="inlineStr">
        <is>
          <t>G053</t>
        </is>
      </c>
      <c r="C1071" s="4" t="inlineStr">
        <is>
          <t>US11753523B2</t>
        </is>
      </c>
      <c r="D1071" s="4" t="inlineStr">
        <is>
          <t>Example 1</t>
        </is>
      </c>
      <c r="E1071" s="4" t="inlineStr">
        <is>
          <t>dev(OOF)</t>
        </is>
      </c>
      <c r="F1071" s="10" t="n">
        <v>33</v>
      </c>
      <c r="G1071" s="10" t="n">
        <v>42.3704398584799</v>
      </c>
      <c r="H1071" s="10" t="n">
        <v>13.14158878069935</v>
      </c>
      <c r="I1071" s="10">
        <f>G1071-1.96*H1071</f>
        <v/>
      </c>
      <c r="J1071" s="10">
        <f>G1071+1.96*H1071</f>
        <v/>
      </c>
      <c r="K1071" s="10">
        <f>G1071-F1071</f>
        <v/>
      </c>
      <c r="L1071" s="4">
        <f>IF(AND(F1071&gt;=I1071,F1071&lt;=J1071),1,0)</f>
        <v/>
      </c>
    </row>
    <row r="1072">
      <c r="A1072" s="4" t="inlineStr">
        <is>
          <t>compression_set_pct</t>
        </is>
      </c>
      <c r="B1072" s="4" t="inlineStr">
        <is>
          <t>G125</t>
        </is>
      </c>
      <c r="C1072" s="4" t="inlineStr">
        <is>
          <t>US7247749B2</t>
        </is>
      </c>
      <c r="D1072" s="4" t="inlineStr">
        <is>
          <t>Sample 1</t>
        </is>
      </c>
      <c r="E1072" s="4" t="inlineStr">
        <is>
          <t>dev(OOF)</t>
        </is>
      </c>
      <c r="F1072" s="10" t="n">
        <v>29</v>
      </c>
      <c r="G1072" s="10" t="n">
        <v>20.70214670883598</v>
      </c>
      <c r="H1072" s="10" t="n">
        <v>5.311437849955785</v>
      </c>
      <c r="I1072" s="10">
        <f>G1072-1.96*H1072</f>
        <v/>
      </c>
      <c r="J1072" s="10">
        <f>G1072+1.96*H1072</f>
        <v/>
      </c>
      <c r="K1072" s="10">
        <f>G1072-F1072</f>
        <v/>
      </c>
      <c r="L1072" s="4">
        <f>IF(AND(F1072&gt;=I1072,F1072&lt;=J1072),1,0)</f>
        <v/>
      </c>
    </row>
    <row r="1073">
      <c r="A1073" s="4" t="inlineStr">
        <is>
          <t>compression_set_pct</t>
        </is>
      </c>
      <c r="B1073" s="4" t="inlineStr">
        <is>
          <t>G057</t>
        </is>
      </c>
      <c r="C1073" s="4" t="inlineStr">
        <is>
          <t>US11753523B2</t>
        </is>
      </c>
      <c r="D1073" s="4" t="inlineStr">
        <is>
          <t>Example 5</t>
        </is>
      </c>
      <c r="E1073" s="4" t="inlineStr">
        <is>
          <t>dev(OOF)</t>
        </is>
      </c>
      <c r="F1073" s="10" t="n">
        <v>47</v>
      </c>
      <c r="G1073" s="10" t="n">
        <v>72.12295346849017</v>
      </c>
      <c r="H1073" s="10" t="n">
        <v>16.49579822168907</v>
      </c>
      <c r="I1073" s="10">
        <f>G1073-1.96*H1073</f>
        <v/>
      </c>
      <c r="J1073" s="10">
        <f>G1073+1.96*H1073</f>
        <v/>
      </c>
      <c r="K1073" s="10">
        <f>G1073-F1073</f>
        <v/>
      </c>
      <c r="L1073" s="4">
        <f>IF(AND(F1073&gt;=I1073,F1073&lt;=J1073),1,0)</f>
        <v/>
      </c>
    </row>
    <row r="1074">
      <c r="A1074" s="4" t="inlineStr">
        <is>
          <t>compression_set_pct</t>
        </is>
      </c>
      <c r="B1074" s="4" t="inlineStr">
        <is>
          <t>G205</t>
        </is>
      </c>
      <c r="C1074" s="4" t="inlineStr">
        <is>
          <t>US11118045B2</t>
        </is>
      </c>
      <c r="D1074" s="4" t="inlineStr">
        <is>
          <t>Example 1</t>
        </is>
      </c>
      <c r="E1074" s="4" t="inlineStr">
        <is>
          <t>dev(OOF)</t>
        </is>
      </c>
      <c r="F1074" s="10" t="n">
        <v>20</v>
      </c>
      <c r="G1074" s="10" t="n">
        <v>21.72261233491513</v>
      </c>
      <c r="H1074" s="10" t="n">
        <v>4.890093037114738</v>
      </c>
      <c r="I1074" s="10">
        <f>G1074-1.96*H1074</f>
        <v/>
      </c>
      <c r="J1074" s="10">
        <f>G1074+1.96*H1074</f>
        <v/>
      </c>
      <c r="K1074" s="10">
        <f>G1074-F1074</f>
        <v/>
      </c>
      <c r="L1074" s="4">
        <f>IF(AND(F1074&gt;=I1074,F1074&lt;=J1074),1,0)</f>
        <v/>
      </c>
    </row>
    <row r="1075">
      <c r="A1075" s="4" t="inlineStr">
        <is>
          <t>compression_set_pct</t>
        </is>
      </c>
      <c r="B1075" s="4" t="inlineStr">
        <is>
          <t>G021</t>
        </is>
      </c>
      <c r="C1075" s="4" t="inlineStr">
        <is>
          <t>US7678858B2</t>
        </is>
      </c>
      <c r="D1075" s="4" t="inlineStr">
        <is>
          <t>Example 20</t>
        </is>
      </c>
      <c r="E1075" s="4" t="inlineStr">
        <is>
          <t>dev(OOF)</t>
        </is>
      </c>
      <c r="F1075" s="10" t="n">
        <v>18</v>
      </c>
      <c r="G1075" s="10" t="n">
        <v>27.66734926953046</v>
      </c>
      <c r="H1075" s="10" t="n">
        <v>10.05997040200565</v>
      </c>
      <c r="I1075" s="10">
        <f>G1075-1.96*H1075</f>
        <v/>
      </c>
      <c r="J1075" s="10">
        <f>G1075+1.96*H1075</f>
        <v/>
      </c>
      <c r="K1075" s="10">
        <f>G1075-F1075</f>
        <v/>
      </c>
      <c r="L1075" s="4">
        <f>IF(AND(F1075&gt;=I1075,F1075&lt;=J1075),1,0)</f>
        <v/>
      </c>
    </row>
    <row r="1076">
      <c r="A1076" s="4" t="inlineStr">
        <is>
          <t>compression_set_pct</t>
        </is>
      </c>
      <c r="B1076" s="4" t="inlineStr">
        <is>
          <t>G051</t>
        </is>
      </c>
      <c r="C1076" s="4" t="inlineStr">
        <is>
          <t>US8211964B2</t>
        </is>
      </c>
      <c r="D1076" s="4" t="inlineStr">
        <is>
          <t>Example 8</t>
        </is>
      </c>
      <c r="E1076" s="4" t="inlineStr">
        <is>
          <t>dev(OOF)</t>
        </is>
      </c>
      <c r="F1076" s="10" t="n">
        <v>32</v>
      </c>
      <c r="G1076" s="10" t="n">
        <v>29.47683687870314</v>
      </c>
      <c r="H1076" s="10" t="n">
        <v>13.83480916621772</v>
      </c>
      <c r="I1076" s="10">
        <f>G1076-1.96*H1076</f>
        <v/>
      </c>
      <c r="J1076" s="10">
        <f>G1076+1.96*H1076</f>
        <v/>
      </c>
      <c r="K1076" s="10">
        <f>G1076-F1076</f>
        <v/>
      </c>
      <c r="L1076" s="4">
        <f>IF(AND(F1076&gt;=I1076,F1076&lt;=J1076),1,0)</f>
        <v/>
      </c>
    </row>
    <row r="1077">
      <c r="A1077" s="4" t="inlineStr">
        <is>
          <t>compression_set_pct</t>
        </is>
      </c>
      <c r="B1077" s="4" t="inlineStr">
        <is>
          <t>G026</t>
        </is>
      </c>
      <c r="C1077" s="4" t="inlineStr">
        <is>
          <t>US6803402B2</t>
        </is>
      </c>
      <c r="D1077" s="4" t="inlineStr">
        <is>
          <t>Comparative Example 1</t>
        </is>
      </c>
      <c r="E1077" s="4" t="inlineStr">
        <is>
          <t>dev(OOF)</t>
        </is>
      </c>
      <c r="F1077" s="10" t="n">
        <v>12</v>
      </c>
      <c r="G1077" s="10" t="n">
        <v>20.44298825439029</v>
      </c>
      <c r="H1077" s="10" t="n">
        <v>4.232385783152842</v>
      </c>
      <c r="I1077" s="10">
        <f>G1077-1.96*H1077</f>
        <v/>
      </c>
      <c r="J1077" s="10">
        <f>G1077+1.96*H1077</f>
        <v/>
      </c>
      <c r="K1077" s="10">
        <f>G1077-F1077</f>
        <v/>
      </c>
      <c r="L1077" s="4">
        <f>IF(AND(F1077&gt;=I1077,F1077&lt;=J1077),1,0)</f>
        <v/>
      </c>
    </row>
    <row r="1078">
      <c r="A1078" s="4" t="inlineStr">
        <is>
          <t>compression_set_pct</t>
        </is>
      </c>
      <c r="B1078" s="4" t="inlineStr">
        <is>
          <t>G204</t>
        </is>
      </c>
      <c r="C1078" s="4" t="inlineStr">
        <is>
          <t>US20160319102A1</t>
        </is>
      </c>
      <c r="D1078" s="4" t="inlineStr">
        <is>
          <t>Comparative Example 6</t>
        </is>
      </c>
      <c r="E1078" s="4" t="inlineStr">
        <is>
          <t>dev(OOF)</t>
        </is>
      </c>
      <c r="F1078" s="10" t="n">
        <v>95</v>
      </c>
      <c r="G1078" s="10" t="n">
        <v>26.37305547753592</v>
      </c>
      <c r="H1078" s="10" t="n">
        <v>12.64485493584959</v>
      </c>
      <c r="I1078" s="10">
        <f>G1078-1.96*H1078</f>
        <v/>
      </c>
      <c r="J1078" s="10">
        <f>G1078+1.96*H1078</f>
        <v/>
      </c>
      <c r="K1078" s="10">
        <f>G1078-F1078</f>
        <v/>
      </c>
      <c r="L1078" s="4">
        <f>IF(AND(F1078&gt;=I1078,F1078&lt;=J1078),1,0)</f>
        <v/>
      </c>
    </row>
    <row r="1079">
      <c r="A1079" s="4" t="inlineStr">
        <is>
          <t>compression_set_pct</t>
        </is>
      </c>
      <c r="B1079" s="4" t="inlineStr">
        <is>
          <t>G067</t>
        </is>
      </c>
      <c r="C1079" s="4" t="inlineStr">
        <is>
          <t>US11753523B2</t>
        </is>
      </c>
      <c r="D1079" s="4" t="inlineStr">
        <is>
          <t>Comparative Example 10</t>
        </is>
      </c>
      <c r="E1079" s="4" t="inlineStr">
        <is>
          <t>dev(OOF)</t>
        </is>
      </c>
      <c r="F1079" s="10" t="n">
        <v>34</v>
      </c>
      <c r="G1079" s="10" t="n">
        <v>18.91233809606357</v>
      </c>
      <c r="H1079" s="10" t="n">
        <v>4.166017144547637</v>
      </c>
      <c r="I1079" s="10">
        <f>G1079-1.96*H1079</f>
        <v/>
      </c>
      <c r="J1079" s="10">
        <f>G1079+1.96*H1079</f>
        <v/>
      </c>
      <c r="K1079" s="10">
        <f>G1079-F1079</f>
        <v/>
      </c>
      <c r="L1079" s="4">
        <f>IF(AND(F1079&gt;=I1079,F1079&lt;=J1079),1,0)</f>
        <v/>
      </c>
    </row>
    <row r="1080">
      <c r="A1080" s="4" t="inlineStr">
        <is>
          <t>compression_set_pct</t>
        </is>
      </c>
      <c r="B1080" s="4" t="inlineStr">
        <is>
          <t>G027</t>
        </is>
      </c>
      <c r="C1080" s="4" t="inlineStr">
        <is>
          <t>US6803402B2</t>
        </is>
      </c>
      <c r="D1080" s="4" t="inlineStr">
        <is>
          <t>Comparative Example 2</t>
        </is>
      </c>
      <c r="E1080" s="4" t="inlineStr">
        <is>
          <t>dev(OOF)</t>
        </is>
      </c>
      <c r="F1080" s="10" t="n">
        <v>12</v>
      </c>
      <c r="G1080" s="10" t="n">
        <v>20.05468675368281</v>
      </c>
      <c r="H1080" s="10" t="n">
        <v>9.399880131790772</v>
      </c>
      <c r="I1080" s="10">
        <f>G1080-1.96*H1080</f>
        <v/>
      </c>
      <c r="J1080" s="10">
        <f>G1080+1.96*H1080</f>
        <v/>
      </c>
      <c r="K1080" s="10">
        <f>G1080-F1080</f>
        <v/>
      </c>
      <c r="L1080" s="4">
        <f>IF(AND(F1080&gt;=I1080,F1080&lt;=J1080),1,0)</f>
        <v/>
      </c>
    </row>
    <row r="1081">
      <c r="A1081" s="4" t="inlineStr">
        <is>
          <t>compression_set_pct</t>
        </is>
      </c>
      <c r="B1081" s="4" t="inlineStr">
        <is>
          <t>G091</t>
        </is>
      </c>
      <c r="C1081" s="4" t="inlineStr">
        <is>
          <t>US8367776B2</t>
        </is>
      </c>
      <c r="D1081" s="4" t="inlineStr">
        <is>
          <t>Example 9</t>
        </is>
      </c>
      <c r="E1081" s="4" t="inlineStr">
        <is>
          <t>dev(OOF)</t>
        </is>
      </c>
      <c r="F1081" s="10" t="n">
        <v>17.4</v>
      </c>
      <c r="G1081" s="10" t="n">
        <v>22.36012430701426</v>
      </c>
      <c r="H1081" s="10" t="n">
        <v>4.90563144297157</v>
      </c>
      <c r="I1081" s="10">
        <f>G1081-1.96*H1081</f>
        <v/>
      </c>
      <c r="J1081" s="10">
        <f>G1081+1.96*H1081</f>
        <v/>
      </c>
      <c r="K1081" s="10">
        <f>G1081-F1081</f>
        <v/>
      </c>
      <c r="L1081" s="4">
        <f>IF(AND(F1081&gt;=I1081,F1081&lt;=J1081),1,0)</f>
        <v/>
      </c>
    </row>
    <row r="1082">
      <c r="A1082" s="4" t="inlineStr">
        <is>
          <t>compression_set_pct</t>
        </is>
      </c>
      <c r="B1082" s="4" t="inlineStr">
        <is>
          <t>G044</t>
        </is>
      </c>
      <c r="C1082" s="4" t="inlineStr">
        <is>
          <t>US8211964B2</t>
        </is>
      </c>
      <c r="D1082" s="4" t="inlineStr">
        <is>
          <t>Example 3</t>
        </is>
      </c>
      <c r="E1082" s="4" t="inlineStr">
        <is>
          <t>dev(OOF)</t>
        </is>
      </c>
      <c r="F1082" s="10" t="n">
        <v>17</v>
      </c>
      <c r="G1082" s="10" t="n">
        <v>18.7128056296133</v>
      </c>
      <c r="H1082" s="10" t="n">
        <v>5.245818542893503</v>
      </c>
      <c r="I1082" s="10">
        <f>G1082-1.96*H1082</f>
        <v/>
      </c>
      <c r="J1082" s="10">
        <f>G1082+1.96*H1082</f>
        <v/>
      </c>
      <c r="K1082" s="10">
        <f>G1082-F1082</f>
        <v/>
      </c>
      <c r="L1082" s="4">
        <f>IF(AND(F1082&gt;=I1082,F1082&lt;=J1082),1,0)</f>
        <v/>
      </c>
    </row>
    <row r="1083">
      <c r="A1083" s="4" t="inlineStr">
        <is>
          <t>compression_set_pct</t>
        </is>
      </c>
      <c r="B1083" s="4" t="inlineStr">
        <is>
          <t>G211</t>
        </is>
      </c>
      <c r="C1083" s="4" t="inlineStr">
        <is>
          <t>US11118045B2</t>
        </is>
      </c>
      <c r="D1083" s="4" t="inlineStr">
        <is>
          <t>Example 8</t>
        </is>
      </c>
      <c r="E1083" s="4" t="inlineStr">
        <is>
          <t>dev(OOF)</t>
        </is>
      </c>
      <c r="F1083" s="10" t="n">
        <v>24</v>
      </c>
      <c r="G1083" s="10" t="n">
        <v>23.84095927997328</v>
      </c>
      <c r="H1083" s="10" t="n">
        <v>5.047922592382161</v>
      </c>
      <c r="I1083" s="10">
        <f>G1083-1.96*H1083</f>
        <v/>
      </c>
      <c r="J1083" s="10">
        <f>G1083+1.96*H1083</f>
        <v/>
      </c>
      <c r="K1083" s="10">
        <f>G1083-F1083</f>
        <v/>
      </c>
      <c r="L1083" s="4">
        <f>IF(AND(F1083&gt;=I1083,F1083&lt;=J1083),1,0)</f>
        <v/>
      </c>
    </row>
    <row r="1084">
      <c r="A1084" s="4" t="inlineStr">
        <is>
          <t>compression_set_pct</t>
        </is>
      </c>
      <c r="B1084" s="4" t="inlineStr">
        <is>
          <t>G120</t>
        </is>
      </c>
      <c r="C1084" s="4" t="inlineStr">
        <is>
          <t>US5696189A</t>
        </is>
      </c>
      <c r="D1084" s="4" t="inlineStr">
        <is>
          <t>Example 3</t>
        </is>
      </c>
      <c r="E1084" s="4" t="inlineStr">
        <is>
          <t>dev(OOF)</t>
        </is>
      </c>
      <c r="F1084" s="10" t="n">
        <v>31.9</v>
      </c>
      <c r="G1084" s="10" t="n">
        <v>26.28695882470134</v>
      </c>
      <c r="H1084" s="10" t="n">
        <v>12.68543365384598</v>
      </c>
      <c r="I1084" s="10">
        <f>G1084-1.96*H1084</f>
        <v/>
      </c>
      <c r="J1084" s="10">
        <f>G1084+1.96*H1084</f>
        <v/>
      </c>
      <c r="K1084" s="10">
        <f>G1084-F1084</f>
        <v/>
      </c>
      <c r="L1084" s="4">
        <f>IF(AND(F1084&gt;=I1084,F1084&lt;=J1084),1,0)</f>
        <v/>
      </c>
    </row>
    <row r="1085">
      <c r="A1085" s="4" t="inlineStr">
        <is>
          <t>compression_set_pct</t>
        </is>
      </c>
      <c r="B1085" s="4" t="inlineStr">
        <is>
          <t>G105</t>
        </is>
      </c>
      <c r="C1085" s="4" t="inlineStr">
        <is>
          <t>US7354974B2</t>
        </is>
      </c>
      <c r="D1085" s="4" t="inlineStr">
        <is>
          <t>Control B</t>
        </is>
      </c>
      <c r="E1085" s="4" t="inlineStr">
        <is>
          <t>dev(OOF)</t>
        </is>
      </c>
      <c r="F1085" s="10" t="n">
        <v>12</v>
      </c>
      <c r="G1085" s="10" t="n">
        <v>26.37305547648558</v>
      </c>
      <c r="H1085" s="10" t="n">
        <v>12.64485493534599</v>
      </c>
      <c r="I1085" s="10">
        <f>G1085-1.96*H1085</f>
        <v/>
      </c>
      <c r="J1085" s="10">
        <f>G1085+1.96*H1085</f>
        <v/>
      </c>
      <c r="K1085" s="10">
        <f>G1085-F1085</f>
        <v/>
      </c>
      <c r="L1085" s="4">
        <f>IF(AND(F1085&gt;=I1085,F1085&lt;=J1085),1,0)</f>
        <v/>
      </c>
    </row>
    <row r="1086">
      <c r="A1086" s="4" t="inlineStr">
        <is>
          <t>compression_set_pct</t>
        </is>
      </c>
      <c r="B1086" s="4" t="inlineStr">
        <is>
          <t>G117</t>
        </is>
      </c>
      <c r="C1086" s="4" t="inlineStr">
        <is>
          <t>US5696189A</t>
        </is>
      </c>
      <c r="D1086" s="4" t="inlineStr">
        <is>
          <t>Comparative Example B</t>
        </is>
      </c>
      <c r="E1086" s="4" t="inlineStr">
        <is>
          <t>dev(OOF)</t>
        </is>
      </c>
      <c r="F1086" s="10" t="n">
        <v>17.5</v>
      </c>
      <c r="G1086" s="10" t="n">
        <v>26.13910844527562</v>
      </c>
      <c r="H1086" s="10" t="n">
        <v>12.52935545741514</v>
      </c>
      <c r="I1086" s="10">
        <f>G1086-1.96*H1086</f>
        <v/>
      </c>
      <c r="J1086" s="10">
        <f>G1086+1.96*H1086</f>
        <v/>
      </c>
      <c r="K1086" s="10">
        <f>G1086-F1086</f>
        <v/>
      </c>
      <c r="L1086" s="4">
        <f>IF(AND(F1086&gt;=I1086,F1086&lt;=J1086),1,0)</f>
        <v/>
      </c>
    </row>
    <row r="1087">
      <c r="A1087" s="4" t="inlineStr">
        <is>
          <t>compression_set_pct</t>
        </is>
      </c>
      <c r="B1087" s="4" t="inlineStr">
        <is>
          <t>G321</t>
        </is>
      </c>
      <c r="C1087" s="4" t="inlineStr">
        <is>
          <t>KR101467101B1</t>
        </is>
      </c>
      <c r="D1087" s="4" t="inlineStr">
        <is>
          <t>Table 1 compound FFKM B</t>
        </is>
      </c>
      <c r="E1087" s="4" t="inlineStr">
        <is>
          <t>dev(OOF)</t>
        </is>
      </c>
      <c r="F1087" s="10" t="n">
        <v>18</v>
      </c>
      <c r="G1087" s="10" t="n">
        <v>23.5625058351303</v>
      </c>
      <c r="H1087" s="10" t="n">
        <v>10.88574054654676</v>
      </c>
      <c r="I1087" s="10">
        <f>G1087-1.96*H1087</f>
        <v/>
      </c>
      <c r="J1087" s="10">
        <f>G1087+1.96*H1087</f>
        <v/>
      </c>
      <c r="K1087" s="10">
        <f>G1087-F1087</f>
        <v/>
      </c>
      <c r="L1087" s="4">
        <f>IF(AND(F1087&gt;=I1087,F1087&lt;=J1087),1,0)</f>
        <v/>
      </c>
    </row>
    <row r="1088">
      <c r="A1088" s="4" t="inlineStr">
        <is>
          <t>compression_set_pct</t>
        </is>
      </c>
      <c r="B1088" s="4" t="inlineStr">
        <is>
          <t>G023</t>
        </is>
      </c>
      <c r="C1088" s="4" t="inlineStr">
        <is>
          <t>US7678858B2</t>
        </is>
      </c>
      <c r="D1088" s="4" t="inlineStr">
        <is>
          <t>Comparative Example 3</t>
        </is>
      </c>
      <c r="E1088" s="4" t="inlineStr">
        <is>
          <t>dev(OOF)</t>
        </is>
      </c>
      <c r="F1088" s="10" t="n">
        <v>15</v>
      </c>
      <c r="G1088" s="10" t="n">
        <v>27.34263850567418</v>
      </c>
      <c r="H1088" s="10" t="n">
        <v>8.063320432129309</v>
      </c>
      <c r="I1088" s="10">
        <f>G1088-1.96*H1088</f>
        <v/>
      </c>
      <c r="J1088" s="10">
        <f>G1088+1.96*H1088</f>
        <v/>
      </c>
      <c r="K1088" s="10">
        <f>G1088-F1088</f>
        <v/>
      </c>
      <c r="L1088" s="4">
        <f>IF(AND(F1088&gt;=I1088,F1088&lt;=J1088),1,0)</f>
        <v/>
      </c>
    </row>
    <row r="1089">
      <c r="A1089" s="4" t="inlineStr">
        <is>
          <t>compression_set_pct</t>
        </is>
      </c>
      <c r="B1089" s="4" t="inlineStr">
        <is>
          <t>G162</t>
        </is>
      </c>
      <c r="C1089" s="4" t="inlineStr">
        <is>
          <t>US6956085B2</t>
        </is>
      </c>
      <c r="D1089" s="4" t="inlineStr">
        <is>
          <t>Example 5</t>
        </is>
      </c>
      <c r="E1089" s="4" t="inlineStr">
        <is>
          <t>dev(OOF)</t>
        </is>
      </c>
      <c r="F1089" s="10" t="n">
        <v>22</v>
      </c>
      <c r="G1089" s="10" t="n">
        <v>25.67638508160168</v>
      </c>
      <c r="H1089" s="10" t="n">
        <v>13.21317180383374</v>
      </c>
      <c r="I1089" s="10">
        <f>G1089-1.96*H1089</f>
        <v/>
      </c>
      <c r="J1089" s="10">
        <f>G1089+1.96*H1089</f>
        <v/>
      </c>
      <c r="K1089" s="10">
        <f>G1089-F1089</f>
        <v/>
      </c>
      <c r="L1089" s="4">
        <f>IF(AND(F1089&gt;=I1089,F1089&lt;=J1089),1,0)</f>
        <v/>
      </c>
    </row>
    <row r="1090">
      <c r="A1090" s="4" t="inlineStr">
        <is>
          <t>compression_set_pct</t>
        </is>
      </c>
      <c r="B1090" s="4" t="inlineStr">
        <is>
          <t>G301</t>
        </is>
      </c>
      <c r="C1090" s="4" t="inlineStr">
        <is>
          <t>EP4249550A1</t>
        </is>
      </c>
      <c r="D1090" s="4" t="inlineStr">
        <is>
          <t>Example 13</t>
        </is>
      </c>
      <c r="E1090" s="4" t="inlineStr">
        <is>
          <t>dev(OOF)</t>
        </is>
      </c>
      <c r="F1090" s="10" t="n">
        <v>38</v>
      </c>
      <c r="G1090" s="10" t="n">
        <v>28.07091444808038</v>
      </c>
      <c r="H1090" s="10" t="n">
        <v>7.328893163992813</v>
      </c>
      <c r="I1090" s="10">
        <f>G1090-1.96*H1090</f>
        <v/>
      </c>
      <c r="J1090" s="10">
        <f>G1090+1.96*H1090</f>
        <v/>
      </c>
      <c r="K1090" s="10">
        <f>G1090-F1090</f>
        <v/>
      </c>
      <c r="L1090" s="4">
        <f>IF(AND(F1090&gt;=I1090,F1090&lt;=J1090),1,0)</f>
        <v/>
      </c>
    </row>
    <row r="1091">
      <c r="A1091" s="4" t="inlineStr">
        <is>
          <t>compression_set_pct</t>
        </is>
      </c>
      <c r="B1091" s="4" t="inlineStr">
        <is>
          <t>G306</t>
        </is>
      </c>
      <c r="C1091" s="4" t="inlineStr">
        <is>
          <t>EP4249550A1</t>
        </is>
      </c>
      <c r="D1091" s="4" t="inlineStr">
        <is>
          <t>Comparative Example 5</t>
        </is>
      </c>
      <c r="E1091" s="4" t="inlineStr">
        <is>
          <t>dev(OOF)</t>
        </is>
      </c>
      <c r="F1091" s="10" t="n">
        <v>29</v>
      </c>
      <c r="G1091" s="10" t="n">
        <v>29.11293179474458</v>
      </c>
      <c r="H1091" s="10" t="n">
        <v>7.674647114321282</v>
      </c>
      <c r="I1091" s="10">
        <f>G1091-1.96*H1091</f>
        <v/>
      </c>
      <c r="J1091" s="10">
        <f>G1091+1.96*H1091</f>
        <v/>
      </c>
      <c r="K1091" s="10">
        <f>G1091-F1091</f>
        <v/>
      </c>
      <c r="L1091" s="4">
        <f>IF(AND(F1091&gt;=I1091,F1091&lt;=J1091),1,0)</f>
        <v/>
      </c>
    </row>
    <row r="1092">
      <c r="A1092" s="4" t="inlineStr">
        <is>
          <t>compression_set_pct</t>
        </is>
      </c>
      <c r="B1092" s="4" t="inlineStr">
        <is>
          <t>G184</t>
        </is>
      </c>
      <c r="C1092" s="4" t="inlineStr">
        <is>
          <t>US20040019153A1</t>
        </is>
      </c>
      <c r="D1092" s="4" t="inlineStr">
        <is>
          <t>Example 1</t>
        </is>
      </c>
      <c r="E1092" s="4" t="inlineStr">
        <is>
          <t>dev(OOF)</t>
        </is>
      </c>
      <c r="F1092" s="10" t="n">
        <v>12</v>
      </c>
      <c r="G1092" s="10" t="n">
        <v>34.53003727776332</v>
      </c>
      <c r="H1092" s="10" t="n">
        <v>16.76469709241503</v>
      </c>
      <c r="I1092" s="10">
        <f>G1092-1.96*H1092</f>
        <v/>
      </c>
      <c r="J1092" s="10">
        <f>G1092+1.96*H1092</f>
        <v/>
      </c>
      <c r="K1092" s="10">
        <f>G1092-F1092</f>
        <v/>
      </c>
      <c r="L1092" s="4">
        <f>IF(AND(F1092&gt;=I1092,F1092&lt;=J1092),1,0)</f>
        <v/>
      </c>
    </row>
    <row r="1093">
      <c r="A1093" s="4" t="inlineStr">
        <is>
          <t>compression_set_pct</t>
        </is>
      </c>
      <c r="B1093" s="4" t="inlineStr">
        <is>
          <t>G243</t>
        </is>
      </c>
      <c r="C1093" s="4" t="inlineStr">
        <is>
          <t>US12305107B2</t>
        </is>
      </c>
      <c r="D1093" s="4" t="inlineStr">
        <is>
          <t>Comparative Example 1</t>
        </is>
      </c>
      <c r="E1093" s="4" t="inlineStr">
        <is>
          <t>dev(OOF)</t>
        </is>
      </c>
      <c r="F1093" s="10" t="n">
        <v>28</v>
      </c>
      <c r="G1093" s="10" t="n">
        <v>26.00287464600657</v>
      </c>
      <c r="H1093" s="10" t="n">
        <v>13.49070915465812</v>
      </c>
      <c r="I1093" s="10">
        <f>G1093-1.96*H1093</f>
        <v/>
      </c>
      <c r="J1093" s="10">
        <f>G1093+1.96*H1093</f>
        <v/>
      </c>
      <c r="K1093" s="10">
        <f>G1093-F1093</f>
        <v/>
      </c>
      <c r="L1093" s="4">
        <f>IF(AND(F1093&gt;=I1093,F1093&lt;=J1093),1,0)</f>
        <v/>
      </c>
    </row>
    <row r="1094">
      <c r="A1094" s="4" t="inlineStr">
        <is>
          <t>compression_set_pct</t>
        </is>
      </c>
      <c r="B1094" s="4" t="inlineStr">
        <is>
          <t>G228</t>
        </is>
      </c>
      <c r="C1094" s="4" t="inlineStr">
        <is>
          <t>US8349965B2</t>
        </is>
      </c>
      <c r="D1094" s="4" t="inlineStr">
        <is>
          <t>Example 5</t>
        </is>
      </c>
      <c r="E1094" s="4" t="inlineStr">
        <is>
          <t>dev(OOF)</t>
        </is>
      </c>
      <c r="F1094" s="10" t="n">
        <v>38</v>
      </c>
      <c r="G1094" s="10" t="n">
        <v>34.39453823802071</v>
      </c>
      <c r="H1094" s="10" t="n">
        <v>7.439251852038939</v>
      </c>
      <c r="I1094" s="10">
        <f>G1094-1.96*H1094</f>
        <v/>
      </c>
      <c r="J1094" s="10">
        <f>G1094+1.96*H1094</f>
        <v/>
      </c>
      <c r="K1094" s="10">
        <f>G1094-F1094</f>
        <v/>
      </c>
      <c r="L1094" s="4">
        <f>IF(AND(F1094&gt;=I1094,F1094&lt;=J1094),1,0)</f>
        <v/>
      </c>
    </row>
    <row r="1095">
      <c r="A1095" s="4" t="inlineStr">
        <is>
          <t>compression_set_pct</t>
        </is>
      </c>
      <c r="B1095" s="4" t="inlineStr">
        <is>
          <t>G001</t>
        </is>
      </c>
      <c r="C1095" s="4" t="inlineStr">
        <is>
          <t>US7678858B2</t>
        </is>
      </c>
      <c r="D1095" s="4" t="inlineStr">
        <is>
          <t>Example 1</t>
        </is>
      </c>
      <c r="E1095" s="4" t="inlineStr">
        <is>
          <t>dev(OOF)</t>
        </is>
      </c>
      <c r="F1095" s="10" t="n">
        <v>21</v>
      </c>
      <c r="G1095" s="10" t="n">
        <v>26.43908009257397</v>
      </c>
      <c r="H1095" s="10" t="n">
        <v>5.808264691997517</v>
      </c>
      <c r="I1095" s="10">
        <f>G1095-1.96*H1095</f>
        <v/>
      </c>
      <c r="J1095" s="10">
        <f>G1095+1.96*H1095</f>
        <v/>
      </c>
      <c r="K1095" s="10">
        <f>G1095-F1095</f>
        <v/>
      </c>
      <c r="L1095" s="4">
        <f>IF(AND(F1095&gt;=I1095,F1095&lt;=J1095),1,0)</f>
        <v/>
      </c>
    </row>
    <row r="1096">
      <c r="A1096" s="4" t="inlineStr">
        <is>
          <t>compression_set_pct</t>
        </is>
      </c>
      <c r="B1096" s="4" t="inlineStr">
        <is>
          <t>G011</t>
        </is>
      </c>
      <c r="C1096" s="4" t="inlineStr">
        <is>
          <t>US7678858B2</t>
        </is>
      </c>
      <c r="D1096" s="4" t="inlineStr">
        <is>
          <t>Example 10</t>
        </is>
      </c>
      <c r="E1096" s="4" t="inlineStr">
        <is>
          <t>dev(OOF)</t>
        </is>
      </c>
      <c r="F1096" s="10" t="n">
        <v>17</v>
      </c>
      <c r="G1096" s="10" t="n">
        <v>30.47247496237222</v>
      </c>
      <c r="H1096" s="10" t="n">
        <v>6.99569896409209</v>
      </c>
      <c r="I1096" s="10">
        <f>G1096-1.96*H1096</f>
        <v/>
      </c>
      <c r="J1096" s="10">
        <f>G1096+1.96*H1096</f>
        <v/>
      </c>
      <c r="K1096" s="10">
        <f>G1096-F1096</f>
        <v/>
      </c>
      <c r="L1096" s="4">
        <f>IF(AND(F1096&gt;=I1096,F1096&lt;=J1096),1,0)</f>
        <v/>
      </c>
    </row>
    <row r="1097">
      <c r="A1097" s="4" t="inlineStr">
        <is>
          <t>compression_set_pct</t>
        </is>
      </c>
      <c r="B1097" s="4" t="inlineStr">
        <is>
          <t>G104</t>
        </is>
      </c>
      <c r="C1097" s="4" t="inlineStr">
        <is>
          <t>US7354974B2</t>
        </is>
      </c>
      <c r="D1097" s="4" t="inlineStr">
        <is>
          <t>Control A</t>
        </is>
      </c>
      <c r="E1097" s="4" t="inlineStr">
        <is>
          <t>dev(OOF)</t>
        </is>
      </c>
      <c r="F1097" s="10" t="n">
        <v>80</v>
      </c>
      <c r="G1097" s="10" t="n">
        <v>32.90006074723143</v>
      </c>
      <c r="H1097" s="10" t="n">
        <v>10.60398744582847</v>
      </c>
      <c r="I1097" s="10">
        <f>G1097-1.96*H1097</f>
        <v/>
      </c>
      <c r="J1097" s="10">
        <f>G1097+1.96*H1097</f>
        <v/>
      </c>
      <c r="K1097" s="10">
        <f>G1097-F1097</f>
        <v/>
      </c>
      <c r="L1097" s="4">
        <f>IF(AND(F1097&gt;=I1097,F1097&lt;=J1097),1,0)</f>
        <v/>
      </c>
    </row>
    <row r="1098">
      <c r="A1098" s="4" t="inlineStr">
        <is>
          <t>compression_set_pct</t>
        </is>
      </c>
      <c r="B1098" s="4" t="inlineStr">
        <is>
          <t>G229</t>
        </is>
      </c>
      <c r="C1098" s="4" t="inlineStr">
        <is>
          <t>US8349965B2</t>
        </is>
      </c>
      <c r="D1098" s="4" t="inlineStr">
        <is>
          <t>Example 6</t>
        </is>
      </c>
      <c r="E1098" s="4" t="inlineStr">
        <is>
          <t>dev(OOF)</t>
        </is>
      </c>
      <c r="F1098" s="10" t="n">
        <v>56</v>
      </c>
      <c r="G1098" s="10" t="n">
        <v>33.17301905736421</v>
      </c>
      <c r="H1098" s="10" t="n">
        <v>13.08080454869159</v>
      </c>
      <c r="I1098" s="10">
        <f>G1098-1.96*H1098</f>
        <v/>
      </c>
      <c r="J1098" s="10">
        <f>G1098+1.96*H1098</f>
        <v/>
      </c>
      <c r="K1098" s="10">
        <f>G1098-F1098</f>
        <v/>
      </c>
      <c r="L1098" s="4">
        <f>IF(AND(F1098&gt;=I1098,F1098&lt;=J1098),1,0)</f>
        <v/>
      </c>
    </row>
    <row r="1099">
      <c r="A1099" s="4" t="inlineStr">
        <is>
          <t>compression_set_pct</t>
        </is>
      </c>
      <c r="B1099" s="4" t="inlineStr">
        <is>
          <t>G309</t>
        </is>
      </c>
      <c r="C1099" s="4" t="inlineStr">
        <is>
          <t>EP4249550A1</t>
        </is>
      </c>
      <c r="D1099" s="4" t="inlineStr">
        <is>
          <t>Example 9</t>
        </is>
      </c>
      <c r="E1099" s="4" t="inlineStr">
        <is>
          <t>dev(OOF)</t>
        </is>
      </c>
      <c r="F1099" s="10" t="n">
        <v>31</v>
      </c>
      <c r="G1099" s="10" t="n">
        <v>31.63509493008078</v>
      </c>
      <c r="H1099" s="10" t="n">
        <v>7.258159052458835</v>
      </c>
      <c r="I1099" s="10">
        <f>G1099-1.96*H1099</f>
        <v/>
      </c>
      <c r="J1099" s="10">
        <f>G1099+1.96*H1099</f>
        <v/>
      </c>
      <c r="K1099" s="10">
        <f>G1099-F1099</f>
        <v/>
      </c>
      <c r="L1099" s="4">
        <f>IF(AND(F1099&gt;=I1099,F1099&lt;=J1099),1,0)</f>
        <v/>
      </c>
    </row>
    <row r="1100">
      <c r="A1100" s="4" t="inlineStr">
        <is>
          <t>compression_set_pct</t>
        </is>
      </c>
      <c r="B1100" s="4" t="inlineStr">
        <is>
          <t>G003</t>
        </is>
      </c>
      <c r="C1100" s="4" t="inlineStr">
        <is>
          <t>US7678858B2</t>
        </is>
      </c>
      <c r="D1100" s="4" t="inlineStr">
        <is>
          <t>Example 3</t>
        </is>
      </c>
      <c r="E1100" s="4" t="inlineStr">
        <is>
          <t>dev(OOF)</t>
        </is>
      </c>
      <c r="F1100" s="10" t="n">
        <v>21</v>
      </c>
      <c r="G1100" s="10" t="n">
        <v>23.20560839873646</v>
      </c>
      <c r="H1100" s="10" t="n">
        <v>5.01506195749131</v>
      </c>
      <c r="I1100" s="10">
        <f>G1100-1.96*H1100</f>
        <v/>
      </c>
      <c r="J1100" s="10">
        <f>G1100+1.96*H1100</f>
        <v/>
      </c>
      <c r="K1100" s="10">
        <f>G1100-F1100</f>
        <v/>
      </c>
      <c r="L1100" s="4">
        <f>IF(AND(F1100&gt;=I1100,F1100&lt;=J1100),1,0)</f>
        <v/>
      </c>
    </row>
    <row r="1101">
      <c r="A1101" s="4" t="inlineStr">
        <is>
          <t>compression_set_pct</t>
        </is>
      </c>
      <c r="B1101" s="4" t="inlineStr">
        <is>
          <t>G058</t>
        </is>
      </c>
      <c r="C1101" s="4" t="inlineStr">
        <is>
          <t>US11753523B2</t>
        </is>
      </c>
      <c r="D1101" s="4" t="inlineStr">
        <is>
          <t>Comparative Example 1</t>
        </is>
      </c>
      <c r="E1101" s="4" t="inlineStr">
        <is>
          <t>dev(OOF)</t>
        </is>
      </c>
      <c r="F1101" s="10" t="n">
        <v>43</v>
      </c>
      <c r="G1101" s="10" t="n">
        <v>42.3704398584799</v>
      </c>
      <c r="H1101" s="10" t="n">
        <v>13.14158878069935</v>
      </c>
      <c r="I1101" s="10">
        <f>G1101-1.96*H1101</f>
        <v/>
      </c>
      <c r="J1101" s="10">
        <f>G1101+1.96*H1101</f>
        <v/>
      </c>
      <c r="K1101" s="10">
        <f>G1101-F1101</f>
        <v/>
      </c>
      <c r="L1101" s="4">
        <f>IF(AND(F1101&gt;=I1101,F1101&lt;=J1101),1,0)</f>
        <v/>
      </c>
    </row>
    <row r="1102">
      <c r="A1102" s="4" t="inlineStr">
        <is>
          <t>compression_set_pct</t>
        </is>
      </c>
      <c r="B1102" s="4" t="inlineStr">
        <is>
          <t>G050</t>
        </is>
      </c>
      <c r="C1102" s="4" t="inlineStr">
        <is>
          <t>US8211964B2</t>
        </is>
      </c>
      <c r="D1102" s="4" t="inlineStr">
        <is>
          <t>Comparative Example 2</t>
        </is>
      </c>
      <c r="E1102" s="4" t="inlineStr">
        <is>
          <t>dev(OOF)</t>
        </is>
      </c>
      <c r="F1102" s="10" t="n">
        <v>72</v>
      </c>
      <c r="G1102" s="10" t="n">
        <v>51.6327021201851</v>
      </c>
      <c r="H1102" s="10" t="n">
        <v>13.58664011686869</v>
      </c>
      <c r="I1102" s="10">
        <f>G1102-1.96*H1102</f>
        <v/>
      </c>
      <c r="J1102" s="10">
        <f>G1102+1.96*H1102</f>
        <v/>
      </c>
      <c r="K1102" s="10">
        <f>G1102-F1102</f>
        <v/>
      </c>
      <c r="L1102" s="4">
        <f>IF(AND(F1102&gt;=I1102,F1102&lt;=J1102),1,0)</f>
        <v/>
      </c>
    </row>
    <row r="1103">
      <c r="A1103" s="4" t="inlineStr">
        <is>
          <t>compression_set_pct</t>
        </is>
      </c>
      <c r="B1103" s="4" t="inlineStr">
        <is>
          <t>G065</t>
        </is>
      </c>
      <c r="C1103" s="4" t="inlineStr">
        <is>
          <t>US11753523B2</t>
        </is>
      </c>
      <c r="D1103" s="4" t="inlineStr">
        <is>
          <t>Comparative Example 8</t>
        </is>
      </c>
      <c r="E1103" s="4" t="inlineStr">
        <is>
          <t>dev(OOF)</t>
        </is>
      </c>
      <c r="F1103" s="10" t="n">
        <v>37</v>
      </c>
      <c r="G1103" s="10" t="n">
        <v>63.17809159642152</v>
      </c>
      <c r="H1103" s="10" t="n">
        <v>15.61240714814488</v>
      </c>
      <c r="I1103" s="10">
        <f>G1103-1.96*H1103</f>
        <v/>
      </c>
      <c r="J1103" s="10">
        <f>G1103+1.96*H1103</f>
        <v/>
      </c>
      <c r="K1103" s="10">
        <f>G1103-F1103</f>
        <v/>
      </c>
      <c r="L1103" s="4">
        <f>IF(AND(F1103&gt;=I1103,F1103&lt;=J1103),1,0)</f>
        <v/>
      </c>
    </row>
    <row r="1104">
      <c r="A1104" s="4" t="inlineStr">
        <is>
          <t>compression_set_pct</t>
        </is>
      </c>
      <c r="B1104" s="4" t="inlineStr">
        <is>
          <t>G107</t>
        </is>
      </c>
      <c r="C1104" s="4" t="inlineStr">
        <is>
          <t>US6992143B2</t>
        </is>
      </c>
      <c r="D1104" s="4" t="inlineStr">
        <is>
          <t>Control Example 1</t>
        </is>
      </c>
      <c r="E1104" s="4" t="inlineStr">
        <is>
          <t>dev(OOF)</t>
        </is>
      </c>
      <c r="F1104" s="10" t="n">
        <v>39</v>
      </c>
      <c r="G1104" s="10" t="n">
        <v>43.62744057483994</v>
      </c>
      <c r="H1104" s="10" t="n">
        <v>10.89709120100503</v>
      </c>
      <c r="I1104" s="10">
        <f>G1104-1.96*H1104</f>
        <v/>
      </c>
      <c r="J1104" s="10">
        <f>G1104+1.96*H1104</f>
        <v/>
      </c>
      <c r="K1104" s="10">
        <f>G1104-F1104</f>
        <v/>
      </c>
      <c r="L1104" s="4">
        <f>IF(AND(F1104&gt;=I1104,F1104&lt;=J1104),1,0)</f>
        <v/>
      </c>
    </row>
    <row r="1105">
      <c r="A1105" s="4" t="inlineStr">
        <is>
          <t>compression_set_pct</t>
        </is>
      </c>
      <c r="B1105" s="4" t="inlineStr">
        <is>
          <t>G124</t>
        </is>
      </c>
      <c r="C1105" s="4" t="inlineStr">
        <is>
          <t>US5696189A</t>
        </is>
      </c>
      <c r="D1105" s="4" t="inlineStr">
        <is>
          <t>Example 7</t>
        </is>
      </c>
      <c r="E1105" s="4" t="inlineStr">
        <is>
          <t>dev(OOF)</t>
        </is>
      </c>
      <c r="F1105" s="10" t="n">
        <v>41.4</v>
      </c>
      <c r="G1105" s="10" t="n">
        <v>25.83404994648287</v>
      </c>
      <c r="H1105" s="10" t="n">
        <v>13.93894816034467</v>
      </c>
      <c r="I1105" s="10">
        <f>G1105-1.96*H1105</f>
        <v/>
      </c>
      <c r="J1105" s="10">
        <f>G1105+1.96*H1105</f>
        <v/>
      </c>
      <c r="K1105" s="10">
        <f>G1105-F1105</f>
        <v/>
      </c>
      <c r="L1105" s="4">
        <f>IF(AND(F1105&gt;=I1105,F1105&lt;=J1105),1,0)</f>
        <v/>
      </c>
    </row>
    <row r="1106">
      <c r="A1106" s="4" t="inlineStr">
        <is>
          <t>compression_set_pct</t>
        </is>
      </c>
      <c r="B1106" s="4" t="inlineStr">
        <is>
          <t>G090</t>
        </is>
      </c>
      <c r="C1106" s="4" t="inlineStr">
        <is>
          <t>US8367776B2</t>
        </is>
      </c>
      <c r="D1106" s="4" t="inlineStr">
        <is>
          <t>Example 8</t>
        </is>
      </c>
      <c r="E1106" s="4" t="inlineStr">
        <is>
          <t>dev(OOF)</t>
        </is>
      </c>
      <c r="F1106" s="10" t="n">
        <v>20.3</v>
      </c>
      <c r="G1106" s="10" t="n">
        <v>19.62677196192327</v>
      </c>
      <c r="H1106" s="10" t="n">
        <v>4.248592276219489</v>
      </c>
      <c r="I1106" s="10">
        <f>G1106-1.96*H1106</f>
        <v/>
      </c>
      <c r="J1106" s="10">
        <f>G1106+1.96*H1106</f>
        <v/>
      </c>
      <c r="K1106" s="10">
        <f>G1106-F1106</f>
        <v/>
      </c>
      <c r="L1106" s="4">
        <f>IF(AND(F1106&gt;=I1106,F1106&lt;=J1106),1,0)</f>
        <v/>
      </c>
    </row>
    <row r="1107">
      <c r="A1107" s="4" t="inlineStr">
        <is>
          <t>compression_set_pct</t>
        </is>
      </c>
      <c r="B1107" s="4" t="inlineStr">
        <is>
          <t>G138</t>
        </is>
      </c>
      <c r="C1107" s="4" t="inlineStr">
        <is>
          <t>US7247749B2</t>
        </is>
      </c>
      <c r="D1107" s="4" t="inlineStr">
        <is>
          <t>Sample 14</t>
        </is>
      </c>
      <c r="E1107" s="4" t="inlineStr">
        <is>
          <t>dev(OOF)</t>
        </is>
      </c>
      <c r="F1107" s="10" t="n">
        <v>17</v>
      </c>
      <c r="G1107" s="10" t="n">
        <v>9.383280971843153</v>
      </c>
      <c r="H1107" s="10" t="n">
        <v>3.500936896221303</v>
      </c>
      <c r="I1107" s="10">
        <f>G1107-1.96*H1107</f>
        <v/>
      </c>
      <c r="J1107" s="10">
        <f>G1107+1.96*H1107</f>
        <v/>
      </c>
      <c r="K1107" s="10">
        <f>G1107-F1107</f>
        <v/>
      </c>
      <c r="L1107" s="4">
        <f>IF(AND(F1107&gt;=I1107,F1107&lt;=J1107),1,0)</f>
        <v/>
      </c>
    </row>
    <row r="1108">
      <c r="A1108" s="4" t="inlineStr">
        <is>
          <t>compression_set_pct</t>
        </is>
      </c>
      <c r="B1108" s="4" t="inlineStr">
        <is>
          <t>G148</t>
        </is>
      </c>
      <c r="C1108" s="4" t="inlineStr">
        <is>
          <t>US7247749B2</t>
        </is>
      </c>
      <c r="D1108" s="4" t="inlineStr">
        <is>
          <t>Sample 24</t>
        </is>
      </c>
      <c r="E1108" s="4" t="inlineStr">
        <is>
          <t>dev(OOF)</t>
        </is>
      </c>
      <c r="F1108" s="10" t="n">
        <v>20</v>
      </c>
      <c r="G1108" s="10" t="n">
        <v>18.06964106913121</v>
      </c>
      <c r="H1108" s="10" t="n">
        <v>4.650385957121063</v>
      </c>
      <c r="I1108" s="10">
        <f>G1108-1.96*H1108</f>
        <v/>
      </c>
      <c r="J1108" s="10">
        <f>G1108+1.96*H1108</f>
        <v/>
      </c>
      <c r="K1108" s="10">
        <f>G1108-F1108</f>
        <v/>
      </c>
      <c r="L1108" s="4">
        <f>IF(AND(F1108&gt;=I1108,F1108&lt;=J1108),1,0)</f>
        <v/>
      </c>
    </row>
    <row r="1109">
      <c r="A1109" s="4" t="inlineStr">
        <is>
          <t>compression_set_pct</t>
        </is>
      </c>
      <c r="B1109" s="4" t="inlineStr">
        <is>
          <t>G118</t>
        </is>
      </c>
      <c r="C1109" s="4" t="inlineStr">
        <is>
          <t>US5696189A</t>
        </is>
      </c>
      <c r="D1109" s="4" t="inlineStr">
        <is>
          <t>Example 1</t>
        </is>
      </c>
      <c r="E1109" s="4" t="inlineStr">
        <is>
          <t>dev(OOF)</t>
        </is>
      </c>
      <c r="F1109" s="10" t="n">
        <v>26</v>
      </c>
      <c r="G1109" s="10" t="n">
        <v>27.03597810009927</v>
      </c>
      <c r="H1109" s="10" t="n">
        <v>13.61938470876272</v>
      </c>
      <c r="I1109" s="10">
        <f>G1109-1.96*H1109</f>
        <v/>
      </c>
      <c r="J1109" s="10">
        <f>G1109+1.96*H1109</f>
        <v/>
      </c>
      <c r="K1109" s="10">
        <f>G1109-F1109</f>
        <v/>
      </c>
      <c r="L1109" s="4">
        <f>IF(AND(F1109&gt;=I1109,F1109&lt;=J1109),1,0)</f>
        <v/>
      </c>
    </row>
    <row r="1110">
      <c r="A1110" s="4" t="inlineStr">
        <is>
          <t>compression_set_pct</t>
        </is>
      </c>
      <c r="B1110" s="4" t="inlineStr">
        <is>
          <t>G209</t>
        </is>
      </c>
      <c r="C1110" s="4" t="inlineStr">
        <is>
          <t>US11118045B2</t>
        </is>
      </c>
      <c r="D1110" s="4" t="inlineStr">
        <is>
          <t>Example 6</t>
        </is>
      </c>
      <c r="E1110" s="4" t="inlineStr">
        <is>
          <t>dev(OOF)</t>
        </is>
      </c>
      <c r="F1110" s="10" t="n">
        <v>25</v>
      </c>
      <c r="G1110" s="10" t="n">
        <v>23.05975471933958</v>
      </c>
      <c r="H1110" s="10" t="n">
        <v>5.099964136870494</v>
      </c>
      <c r="I1110" s="10">
        <f>G1110-1.96*H1110</f>
        <v/>
      </c>
      <c r="J1110" s="10">
        <f>G1110+1.96*H1110</f>
        <v/>
      </c>
      <c r="K1110" s="10">
        <f>G1110-F1110</f>
        <v/>
      </c>
      <c r="L1110" s="4">
        <f>IF(AND(F1110&gt;=I1110,F1110&lt;=J1110),1,0)</f>
        <v/>
      </c>
    </row>
    <row r="1111">
      <c r="A1111" s="4" t="inlineStr">
        <is>
          <t>compression_set_pct</t>
        </is>
      </c>
      <c r="B1111" s="4" t="inlineStr">
        <is>
          <t>G226</t>
        </is>
      </c>
      <c r="C1111" s="4" t="inlineStr">
        <is>
          <t>US8349965B2</t>
        </is>
      </c>
      <c r="D1111" s="4" t="inlineStr">
        <is>
          <t>Example 3</t>
        </is>
      </c>
      <c r="E1111" s="4" t="inlineStr">
        <is>
          <t>dev(OOF)</t>
        </is>
      </c>
      <c r="F1111" s="10" t="n">
        <v>29</v>
      </c>
      <c r="G1111" s="10" t="n">
        <v>30.94109667087086</v>
      </c>
      <c r="H1111" s="10" t="n">
        <v>5.980180115353742</v>
      </c>
      <c r="I1111" s="10">
        <f>G1111-1.96*H1111</f>
        <v/>
      </c>
      <c r="J1111" s="10">
        <f>G1111+1.96*H1111</f>
        <v/>
      </c>
      <c r="K1111" s="10">
        <f>G1111-F1111</f>
        <v/>
      </c>
      <c r="L1111" s="4">
        <f>IF(AND(F1111&gt;=I1111,F1111&lt;=J1111),1,0)</f>
        <v/>
      </c>
    </row>
    <row r="1112">
      <c r="A1112" s="4" t="inlineStr">
        <is>
          <t>compression_set_pct</t>
        </is>
      </c>
      <c r="B1112" s="4" t="inlineStr">
        <is>
          <t>G060</t>
        </is>
      </c>
      <c r="C1112" s="4" t="inlineStr">
        <is>
          <t>US11753523B2</t>
        </is>
      </c>
      <c r="D1112" s="4" t="inlineStr">
        <is>
          <t>Comparative Example 3</t>
        </is>
      </c>
      <c r="E1112" s="4" t="inlineStr">
        <is>
          <t>dev(OOF)</t>
        </is>
      </c>
      <c r="F1112" s="10" t="n">
        <v>55</v>
      </c>
      <c r="G1112" s="10" t="n">
        <v>36.7394489975182</v>
      </c>
      <c r="H1112" s="10" t="n">
        <v>10.53680921990715</v>
      </c>
      <c r="I1112" s="10">
        <f>G1112-1.96*H1112</f>
        <v/>
      </c>
      <c r="J1112" s="10">
        <f>G1112+1.96*H1112</f>
        <v/>
      </c>
      <c r="K1112" s="10">
        <f>G1112-F1112</f>
        <v/>
      </c>
      <c r="L1112" s="4">
        <f>IF(AND(F1112&gt;=I1112,F1112&lt;=J1112),1,0)</f>
        <v/>
      </c>
    </row>
    <row r="1113">
      <c r="A1113" s="4" t="inlineStr">
        <is>
          <t>compression_set_pct</t>
        </is>
      </c>
      <c r="B1113" s="4" t="inlineStr">
        <is>
          <t>G198</t>
        </is>
      </c>
      <c r="C1113" s="4" t="inlineStr">
        <is>
          <t>US20160319102A1</t>
        </is>
      </c>
      <c r="D1113" s="4" t="inlineStr">
        <is>
          <t>Comparative Example 3</t>
        </is>
      </c>
      <c r="E1113" s="4" t="inlineStr">
        <is>
          <t>dev(OOF)</t>
        </is>
      </c>
      <c r="F1113" s="10" t="n">
        <v>21</v>
      </c>
      <c r="G1113" s="10" t="n">
        <v>20.96636386271614</v>
      </c>
      <c r="H1113" s="10" t="n">
        <v>5.91828631711461</v>
      </c>
      <c r="I1113" s="10">
        <f>G1113-1.96*H1113</f>
        <v/>
      </c>
      <c r="J1113" s="10">
        <f>G1113+1.96*H1113</f>
        <v/>
      </c>
      <c r="K1113" s="10">
        <f>G1113-F1113</f>
        <v/>
      </c>
      <c r="L1113" s="4">
        <f>IF(AND(F1113&gt;=I1113,F1113&lt;=J1113),1,0)</f>
        <v/>
      </c>
    </row>
    <row r="1114">
      <c r="A1114" s="4" t="inlineStr">
        <is>
          <t>compression_set_pct</t>
        </is>
      </c>
      <c r="B1114" s="4" t="inlineStr">
        <is>
          <t>G012</t>
        </is>
      </c>
      <c r="C1114" s="4" t="inlineStr">
        <is>
          <t>US7678858B2</t>
        </is>
      </c>
      <c r="D1114" s="4" t="inlineStr">
        <is>
          <t>Example 11</t>
        </is>
      </c>
      <c r="E1114" s="4" t="inlineStr">
        <is>
          <t>dev(OOF)</t>
        </is>
      </c>
      <c r="F1114" s="10" t="n">
        <v>33</v>
      </c>
      <c r="G1114" s="10" t="n">
        <v>23.87630229143104</v>
      </c>
      <c r="H1114" s="10" t="n">
        <v>5.537685684222748</v>
      </c>
      <c r="I1114" s="10">
        <f>G1114-1.96*H1114</f>
        <v/>
      </c>
      <c r="J1114" s="10">
        <f>G1114+1.96*H1114</f>
        <v/>
      </c>
      <c r="K1114" s="10">
        <f>G1114-F1114</f>
        <v/>
      </c>
      <c r="L1114" s="4">
        <f>IF(AND(F1114&gt;=I1114,F1114&lt;=J1114),1,0)</f>
        <v/>
      </c>
    </row>
    <row r="1115">
      <c r="A1115" s="4" t="inlineStr">
        <is>
          <t>compression_set_pct</t>
        </is>
      </c>
      <c r="B1115" s="4" t="inlineStr">
        <is>
          <t>G164</t>
        </is>
      </c>
      <c r="C1115" s="4" t="inlineStr">
        <is>
          <t>US20050107544A1</t>
        </is>
      </c>
      <c r="D1115" s="4" t="inlineStr">
        <is>
          <t>Sample 1</t>
        </is>
      </c>
      <c r="E1115" s="4" t="inlineStr">
        <is>
          <t>dev(OOF)</t>
        </is>
      </c>
      <c r="F1115" s="10" t="n">
        <v>18</v>
      </c>
      <c r="G1115" s="10" t="n">
        <v>26.25773596868386</v>
      </c>
      <c r="H1115" s="10" t="n">
        <v>12.67127544048899</v>
      </c>
      <c r="I1115" s="10">
        <f>G1115-1.96*H1115</f>
        <v/>
      </c>
      <c r="J1115" s="10">
        <f>G1115+1.96*H1115</f>
        <v/>
      </c>
      <c r="K1115" s="10">
        <f>G1115-F1115</f>
        <v/>
      </c>
      <c r="L1115" s="4">
        <f>IF(AND(F1115&gt;=I1115,F1115&lt;=J1115),1,0)</f>
        <v/>
      </c>
    </row>
    <row r="1116">
      <c r="A1116" s="4" t="inlineStr">
        <is>
          <t>compression_set_pct</t>
        </is>
      </c>
      <c r="B1116" s="4" t="inlineStr">
        <is>
          <t>G264</t>
        </is>
      </c>
      <c r="C1116" s="4" t="inlineStr">
        <is>
          <t>US20230174763A1</t>
        </is>
      </c>
      <c r="D1116" s="4" t="inlineStr">
        <is>
          <t>Example 1</t>
        </is>
      </c>
      <c r="E1116" s="4" t="inlineStr">
        <is>
          <t>dev(OOF)</t>
        </is>
      </c>
      <c r="F1116" s="10" t="n">
        <v>15</v>
      </c>
      <c r="G1116" s="10" t="n">
        <v>25.5090264228982</v>
      </c>
      <c r="H1116" s="10" t="n">
        <v>8.223680930070039</v>
      </c>
      <c r="I1116" s="10">
        <f>G1116-1.96*H1116</f>
        <v/>
      </c>
      <c r="J1116" s="10">
        <f>G1116+1.96*H1116</f>
        <v/>
      </c>
      <c r="K1116" s="10">
        <f>G1116-F1116</f>
        <v/>
      </c>
      <c r="L1116" s="4">
        <f>IF(AND(F1116&gt;=I1116,F1116&lt;=J1116),1,0)</f>
        <v/>
      </c>
    </row>
    <row r="1117">
      <c r="A1117" s="4" t="inlineStr">
        <is>
          <t>compression_set_pct</t>
        </is>
      </c>
      <c r="B1117" s="4" t="inlineStr">
        <is>
          <t>G273</t>
        </is>
      </c>
      <c r="C1117" s="4" t="inlineStr">
        <is>
          <t>US20230174763A1</t>
        </is>
      </c>
      <c r="D1117" s="4" t="inlineStr">
        <is>
          <t>Example 6</t>
        </is>
      </c>
      <c r="E1117" s="4" t="inlineStr">
        <is>
          <t>dev(OOF)</t>
        </is>
      </c>
      <c r="F1117" s="10" t="n">
        <v>21</v>
      </c>
      <c r="G1117" s="10" t="n">
        <v>24.20171039693223</v>
      </c>
      <c r="H1117" s="10" t="n">
        <v>12.2786276643998</v>
      </c>
      <c r="I1117" s="10">
        <f>G1117-1.96*H1117</f>
        <v/>
      </c>
      <c r="J1117" s="10">
        <f>G1117+1.96*H1117</f>
        <v/>
      </c>
      <c r="K1117" s="10">
        <f>G1117-F1117</f>
        <v/>
      </c>
      <c r="L1117" s="4">
        <f>IF(AND(F1117&gt;=I1117,F1117&lt;=J1117),1,0)</f>
        <v/>
      </c>
    </row>
    <row r="1118">
      <c r="A1118" s="4" t="inlineStr">
        <is>
          <t>compression_set_pct</t>
        </is>
      </c>
      <c r="B1118" s="4" t="inlineStr">
        <is>
          <t>G064</t>
        </is>
      </c>
      <c r="C1118" s="4" t="inlineStr">
        <is>
          <t>US11753523B2</t>
        </is>
      </c>
      <c r="D1118" s="4" t="inlineStr">
        <is>
          <t>Comparative Example 7</t>
        </is>
      </c>
      <c r="E1118" s="4" t="inlineStr">
        <is>
          <t>dev(OOF)</t>
        </is>
      </c>
      <c r="F1118" s="10" t="n">
        <v>70</v>
      </c>
      <c r="G1118" s="10" t="n">
        <v>32.47526258363157</v>
      </c>
      <c r="H1118" s="10" t="n">
        <v>8.347836101535838</v>
      </c>
      <c r="I1118" s="10">
        <f>G1118-1.96*H1118</f>
        <v/>
      </c>
      <c r="J1118" s="10">
        <f>G1118+1.96*H1118</f>
        <v/>
      </c>
      <c r="K1118" s="10">
        <f>G1118-F1118</f>
        <v/>
      </c>
      <c r="L1118" s="4">
        <f>IF(AND(F1118&gt;=I1118,F1118&lt;=J1118),1,0)</f>
        <v/>
      </c>
    </row>
    <row r="1119">
      <c r="A1119" s="4" t="inlineStr">
        <is>
          <t>compression_set_pct</t>
        </is>
      </c>
      <c r="B1119" s="4" t="inlineStr">
        <is>
          <t>G154</t>
        </is>
      </c>
      <c r="C1119" s="4" t="inlineStr">
        <is>
          <t>US7247749B2</t>
        </is>
      </c>
      <c r="D1119" s="4" t="inlineStr">
        <is>
          <t>Sample 34</t>
        </is>
      </c>
      <c r="E1119" s="4" t="inlineStr">
        <is>
          <t>dev(OOF)</t>
        </is>
      </c>
      <c r="F1119" s="10" t="n">
        <v>28.57</v>
      </c>
      <c r="G1119" s="10" t="n">
        <v>12.67822535749209</v>
      </c>
      <c r="H1119" s="10" t="n">
        <v>5.384608228637826</v>
      </c>
      <c r="I1119" s="10">
        <f>G1119-1.96*H1119</f>
        <v/>
      </c>
      <c r="J1119" s="10">
        <f>G1119+1.96*H1119</f>
        <v/>
      </c>
      <c r="K1119" s="10">
        <f>G1119-F1119</f>
        <v/>
      </c>
      <c r="L1119" s="4">
        <f>IF(AND(F1119&gt;=I1119,F1119&lt;=J1119),1,0)</f>
        <v/>
      </c>
    </row>
    <row r="1120">
      <c r="A1120" s="4" t="inlineStr">
        <is>
          <t>compression_set_pct</t>
        </is>
      </c>
      <c r="B1120" s="4" t="inlineStr">
        <is>
          <t>G095</t>
        </is>
      </c>
      <c r="C1120" s="4" t="inlineStr">
        <is>
          <t>US8367776B2</t>
        </is>
      </c>
      <c r="D1120" s="4" t="inlineStr">
        <is>
          <t>Example 13</t>
        </is>
      </c>
      <c r="E1120" s="4" t="inlineStr">
        <is>
          <t>dev(OOF)</t>
        </is>
      </c>
      <c r="F1120" s="10" t="n">
        <v>17.1</v>
      </c>
      <c r="G1120" s="10" t="n">
        <v>25.92956946041284</v>
      </c>
      <c r="H1120" s="10" t="n">
        <v>6.154381050095038</v>
      </c>
      <c r="I1120" s="10">
        <f>G1120-1.96*H1120</f>
        <v/>
      </c>
      <c r="J1120" s="10">
        <f>G1120+1.96*H1120</f>
        <v/>
      </c>
      <c r="K1120" s="10">
        <f>G1120-F1120</f>
        <v/>
      </c>
      <c r="L1120" s="4">
        <f>IF(AND(F1120&gt;=I1120,F1120&lt;=J1120),1,0)</f>
        <v/>
      </c>
    </row>
    <row r="1121">
      <c r="A1121" s="4" t="inlineStr">
        <is>
          <t>compression_set_pct</t>
        </is>
      </c>
      <c r="B1121" s="4" t="inlineStr">
        <is>
          <t>G215</t>
        </is>
      </c>
      <c r="C1121" s="4" t="inlineStr">
        <is>
          <t>US11118045B2</t>
        </is>
      </c>
      <c r="D1121" s="4" t="inlineStr">
        <is>
          <t>Example 13</t>
        </is>
      </c>
      <c r="E1121" s="4" t="inlineStr">
        <is>
          <t>dev(OOF)</t>
        </is>
      </c>
      <c r="F1121" s="10" t="n">
        <v>29</v>
      </c>
      <c r="G1121" s="10" t="n">
        <v>21.39015848383466</v>
      </c>
      <c r="H1121" s="10" t="n">
        <v>4.853067655530324</v>
      </c>
      <c r="I1121" s="10">
        <f>G1121-1.96*H1121</f>
        <v/>
      </c>
      <c r="J1121" s="10">
        <f>G1121+1.96*H1121</f>
        <v/>
      </c>
      <c r="K1121" s="10">
        <f>G1121-F1121</f>
        <v/>
      </c>
      <c r="L1121" s="4">
        <f>IF(AND(F1121&gt;=I1121,F1121&lt;=J1121),1,0)</f>
        <v/>
      </c>
    </row>
    <row r="1122">
      <c r="A1122" s="4" t="inlineStr">
        <is>
          <t>compression_set_pct</t>
        </is>
      </c>
      <c r="B1122" s="4" t="inlineStr">
        <is>
          <t>G170</t>
        </is>
      </c>
      <c r="C1122" s="4" t="inlineStr">
        <is>
          <t>US20050107544A1</t>
        </is>
      </c>
      <c r="D1122" s="4" t="inlineStr">
        <is>
          <t>Comparative Example B</t>
        </is>
      </c>
      <c r="E1122" s="4" t="inlineStr">
        <is>
          <t>dev(OOF)</t>
        </is>
      </c>
      <c r="F1122" s="10" t="n">
        <v>21</v>
      </c>
      <c r="G1122" s="10" t="n">
        <v>33.04237938034497</v>
      </c>
      <c r="H1122" s="10" t="n">
        <v>8.884010071279748</v>
      </c>
      <c r="I1122" s="10">
        <f>G1122-1.96*H1122</f>
        <v/>
      </c>
      <c r="J1122" s="10">
        <f>G1122+1.96*H1122</f>
        <v/>
      </c>
      <c r="K1122" s="10">
        <f>G1122-F1122</f>
        <v/>
      </c>
      <c r="L1122" s="4">
        <f>IF(AND(F1122&gt;=I1122,F1122&lt;=J1122),1,0)</f>
        <v/>
      </c>
    </row>
    <row r="1123">
      <c r="A1123" s="4" t="inlineStr">
        <is>
          <t>compression_set_pct</t>
        </is>
      </c>
      <c r="B1123" s="4" t="inlineStr">
        <is>
          <t>G291</t>
        </is>
      </c>
      <c r="C1123" s="4" t="inlineStr">
        <is>
          <t>EP4249550A1</t>
        </is>
      </c>
      <c r="D1123" s="4" t="inlineStr">
        <is>
          <t>Example 2</t>
        </is>
      </c>
      <c r="E1123" s="4" t="inlineStr">
        <is>
          <t>dev(OOF)</t>
        </is>
      </c>
      <c r="F1123" s="10" t="n">
        <v>32</v>
      </c>
      <c r="G1123" s="10" t="n">
        <v>30.18347172863056</v>
      </c>
      <c r="H1123" s="10" t="n">
        <v>6.379656091519552</v>
      </c>
      <c r="I1123" s="10">
        <f>G1123-1.96*H1123</f>
        <v/>
      </c>
      <c r="J1123" s="10">
        <f>G1123+1.96*H1123</f>
        <v/>
      </c>
      <c r="K1123" s="10">
        <f>G1123-F1123</f>
        <v/>
      </c>
      <c r="L1123" s="4">
        <f>IF(AND(F1123&gt;=I1123,F1123&lt;=J1123),1,0)</f>
        <v/>
      </c>
    </row>
    <row r="1124">
      <c r="A1124" s="4" t="inlineStr">
        <is>
          <t>compression_set_pct</t>
        </is>
      </c>
      <c r="B1124" s="4" t="inlineStr">
        <is>
          <t>G098</t>
        </is>
      </c>
      <c r="C1124" s="4" t="inlineStr">
        <is>
          <t>US7354974B2</t>
        </is>
      </c>
      <c r="D1124" s="4" t="inlineStr">
        <is>
          <t>Example 2</t>
        </is>
      </c>
      <c r="E1124" s="4" t="inlineStr">
        <is>
          <t>dev(OOF)</t>
        </is>
      </c>
      <c r="F1124" s="10" t="n">
        <v>38</v>
      </c>
      <c r="G1124" s="10" t="n">
        <v>43.95167229208147</v>
      </c>
      <c r="H1124" s="10" t="n">
        <v>10.74004153101086</v>
      </c>
      <c r="I1124" s="10">
        <f>G1124-1.96*H1124</f>
        <v/>
      </c>
      <c r="J1124" s="10">
        <f>G1124+1.96*H1124</f>
        <v/>
      </c>
      <c r="K1124" s="10">
        <f>G1124-F1124</f>
        <v/>
      </c>
      <c r="L1124" s="4">
        <f>IF(AND(F1124&gt;=I1124,F1124&lt;=J1124),1,0)</f>
        <v/>
      </c>
    </row>
    <row r="1125">
      <c r="A1125" s="4" t="inlineStr">
        <is>
          <t>compression_set_pct</t>
        </is>
      </c>
      <c r="B1125" s="4" t="inlineStr">
        <is>
          <t>G193</t>
        </is>
      </c>
      <c r="C1125" s="4" t="inlineStr">
        <is>
          <t>US20160319102A1</t>
        </is>
      </c>
      <c r="D1125" s="4" t="inlineStr">
        <is>
          <t>Example 4</t>
        </is>
      </c>
      <c r="E1125" s="4" t="inlineStr">
        <is>
          <t>dev(OOF)</t>
        </is>
      </c>
      <c r="F1125" s="10" t="n">
        <v>26</v>
      </c>
      <c r="G1125" s="10" t="n">
        <v>25.16641439045754</v>
      </c>
      <c r="H1125" s="10" t="n">
        <v>7.639198082681573</v>
      </c>
      <c r="I1125" s="10">
        <f>G1125-1.96*H1125</f>
        <v/>
      </c>
      <c r="J1125" s="10">
        <f>G1125+1.96*H1125</f>
        <v/>
      </c>
      <c r="K1125" s="10">
        <f>G1125-F1125</f>
        <v/>
      </c>
      <c r="L1125" s="4">
        <f>IF(AND(F1125&gt;=I1125,F1125&lt;=J1125),1,0)</f>
        <v/>
      </c>
    </row>
    <row r="1126">
      <c r="A1126" s="4" t="inlineStr">
        <is>
          <t>compression_set_pct</t>
        </is>
      </c>
      <c r="B1126" s="4" t="inlineStr">
        <is>
          <t>G052</t>
        </is>
      </c>
      <c r="C1126" s="4" t="inlineStr">
        <is>
          <t>US8211964B2</t>
        </is>
      </c>
      <c r="D1126" s="4" t="inlineStr">
        <is>
          <t>Comparative Example 3</t>
        </is>
      </c>
      <c r="E1126" s="4" t="inlineStr">
        <is>
          <t>dev(OOF)</t>
        </is>
      </c>
      <c r="F1126" s="10" t="n">
        <v>30</v>
      </c>
      <c r="G1126" s="10" t="n">
        <v>26.95143813754596</v>
      </c>
      <c r="H1126" s="10" t="n">
        <v>7.354359223494391</v>
      </c>
      <c r="I1126" s="10">
        <f>G1126-1.96*H1126</f>
        <v/>
      </c>
      <c r="J1126" s="10">
        <f>G1126+1.96*H1126</f>
        <v/>
      </c>
      <c r="K1126" s="10">
        <f>G1126-F1126</f>
        <v/>
      </c>
      <c r="L1126" s="4">
        <f>IF(AND(F1126&gt;=I1126,F1126&lt;=J1126),1,0)</f>
        <v/>
      </c>
    </row>
    <row r="1127">
      <c r="A1127" s="4" t="inlineStr">
        <is>
          <t>compression_set_pct</t>
        </is>
      </c>
      <c r="B1127" s="4" t="inlineStr">
        <is>
          <t>G333</t>
        </is>
      </c>
      <c r="C1127" s="4" t="inlineStr">
        <is>
          <t>KR101467101B1</t>
        </is>
      </c>
      <c r="D1127" s="4" t="inlineStr">
        <is>
          <t>Example 3</t>
        </is>
      </c>
      <c r="E1127" s="4" t="inlineStr">
        <is>
          <t>dev(OOF)</t>
        </is>
      </c>
      <c r="F1127" s="10" t="n">
        <v>21.96</v>
      </c>
      <c r="G1127" s="10" t="n">
        <v>26.37305550876531</v>
      </c>
      <c r="H1127" s="10" t="n">
        <v>12.64485495082287</v>
      </c>
      <c r="I1127" s="10">
        <f>G1127-1.96*H1127</f>
        <v/>
      </c>
      <c r="J1127" s="10">
        <f>G1127+1.96*H1127</f>
        <v/>
      </c>
      <c r="K1127" s="10">
        <f>G1127-F1127</f>
        <v/>
      </c>
      <c r="L1127" s="4">
        <f>IF(AND(F1127&gt;=I1127,F1127&lt;=J1127),1,0)</f>
        <v/>
      </c>
    </row>
    <row r="1128">
      <c r="A1128" s="4" t="inlineStr">
        <is>
          <t>compression_set_pct</t>
        </is>
      </c>
      <c r="B1128" s="4" t="inlineStr">
        <is>
          <t>G061</t>
        </is>
      </c>
      <c r="C1128" s="4" t="inlineStr">
        <is>
          <t>US11753523B2</t>
        </is>
      </c>
      <c r="D1128" s="4" t="inlineStr">
        <is>
          <t>Comparative Example 4</t>
        </is>
      </c>
      <c r="E1128" s="4" t="inlineStr">
        <is>
          <t>dev(OOF)</t>
        </is>
      </c>
      <c r="F1128" s="10" t="n">
        <v>67</v>
      </c>
      <c r="G1128" s="10" t="n">
        <v>44.81919066689951</v>
      </c>
      <c r="H1128" s="10" t="n">
        <v>10.53940193834589</v>
      </c>
      <c r="I1128" s="10">
        <f>G1128-1.96*H1128</f>
        <v/>
      </c>
      <c r="J1128" s="10">
        <f>G1128+1.96*H1128</f>
        <v/>
      </c>
      <c r="K1128" s="10">
        <f>G1128-F1128</f>
        <v/>
      </c>
      <c r="L1128" s="4">
        <f>IF(AND(F1128&gt;=I1128,F1128&lt;=J1128),1,0)</f>
        <v/>
      </c>
    </row>
    <row r="1129">
      <c r="A1129" s="4" t="inlineStr">
        <is>
          <t>compression_set_pct</t>
        </is>
      </c>
      <c r="B1129" s="4" t="inlineStr">
        <is>
          <t>G156</t>
        </is>
      </c>
      <c r="C1129" s="4" t="inlineStr">
        <is>
          <t>US7402630B2</t>
        </is>
      </c>
      <c r="D1129" s="4" t="inlineStr">
        <is>
          <t>Example 8</t>
        </is>
      </c>
      <c r="E1129" s="4" t="inlineStr">
        <is>
          <t>dev(OOF)</t>
        </is>
      </c>
      <c r="F1129" s="10" t="n">
        <v>31</v>
      </c>
      <c r="G1129" s="10" t="n">
        <v>23.40050519564913</v>
      </c>
      <c r="H1129" s="10" t="n">
        <v>8.432891654838951</v>
      </c>
      <c r="I1129" s="10">
        <f>G1129-1.96*H1129</f>
        <v/>
      </c>
      <c r="J1129" s="10">
        <f>G1129+1.96*H1129</f>
        <v/>
      </c>
      <c r="K1129" s="10">
        <f>G1129-F1129</f>
        <v/>
      </c>
      <c r="L1129" s="4">
        <f>IF(AND(F1129&gt;=I1129,F1129&lt;=J1129),1,0)</f>
        <v/>
      </c>
    </row>
    <row r="1130">
      <c r="A1130" s="4" t="inlineStr">
        <is>
          <t>compression_set_pct</t>
        </is>
      </c>
      <c r="B1130" s="4" t="inlineStr">
        <is>
          <t>G180</t>
        </is>
      </c>
      <c r="C1130" s="4" t="inlineStr">
        <is>
          <t>US6281296B1</t>
        </is>
      </c>
      <c r="D1130" s="4" t="inlineStr">
        <is>
          <t>Example 3</t>
        </is>
      </c>
      <c r="E1130" s="4" t="inlineStr">
        <is>
          <t>dev(OOF)</t>
        </is>
      </c>
      <c r="F1130" s="10" t="n">
        <v>13</v>
      </c>
      <c r="G1130" s="10" t="n">
        <v>9.833708300389263</v>
      </c>
      <c r="H1130" s="10" t="n">
        <v>2.326352996303378</v>
      </c>
      <c r="I1130" s="10">
        <f>G1130-1.96*H1130</f>
        <v/>
      </c>
      <c r="J1130" s="10">
        <f>G1130+1.96*H1130</f>
        <v/>
      </c>
      <c r="K1130" s="10">
        <f>G1130-F1130</f>
        <v/>
      </c>
      <c r="L1130" s="4">
        <f>IF(AND(F1130&gt;=I1130,F1130&lt;=J1130),1,0)</f>
        <v/>
      </c>
    </row>
    <row r="1131">
      <c r="A1131" s="4" t="inlineStr">
        <is>
          <t>compression_set_pct</t>
        </is>
      </c>
      <c r="B1131" s="4" t="inlineStr">
        <is>
          <t>G163</t>
        </is>
      </c>
      <c r="C1131" s="4" t="inlineStr">
        <is>
          <t>US6956085B2</t>
        </is>
      </c>
      <c r="D1131" s="4" t="inlineStr">
        <is>
          <t>Example 6</t>
        </is>
      </c>
      <c r="E1131" s="4" t="inlineStr">
        <is>
          <t>dev(OOF)</t>
        </is>
      </c>
      <c r="F1131" s="10" t="n">
        <v>45.3</v>
      </c>
      <c r="G1131" s="10" t="n">
        <v>24.52601810204171</v>
      </c>
      <c r="H1131" s="10" t="n">
        <v>11.62155981672367</v>
      </c>
      <c r="I1131" s="10">
        <f>G1131-1.96*H1131</f>
        <v/>
      </c>
      <c r="J1131" s="10">
        <f>G1131+1.96*H1131</f>
        <v/>
      </c>
      <c r="K1131" s="10">
        <f>G1131-F1131</f>
        <v/>
      </c>
      <c r="L1131" s="4">
        <f>IF(AND(F1131&gt;=I1131,F1131&lt;=J1131),1,0)</f>
        <v/>
      </c>
    </row>
    <row r="1132">
      <c r="A1132" s="4" t="inlineStr">
        <is>
          <t>compression_set_pct</t>
        </is>
      </c>
      <c r="B1132" s="4" t="inlineStr">
        <is>
          <t>G006</t>
        </is>
      </c>
      <c r="C1132" s="4" t="inlineStr">
        <is>
          <t>US7678858B2</t>
        </is>
      </c>
      <c r="D1132" s="4" t="inlineStr">
        <is>
          <t>Example 6</t>
        </is>
      </c>
      <c r="E1132" s="4" t="inlineStr">
        <is>
          <t>dev(OOF)</t>
        </is>
      </c>
      <c r="F1132" s="10" t="n">
        <v>28</v>
      </c>
      <c r="G1132" s="10" t="n">
        <v>23.20560839873646</v>
      </c>
      <c r="H1132" s="10" t="n">
        <v>5.01506195749131</v>
      </c>
      <c r="I1132" s="10">
        <f>G1132-1.96*H1132</f>
        <v/>
      </c>
      <c r="J1132" s="10">
        <f>G1132+1.96*H1132</f>
        <v/>
      </c>
      <c r="K1132" s="10">
        <f>G1132-F1132</f>
        <v/>
      </c>
      <c r="L1132" s="4">
        <f>IF(AND(F1132&gt;=I1132,F1132&lt;=J1132),1,0)</f>
        <v/>
      </c>
    </row>
    <row r="1133">
      <c r="A1133" s="4" t="inlineStr">
        <is>
          <t>compression_set_pct</t>
        </is>
      </c>
      <c r="B1133" s="4" t="inlineStr">
        <is>
          <t>G168</t>
        </is>
      </c>
      <c r="C1133" s="4" t="inlineStr">
        <is>
          <t>US20050107544A1</t>
        </is>
      </c>
      <c r="D1133" s="4" t="inlineStr">
        <is>
          <t>Sample 5</t>
        </is>
      </c>
      <c r="E1133" s="4" t="inlineStr">
        <is>
          <t>dev(OOF)</t>
        </is>
      </c>
      <c r="F1133" s="10" t="n">
        <v>33</v>
      </c>
      <c r="G1133" s="10" t="n">
        <v>27.8030485944617</v>
      </c>
      <c r="H1133" s="10" t="n">
        <v>13.91470235667132</v>
      </c>
      <c r="I1133" s="10">
        <f>G1133-1.96*H1133</f>
        <v/>
      </c>
      <c r="J1133" s="10">
        <f>G1133+1.96*H1133</f>
        <v/>
      </c>
      <c r="K1133" s="10">
        <f>G1133-F1133</f>
        <v/>
      </c>
      <c r="L1133" s="4">
        <f>IF(AND(F1133&gt;=I1133,F1133&lt;=J1133),1,0)</f>
        <v/>
      </c>
    </row>
    <row r="1134">
      <c r="A1134" s="4" t="inlineStr">
        <is>
          <t>compression_set_pct</t>
        </is>
      </c>
      <c r="B1134" s="4" t="inlineStr">
        <is>
          <t>G315</t>
        </is>
      </c>
      <c r="C1134" s="4" t="inlineStr">
        <is>
          <t>KR102400335B1</t>
        </is>
      </c>
      <c r="D1134" s="4" t="inlineStr">
        <is>
          <t>Example 1</t>
        </is>
      </c>
      <c r="E1134" s="4" t="inlineStr">
        <is>
          <t>dev(OOF)</t>
        </is>
      </c>
      <c r="F1134" s="10" t="n">
        <v>13</v>
      </c>
      <c r="G1134" s="10" t="n">
        <v>25.73160788403999</v>
      </c>
      <c r="H1134" s="10" t="n">
        <v>12.89215938229728</v>
      </c>
      <c r="I1134" s="10">
        <f>G1134-1.96*H1134</f>
        <v/>
      </c>
      <c r="J1134" s="10">
        <f>G1134+1.96*H1134</f>
        <v/>
      </c>
      <c r="K1134" s="10">
        <f>G1134-F1134</f>
        <v/>
      </c>
      <c r="L1134" s="4">
        <f>IF(AND(F1134&gt;=I1134,F1134&lt;=J1134),1,0)</f>
        <v/>
      </c>
    </row>
    <row r="1135">
      <c r="A1135" s="4" t="inlineStr">
        <is>
          <t>compression_set_pct</t>
        </is>
      </c>
      <c r="B1135" s="4" t="inlineStr">
        <is>
          <t>G266</t>
        </is>
      </c>
      <c r="C1135" s="4" t="inlineStr">
        <is>
          <t>US20230174763A1</t>
        </is>
      </c>
      <c r="D1135" s="4" t="inlineStr">
        <is>
          <t>Example 3</t>
        </is>
      </c>
      <c r="E1135" s="4" t="inlineStr">
        <is>
          <t>dev(OOF)</t>
        </is>
      </c>
      <c r="F1135" s="10" t="n">
        <v>23</v>
      </c>
      <c r="G1135" s="10" t="n">
        <v>17.88003969287178</v>
      </c>
      <c r="H1135" s="10" t="n">
        <v>5.281396760551924</v>
      </c>
      <c r="I1135" s="10">
        <f>G1135-1.96*H1135</f>
        <v/>
      </c>
      <c r="J1135" s="10">
        <f>G1135+1.96*H1135</f>
        <v/>
      </c>
      <c r="K1135" s="10">
        <f>G1135-F1135</f>
        <v/>
      </c>
      <c r="L1135" s="4">
        <f>IF(AND(F1135&gt;=I1135,F1135&lt;=J1135),1,0)</f>
        <v/>
      </c>
    </row>
    <row r="1136">
      <c r="A1136" s="4" t="inlineStr">
        <is>
          <t>compression_set_pct</t>
        </is>
      </c>
      <c r="B1136" s="4" t="inlineStr">
        <is>
          <t>G111</t>
        </is>
      </c>
      <c r="C1136" s="4" t="inlineStr">
        <is>
          <t>US6992143B2</t>
        </is>
      </c>
      <c r="D1136" s="4" t="inlineStr">
        <is>
          <t>Example 2</t>
        </is>
      </c>
      <c r="E1136" s="4" t="inlineStr">
        <is>
          <t>dev(OOF)</t>
        </is>
      </c>
      <c r="F1136" s="10" t="n">
        <v>35</v>
      </c>
      <c r="G1136" s="10" t="n">
        <v>48.32963414778048</v>
      </c>
      <c r="H1136" s="10" t="n">
        <v>12.90347966448746</v>
      </c>
      <c r="I1136" s="10">
        <f>G1136-1.96*H1136</f>
        <v/>
      </c>
      <c r="J1136" s="10">
        <f>G1136+1.96*H1136</f>
        <v/>
      </c>
      <c r="K1136" s="10">
        <f>G1136-F1136</f>
        <v/>
      </c>
      <c r="L1136" s="4">
        <f>IF(AND(F1136&gt;=I1136,F1136&lt;=J1136),1,0)</f>
        <v/>
      </c>
    </row>
    <row r="1137">
      <c r="A1137" s="4" t="inlineStr">
        <is>
          <t>compression_set_pct</t>
        </is>
      </c>
      <c r="B1137" s="4" t="inlineStr">
        <is>
          <t>G113</t>
        </is>
      </c>
      <c r="C1137" s="4" t="inlineStr">
        <is>
          <t>US6992143B2</t>
        </is>
      </c>
      <c r="D1137" s="4" t="inlineStr">
        <is>
          <t>Comparative Example A</t>
        </is>
      </c>
      <c r="E1137" s="4" t="inlineStr">
        <is>
          <t>dev(OOF)</t>
        </is>
      </c>
      <c r="F1137" s="10" t="n">
        <v>55</v>
      </c>
      <c r="G1137" s="10" t="n">
        <v>30.65345883050976</v>
      </c>
      <c r="H1137" s="10" t="n">
        <v>7.317775730594534</v>
      </c>
      <c r="I1137" s="10">
        <f>G1137-1.96*H1137</f>
        <v/>
      </c>
      <c r="J1137" s="10">
        <f>G1137+1.96*H1137</f>
        <v/>
      </c>
      <c r="K1137" s="10">
        <f>G1137-F1137</f>
        <v/>
      </c>
      <c r="L1137" s="4">
        <f>IF(AND(F1137&gt;=I1137,F1137&lt;=J1137),1,0)</f>
        <v/>
      </c>
    </row>
    <row r="1138">
      <c r="A1138" s="4" t="inlineStr">
        <is>
          <t>compression_set_pct</t>
        </is>
      </c>
      <c r="B1138" s="4" t="inlineStr">
        <is>
          <t>G116</t>
        </is>
      </c>
      <c r="C1138" s="4" t="inlineStr">
        <is>
          <t>US5696189A</t>
        </is>
      </c>
      <c r="D1138" s="4" t="inlineStr">
        <is>
          <t>Comparative Example A</t>
        </is>
      </c>
      <c r="E1138" s="4" t="inlineStr">
        <is>
          <t>dev(OOF)</t>
        </is>
      </c>
      <c r="F1138" s="10" t="n">
        <v>24.5</v>
      </c>
      <c r="G1138" s="10" t="n">
        <v>31.36458088537857</v>
      </c>
      <c r="H1138" s="10" t="n">
        <v>15.73252571053476</v>
      </c>
      <c r="I1138" s="10">
        <f>G1138-1.96*H1138</f>
        <v/>
      </c>
      <c r="J1138" s="10">
        <f>G1138+1.96*H1138</f>
        <v/>
      </c>
      <c r="K1138" s="10">
        <f>G1138-F1138</f>
        <v/>
      </c>
      <c r="L1138" s="4">
        <f>IF(AND(F1138&gt;=I1138,F1138&lt;=J1138),1,0)</f>
        <v/>
      </c>
    </row>
    <row r="1139">
      <c r="A1139" s="4" t="inlineStr">
        <is>
          <t>compression_set_pct</t>
        </is>
      </c>
      <c r="B1139" s="4" t="inlineStr">
        <is>
          <t>G322</t>
        </is>
      </c>
      <c r="C1139" s="4" t="inlineStr">
        <is>
          <t>KR101467101B1</t>
        </is>
      </c>
      <c r="D1139" s="4" t="inlineStr">
        <is>
          <t>Table 1 compound FFKM C</t>
        </is>
      </c>
      <c r="E1139" s="4" t="inlineStr">
        <is>
          <t>dev(OOF)</t>
        </is>
      </c>
      <c r="F1139" s="10" t="n">
        <v>18</v>
      </c>
      <c r="G1139" s="10" t="n">
        <v>25.88606184497212</v>
      </c>
      <c r="H1139" s="10" t="n">
        <v>13.9674360712303</v>
      </c>
      <c r="I1139" s="10">
        <f>G1139-1.96*H1139</f>
        <v/>
      </c>
      <c r="J1139" s="10">
        <f>G1139+1.96*H1139</f>
        <v/>
      </c>
      <c r="K1139" s="10">
        <f>G1139-F1139</f>
        <v/>
      </c>
      <c r="L1139" s="4">
        <f>IF(AND(F1139&gt;=I1139,F1139&lt;=J1139),1,0)</f>
        <v/>
      </c>
    </row>
    <row r="1140">
      <c r="A1140" s="4" t="inlineStr">
        <is>
          <t>compression_set_pct</t>
        </is>
      </c>
      <c r="B1140" s="4" t="inlineStr">
        <is>
          <t>G213</t>
        </is>
      </c>
      <c r="C1140" s="4" t="inlineStr">
        <is>
          <t>US11118045B2</t>
        </is>
      </c>
      <c r="D1140" s="4" t="inlineStr">
        <is>
          <t>Comparative Example 1</t>
        </is>
      </c>
      <c r="E1140" s="4" t="inlineStr">
        <is>
          <t>dev(OOF)</t>
        </is>
      </c>
      <c r="F1140" s="10" t="n">
        <v>18</v>
      </c>
      <c r="G1140" s="10" t="n">
        <v>23.40198183259518</v>
      </c>
      <c r="H1140" s="10" t="n">
        <v>5.314663955701284</v>
      </c>
      <c r="I1140" s="10">
        <f>G1140-1.96*H1140</f>
        <v/>
      </c>
      <c r="J1140" s="10">
        <f>G1140+1.96*H1140</f>
        <v/>
      </c>
      <c r="K1140" s="10">
        <f>G1140-F1140</f>
        <v/>
      </c>
      <c r="L1140" s="4">
        <f>IF(AND(F1140&gt;=I1140,F1140&lt;=J1140),1,0)</f>
        <v/>
      </c>
    </row>
    <row r="1141">
      <c r="A1141" s="4" t="inlineStr">
        <is>
          <t>compression_set_pct</t>
        </is>
      </c>
      <c r="B1141" s="4" t="inlineStr">
        <is>
          <t>G025</t>
        </is>
      </c>
      <c r="C1141" s="4" t="inlineStr">
        <is>
          <t>US6803402B2</t>
        </is>
      </c>
      <c r="D1141" s="4" t="inlineStr">
        <is>
          <t>Example 2</t>
        </is>
      </c>
      <c r="E1141" s="4" t="inlineStr">
        <is>
          <t>dev(OOF)</t>
        </is>
      </c>
      <c r="F1141" s="10" t="n">
        <v>20</v>
      </c>
      <c r="G1141" s="10" t="n">
        <v>17.88588795784888</v>
      </c>
      <c r="H1141" s="10" t="n">
        <v>3.996441326023047</v>
      </c>
      <c r="I1141" s="10">
        <f>G1141-1.96*H1141</f>
        <v/>
      </c>
      <c r="J1141" s="10">
        <f>G1141+1.96*H1141</f>
        <v/>
      </c>
      <c r="K1141" s="10">
        <f>G1141-F1141</f>
        <v/>
      </c>
      <c r="L1141" s="4">
        <f>IF(AND(F1141&gt;=I1141,F1141&lt;=J1141),1,0)</f>
        <v/>
      </c>
    </row>
    <row r="1142">
      <c r="A1142" s="4" t="inlineStr">
        <is>
          <t>compression_set_pct</t>
        </is>
      </c>
      <c r="B1142" s="4" t="inlineStr">
        <is>
          <t>G122</t>
        </is>
      </c>
      <c r="C1142" s="4" t="inlineStr">
        <is>
          <t>US5696189A</t>
        </is>
      </c>
      <c r="D1142" s="4" t="inlineStr">
        <is>
          <t>Example 5</t>
        </is>
      </c>
      <c r="E1142" s="4" t="inlineStr">
        <is>
          <t>dev(OOF)</t>
        </is>
      </c>
      <c r="F1142" s="10" t="n">
        <v>30.5</v>
      </c>
      <c r="G1142" s="10" t="n">
        <v>26.433323714186</v>
      </c>
      <c r="H1142" s="10" t="n">
        <v>13.91630006458257</v>
      </c>
      <c r="I1142" s="10">
        <f>G1142-1.96*H1142</f>
        <v/>
      </c>
      <c r="J1142" s="10">
        <f>G1142+1.96*H1142</f>
        <v/>
      </c>
      <c r="K1142" s="10">
        <f>G1142-F1142</f>
        <v/>
      </c>
      <c r="L1142" s="4">
        <f>IF(AND(F1142&gt;=I1142,F1142&lt;=J1142),1,0)</f>
        <v/>
      </c>
    </row>
    <row r="1143">
      <c r="A1143" s="4" t="inlineStr">
        <is>
          <t>compression_set_pct</t>
        </is>
      </c>
      <c r="B1143" s="4" t="inlineStr">
        <is>
          <t>G135</t>
        </is>
      </c>
      <c r="C1143" s="4" t="inlineStr">
        <is>
          <t>US7247749B2</t>
        </is>
      </c>
      <c r="D1143" s="4" t="inlineStr">
        <is>
          <t>Comparative Sample 11</t>
        </is>
      </c>
      <c r="E1143" s="4" t="inlineStr">
        <is>
          <t>dev(OOF)</t>
        </is>
      </c>
      <c r="F1143" s="10" t="n">
        <v>16</v>
      </c>
      <c r="G1143" s="10" t="n">
        <v>24.26995923527914</v>
      </c>
      <c r="H1143" s="10" t="n">
        <v>5.950649897602943</v>
      </c>
      <c r="I1143" s="10">
        <f>G1143-1.96*H1143</f>
        <v/>
      </c>
      <c r="J1143" s="10">
        <f>G1143+1.96*H1143</f>
        <v/>
      </c>
      <c r="K1143" s="10">
        <f>G1143-F1143</f>
        <v/>
      </c>
      <c r="L1143" s="4">
        <f>IF(AND(F1143&gt;=I1143,F1143&lt;=J1143),1,0)</f>
        <v/>
      </c>
    </row>
    <row r="1144">
      <c r="A1144" s="4" t="inlineStr">
        <is>
          <t>compression_set_pct</t>
        </is>
      </c>
      <c r="B1144" s="4" t="inlineStr">
        <is>
          <t>G223</t>
        </is>
      </c>
      <c r="C1144" s="4" t="inlineStr">
        <is>
          <t>US11118045B2</t>
        </is>
      </c>
      <c r="D1144" s="4" t="inlineStr">
        <is>
          <t>Comparative Example 3</t>
        </is>
      </c>
      <c r="E1144" s="4" t="inlineStr">
        <is>
          <t>dev(OOF)</t>
        </is>
      </c>
      <c r="F1144" s="10" t="n">
        <v>18</v>
      </c>
      <c r="G1144" s="10" t="n">
        <v>17.5064233084248</v>
      </c>
      <c r="H1144" s="10" t="n">
        <v>4.906888196591276</v>
      </c>
      <c r="I1144" s="10">
        <f>G1144-1.96*H1144</f>
        <v/>
      </c>
      <c r="J1144" s="10">
        <f>G1144+1.96*H1144</f>
        <v/>
      </c>
      <c r="K1144" s="10">
        <f>G1144-F1144</f>
        <v/>
      </c>
      <c r="L1144" s="4">
        <f>IF(AND(F1144&gt;=I1144,F1144&lt;=J1144),1,0)</f>
        <v/>
      </c>
    </row>
    <row r="1145">
      <c r="A1145" s="4" t="inlineStr">
        <is>
          <t>compression_set_pct</t>
        </is>
      </c>
      <c r="B1145" s="4" t="inlineStr">
        <is>
          <t>G265</t>
        </is>
      </c>
      <c r="C1145" s="4" t="inlineStr">
        <is>
          <t>US20230174763A1</t>
        </is>
      </c>
      <c r="D1145" s="4" t="inlineStr">
        <is>
          <t>Example 2</t>
        </is>
      </c>
      <c r="E1145" s="4" t="inlineStr">
        <is>
          <t>dev(OOF)</t>
        </is>
      </c>
      <c r="F1145" s="10" t="n">
        <v>18</v>
      </c>
      <c r="G1145" s="10" t="n">
        <v>24.53775040545674</v>
      </c>
      <c r="H1145" s="10" t="n">
        <v>7.8328045501655</v>
      </c>
      <c r="I1145" s="10">
        <f>G1145-1.96*H1145</f>
        <v/>
      </c>
      <c r="J1145" s="10">
        <f>G1145+1.96*H1145</f>
        <v/>
      </c>
      <c r="K1145" s="10">
        <f>G1145-F1145</f>
        <v/>
      </c>
      <c r="L1145" s="4">
        <f>IF(AND(F1145&gt;=I1145,F1145&lt;=J1145),1,0)</f>
        <v/>
      </c>
    </row>
    <row r="1146">
      <c r="A1146" s="4" t="inlineStr">
        <is>
          <t>compression_set_pct</t>
        </is>
      </c>
      <c r="B1146" s="4" t="inlineStr">
        <is>
          <t>G268</t>
        </is>
      </c>
      <c r="C1146" s="4" t="inlineStr">
        <is>
          <t>US20230174763A1</t>
        </is>
      </c>
      <c r="D1146" s="4" t="inlineStr">
        <is>
          <t>Example 5</t>
        </is>
      </c>
      <c r="E1146" s="4" t="inlineStr">
        <is>
          <t>dev(OOF)</t>
        </is>
      </c>
      <c r="F1146" s="10" t="n">
        <v>35</v>
      </c>
      <c r="G1146" s="10" t="n">
        <v>27.0364842371478</v>
      </c>
      <c r="H1146" s="10" t="n">
        <v>13.61963971791663</v>
      </c>
      <c r="I1146" s="10">
        <f>G1146-1.96*H1146</f>
        <v/>
      </c>
      <c r="J1146" s="10">
        <f>G1146+1.96*H1146</f>
        <v/>
      </c>
      <c r="K1146" s="10">
        <f>G1146-F1146</f>
        <v/>
      </c>
      <c r="L1146" s="4">
        <f>IF(AND(F1146&gt;=I1146,F1146&lt;=J1146),1,0)</f>
        <v/>
      </c>
    </row>
    <row r="1147">
      <c r="A1147" s="4" t="inlineStr">
        <is>
          <t>compression_set_pct</t>
        </is>
      </c>
      <c r="B1147" s="4" t="inlineStr">
        <is>
          <t>G139</t>
        </is>
      </c>
      <c r="C1147" s="4" t="inlineStr">
        <is>
          <t>US7247749B2</t>
        </is>
      </c>
      <c r="D1147" s="4" t="inlineStr">
        <is>
          <t>Sample 15</t>
        </is>
      </c>
      <c r="E1147" s="4" t="inlineStr">
        <is>
          <t>dev(OOF)</t>
        </is>
      </c>
      <c r="F1147" s="10" t="n">
        <v>19</v>
      </c>
      <c r="G1147" s="10" t="n">
        <v>8.38493801056913</v>
      </c>
      <c r="H1147" s="10" t="n">
        <v>2.612589315542185</v>
      </c>
      <c r="I1147" s="10">
        <f>G1147-1.96*H1147</f>
        <v/>
      </c>
      <c r="J1147" s="10">
        <f>G1147+1.96*H1147</f>
        <v/>
      </c>
      <c r="K1147" s="10">
        <f>G1147-F1147</f>
        <v/>
      </c>
      <c r="L1147" s="4">
        <f>IF(AND(F1147&gt;=I1147,F1147&lt;=J1147),1,0)</f>
        <v/>
      </c>
    </row>
    <row r="1148">
      <c r="A1148" s="4" t="inlineStr">
        <is>
          <t>compression_set_pct</t>
        </is>
      </c>
      <c r="B1148" s="4" t="inlineStr">
        <is>
          <t>G024</t>
        </is>
      </c>
      <c r="C1148" s="4" t="inlineStr">
        <is>
          <t>US6803402B2</t>
        </is>
      </c>
      <c r="D1148" s="4" t="inlineStr">
        <is>
          <t>Example 1</t>
        </is>
      </c>
      <c r="E1148" s="4" t="inlineStr">
        <is>
          <t>dev(OOF)</t>
        </is>
      </c>
      <c r="F1148" s="10" t="n">
        <v>20</v>
      </c>
      <c r="G1148" s="10" t="n">
        <v>16.65560479144087</v>
      </c>
      <c r="H1148" s="10" t="n">
        <v>3.841212038568701</v>
      </c>
      <c r="I1148" s="10">
        <f>G1148-1.96*H1148</f>
        <v/>
      </c>
      <c r="J1148" s="10">
        <f>G1148+1.96*H1148</f>
        <v/>
      </c>
      <c r="K1148" s="10">
        <f>G1148-F1148</f>
        <v/>
      </c>
      <c r="L1148" s="4">
        <f>IF(AND(F1148&gt;=I1148,F1148&lt;=J1148),1,0)</f>
        <v/>
      </c>
    </row>
    <row r="1149">
      <c r="A1149" s="4" t="inlineStr">
        <is>
          <t>compression_set_pct</t>
        </is>
      </c>
      <c r="B1149" s="4" t="inlineStr">
        <is>
          <t>G297</t>
        </is>
      </c>
      <c r="C1149" s="4" t="inlineStr">
        <is>
          <t>EP4249550A1</t>
        </is>
      </c>
      <c r="D1149" s="4" t="inlineStr">
        <is>
          <t>Example 8</t>
        </is>
      </c>
      <c r="E1149" s="4" t="inlineStr">
        <is>
          <t>dev(OOF)</t>
        </is>
      </c>
      <c r="F1149" s="10" t="n">
        <v>33</v>
      </c>
      <c r="G1149" s="10" t="n">
        <v>31.02605299936088</v>
      </c>
      <c r="H1149" s="10" t="n">
        <v>7.853244261607434</v>
      </c>
      <c r="I1149" s="10">
        <f>G1149-1.96*H1149</f>
        <v/>
      </c>
      <c r="J1149" s="10">
        <f>G1149+1.96*H1149</f>
        <v/>
      </c>
      <c r="K1149" s="10">
        <f>G1149-F1149</f>
        <v/>
      </c>
      <c r="L1149" s="4">
        <f>IF(AND(F1149&gt;=I1149,F1149&lt;=J1149),1,0)</f>
        <v/>
      </c>
    </row>
    <row r="1150">
      <c r="A1150" s="4" t="inlineStr">
        <is>
          <t>compression_set_pct</t>
        </is>
      </c>
      <c r="B1150" s="4" t="inlineStr">
        <is>
          <t>G275</t>
        </is>
      </c>
      <c r="C1150" s="4" t="inlineStr">
        <is>
          <t>US20230174763A1</t>
        </is>
      </c>
      <c r="D1150" s="4" t="inlineStr">
        <is>
          <t>Comparative Example 13</t>
        </is>
      </c>
      <c r="E1150" s="4" t="inlineStr">
        <is>
          <t>dev(OOF)</t>
        </is>
      </c>
      <c r="F1150" s="10" t="n">
        <v>20</v>
      </c>
      <c r="G1150" s="10" t="n">
        <v>22.92965780037311</v>
      </c>
      <c r="H1150" s="10" t="n">
        <v>10.89524500795743</v>
      </c>
      <c r="I1150" s="10">
        <f>G1150-1.96*H1150</f>
        <v/>
      </c>
      <c r="J1150" s="10">
        <f>G1150+1.96*H1150</f>
        <v/>
      </c>
      <c r="K1150" s="10">
        <f>G1150-F1150</f>
        <v/>
      </c>
      <c r="L1150" s="4">
        <f>IF(AND(F1150&gt;=I1150,F1150&lt;=J1150),1,0)</f>
        <v/>
      </c>
    </row>
    <row r="1151">
      <c r="A1151" s="4" t="inlineStr">
        <is>
          <t>compression_set_pct</t>
        </is>
      </c>
      <c r="B1151" s="4" t="inlineStr">
        <is>
          <t>G013</t>
        </is>
      </c>
      <c r="C1151" s="4" t="inlineStr">
        <is>
          <t>US7678858B2</t>
        </is>
      </c>
      <c r="D1151" s="4" t="inlineStr">
        <is>
          <t>Example 12</t>
        </is>
      </c>
      <c r="E1151" s="4" t="inlineStr">
        <is>
          <t>dev(OOF)</t>
        </is>
      </c>
      <c r="F1151" s="10" t="n">
        <v>27</v>
      </c>
      <c r="G1151" s="10" t="n">
        <v>31.22431049891508</v>
      </c>
      <c r="H1151" s="10" t="n">
        <v>7.34750369721833</v>
      </c>
      <c r="I1151" s="10">
        <f>G1151-1.96*H1151</f>
        <v/>
      </c>
      <c r="J1151" s="10">
        <f>G1151+1.96*H1151</f>
        <v/>
      </c>
      <c r="K1151" s="10">
        <f>G1151-F1151</f>
        <v/>
      </c>
      <c r="L1151" s="4">
        <f>IF(AND(F1151&gt;=I1151,F1151&lt;=J1151),1,0)</f>
        <v/>
      </c>
    </row>
    <row r="1152">
      <c r="A1152" s="4" t="inlineStr">
        <is>
          <t>compression_set_pct</t>
        </is>
      </c>
      <c r="B1152" s="4" t="inlineStr">
        <is>
          <t>G150</t>
        </is>
      </c>
      <c r="C1152" s="4" t="inlineStr">
        <is>
          <t>US7247749B2</t>
        </is>
      </c>
      <c r="D1152" s="4" t="inlineStr">
        <is>
          <t>Sample 26</t>
        </is>
      </c>
      <c r="E1152" s="4" t="inlineStr">
        <is>
          <t>dev(OOF)</t>
        </is>
      </c>
      <c r="F1152" s="10" t="n">
        <v>9</v>
      </c>
      <c r="G1152" s="10" t="n">
        <v>19.18828770590752</v>
      </c>
      <c r="H1152" s="10" t="n">
        <v>8.104896270670626</v>
      </c>
      <c r="I1152" s="10">
        <f>G1152-1.96*H1152</f>
        <v/>
      </c>
      <c r="J1152" s="10">
        <f>G1152+1.96*H1152</f>
        <v/>
      </c>
      <c r="K1152" s="10">
        <f>G1152-F1152</f>
        <v/>
      </c>
      <c r="L1152" s="4">
        <f>IF(AND(F1152&gt;=I1152,F1152&lt;=J1152),1,0)</f>
        <v/>
      </c>
    </row>
    <row r="1153">
      <c r="A1153" s="4" t="inlineStr">
        <is>
          <t>compression_set_pct</t>
        </is>
      </c>
      <c r="B1153" s="4" t="inlineStr">
        <is>
          <t>G188</t>
        </is>
      </c>
      <c r="C1153" s="4" t="inlineStr">
        <is>
          <t>US20090093590A1</t>
        </is>
      </c>
      <c r="D1153" s="4" t="inlineStr">
        <is>
          <t>Comparative Example 6</t>
        </is>
      </c>
      <c r="E1153" s="4" t="inlineStr">
        <is>
          <t>dev(OOF)</t>
        </is>
      </c>
      <c r="F1153" s="10" t="n">
        <v>27</v>
      </c>
      <c r="G1153" s="10" t="n">
        <v>34.20079693273334</v>
      </c>
      <c r="H1153" s="10" t="n">
        <v>9.138043333511868</v>
      </c>
      <c r="I1153" s="10">
        <f>G1153-1.96*H1153</f>
        <v/>
      </c>
      <c r="J1153" s="10">
        <f>G1153+1.96*H1153</f>
        <v/>
      </c>
      <c r="K1153" s="10">
        <f>G1153-F1153</f>
        <v/>
      </c>
      <c r="L1153" s="4">
        <f>IF(AND(F1153&gt;=I1153,F1153&lt;=J1153),1,0)</f>
        <v/>
      </c>
    </row>
    <row r="1154">
      <c r="A1154" s="4" t="inlineStr">
        <is>
          <t>compression_set_pct</t>
        </is>
      </c>
      <c r="B1154" s="4" t="inlineStr">
        <is>
          <t>G043</t>
        </is>
      </c>
      <c r="C1154" s="4" t="inlineStr">
        <is>
          <t>US8211964B2</t>
        </is>
      </c>
      <c r="D1154" s="4" t="inlineStr">
        <is>
          <t>Example 2</t>
        </is>
      </c>
      <c r="E1154" s="4" t="inlineStr">
        <is>
          <t>dev(OOF)</t>
        </is>
      </c>
      <c r="F1154" s="10" t="n">
        <v>18</v>
      </c>
      <c r="G1154" s="10" t="n">
        <v>18.75118134448266</v>
      </c>
      <c r="H1154" s="10" t="n">
        <v>5.717027775926808</v>
      </c>
      <c r="I1154" s="10">
        <f>G1154-1.96*H1154</f>
        <v/>
      </c>
      <c r="J1154" s="10">
        <f>G1154+1.96*H1154</f>
        <v/>
      </c>
      <c r="K1154" s="10">
        <f>G1154-F1154</f>
        <v/>
      </c>
      <c r="L1154" s="4">
        <f>IF(AND(F1154&gt;=I1154,F1154&lt;=J1154),1,0)</f>
        <v/>
      </c>
    </row>
    <row r="1155">
      <c r="A1155" s="4" t="inlineStr">
        <is>
          <t>compression_set_pct</t>
        </is>
      </c>
      <c r="B1155" s="4" t="inlineStr">
        <is>
          <t>G270</t>
        </is>
      </c>
      <c r="C1155" s="4" t="inlineStr">
        <is>
          <t>US20230174763A1</t>
        </is>
      </c>
      <c r="D1155" s="4" t="inlineStr">
        <is>
          <t>Comparative Example 6</t>
        </is>
      </c>
      <c r="E1155" s="4" t="inlineStr">
        <is>
          <t>dev(OOF)</t>
        </is>
      </c>
      <c r="F1155" s="10" t="n">
        <v>36</v>
      </c>
      <c r="G1155" s="10" t="n">
        <v>27.47142989692427</v>
      </c>
      <c r="H1155" s="10" t="n">
        <v>9.683517480222031</v>
      </c>
      <c r="I1155" s="10">
        <f>G1155-1.96*H1155</f>
        <v/>
      </c>
      <c r="J1155" s="10">
        <f>G1155+1.96*H1155</f>
        <v/>
      </c>
      <c r="K1155" s="10">
        <f>G1155-F1155</f>
        <v/>
      </c>
      <c r="L1155" s="4">
        <f>IF(AND(F1155&gt;=I1155,F1155&lt;=J1155),1,0)</f>
        <v/>
      </c>
    </row>
    <row r="1156">
      <c r="A1156" s="4" t="inlineStr">
        <is>
          <t>compression_set_pct</t>
        </is>
      </c>
      <c r="B1156" s="4" t="inlineStr">
        <is>
          <t>G166</t>
        </is>
      </c>
      <c r="C1156" s="4" t="inlineStr">
        <is>
          <t>US20050107544A1</t>
        </is>
      </c>
      <c r="D1156" s="4" t="inlineStr">
        <is>
          <t>Sample 3</t>
        </is>
      </c>
      <c r="E1156" s="4" t="inlineStr">
        <is>
          <t>dev(OOF)</t>
        </is>
      </c>
      <c r="F1156" s="10" t="n">
        <v>33</v>
      </c>
      <c r="G1156" s="10" t="n">
        <v>21.77511127865242</v>
      </c>
      <c r="H1156" s="10" t="n">
        <v>5.480326885678724</v>
      </c>
      <c r="I1156" s="10">
        <f>G1156-1.96*H1156</f>
        <v/>
      </c>
      <c r="J1156" s="10">
        <f>G1156+1.96*H1156</f>
        <v/>
      </c>
      <c r="K1156" s="10">
        <f>G1156-F1156</f>
        <v/>
      </c>
      <c r="L1156" s="4">
        <f>IF(AND(F1156&gt;=I1156,F1156&lt;=J1156),1,0)</f>
        <v/>
      </c>
    </row>
    <row r="1157">
      <c r="A1157" s="4" t="inlineStr">
        <is>
          <t>compression_set_pct</t>
        </is>
      </c>
      <c r="B1157" s="4" t="inlineStr">
        <is>
          <t>G222</t>
        </is>
      </c>
      <c r="C1157" s="4" t="inlineStr">
        <is>
          <t>US11118045B2</t>
        </is>
      </c>
      <c r="D1157" s="4" t="inlineStr">
        <is>
          <t>Example 11</t>
        </is>
      </c>
      <c r="E1157" s="4" t="inlineStr">
        <is>
          <t>dev(OOF)</t>
        </is>
      </c>
      <c r="F1157" s="10" t="n">
        <v>16</v>
      </c>
      <c r="G1157" s="10" t="n">
        <v>19.29120970328485</v>
      </c>
      <c r="H1157" s="10" t="n">
        <v>5.315006817098976</v>
      </c>
      <c r="I1157" s="10">
        <f>G1157-1.96*H1157</f>
        <v/>
      </c>
      <c r="J1157" s="10">
        <f>G1157+1.96*H1157</f>
        <v/>
      </c>
      <c r="K1157" s="10">
        <f>G1157-F1157</f>
        <v/>
      </c>
      <c r="L1157" s="4">
        <f>IF(AND(F1157&gt;=I1157,F1157&lt;=J1157),1,0)</f>
        <v/>
      </c>
    </row>
    <row r="1158">
      <c r="A1158" s="4" t="inlineStr">
        <is>
          <t>compression_set_pct</t>
        </is>
      </c>
      <c r="B1158" s="4" t="inlineStr">
        <is>
          <t>G140</t>
        </is>
      </c>
      <c r="C1158" s="4" t="inlineStr">
        <is>
          <t>US7247749B2</t>
        </is>
      </c>
      <c r="D1158" s="4" t="inlineStr">
        <is>
          <t>Sample 16</t>
        </is>
      </c>
      <c r="E1158" s="4" t="inlineStr">
        <is>
          <t>dev(OOF)</t>
        </is>
      </c>
      <c r="F1158" s="10" t="n">
        <v>11</v>
      </c>
      <c r="G1158" s="10" t="n">
        <v>18.4572465946452</v>
      </c>
      <c r="H1158" s="10" t="n">
        <v>5.436158012064845</v>
      </c>
      <c r="I1158" s="10">
        <f>G1158-1.96*H1158</f>
        <v/>
      </c>
      <c r="J1158" s="10">
        <f>G1158+1.96*H1158</f>
        <v/>
      </c>
      <c r="K1158" s="10">
        <f>G1158-F1158</f>
        <v/>
      </c>
      <c r="L1158" s="4">
        <f>IF(AND(F1158&gt;=I1158,F1158&lt;=J1158),1,0)</f>
        <v/>
      </c>
    </row>
    <row r="1159">
      <c r="A1159" s="4" t="inlineStr">
        <is>
          <t>compression_set_pct</t>
        </is>
      </c>
      <c r="B1159" s="4" t="inlineStr">
        <is>
          <t>G126</t>
        </is>
      </c>
      <c r="C1159" s="4" t="inlineStr">
        <is>
          <t>US7247749B2</t>
        </is>
      </c>
      <c r="D1159" s="4" t="inlineStr">
        <is>
          <t>Sample 2</t>
        </is>
      </c>
      <c r="E1159" s="4" t="inlineStr">
        <is>
          <t>dev(OOF)</t>
        </is>
      </c>
      <c r="F1159" s="10" t="n">
        <v>20</v>
      </c>
      <c r="G1159" s="10" t="n">
        <v>20.70214670883598</v>
      </c>
      <c r="H1159" s="10" t="n">
        <v>5.311437849955785</v>
      </c>
      <c r="I1159" s="10">
        <f>G1159-1.96*H1159</f>
        <v/>
      </c>
      <c r="J1159" s="10">
        <f>G1159+1.96*H1159</f>
        <v/>
      </c>
      <c r="K1159" s="10">
        <f>G1159-F1159</f>
        <v/>
      </c>
      <c r="L1159" s="4">
        <f>IF(AND(F1159&gt;=I1159,F1159&lt;=J1159),1,0)</f>
        <v/>
      </c>
    </row>
    <row r="1160">
      <c r="A1160" s="4" t="inlineStr">
        <is>
          <t>compression_set_pct</t>
        </is>
      </c>
      <c r="B1160" s="4" t="inlineStr">
        <is>
          <t>G240</t>
        </is>
      </c>
      <c r="C1160" s="4" t="inlineStr">
        <is>
          <t>US8349965B2</t>
        </is>
      </c>
      <c r="D1160" s="4" t="inlineStr">
        <is>
          <t>Comparative Example 3</t>
        </is>
      </c>
      <c r="E1160" s="4" t="inlineStr">
        <is>
          <t>dev(OOF)</t>
        </is>
      </c>
      <c r="F1160" s="10" t="n">
        <v>30</v>
      </c>
      <c r="G1160" s="10" t="n">
        <v>29.79675260526005</v>
      </c>
      <c r="H1160" s="10" t="n">
        <v>6.211770029585149</v>
      </c>
      <c r="I1160" s="10">
        <f>G1160-1.96*H1160</f>
        <v/>
      </c>
      <c r="J1160" s="10">
        <f>G1160+1.96*H1160</f>
        <v/>
      </c>
      <c r="K1160" s="10">
        <f>G1160-F1160</f>
        <v/>
      </c>
      <c r="L1160" s="4">
        <f>IF(AND(F1160&gt;=I1160,F1160&lt;=J1160),1,0)</f>
        <v/>
      </c>
    </row>
    <row r="1161">
      <c r="A1161" s="4" t="inlineStr">
        <is>
          <t>compression_set_pct</t>
        </is>
      </c>
      <c r="B1161" s="4" t="inlineStr">
        <is>
          <t>G181</t>
        </is>
      </c>
      <c r="C1161" s="4" t="inlineStr">
        <is>
          <t>US6281296B1</t>
        </is>
      </c>
      <c r="D1161" s="4" t="inlineStr">
        <is>
          <t>Example 4</t>
        </is>
      </c>
      <c r="E1161" s="4" t="inlineStr">
        <is>
          <t>dev(OOF)</t>
        </is>
      </c>
      <c r="F1161" s="10" t="n">
        <v>9</v>
      </c>
      <c r="G1161" s="10" t="n">
        <v>11.66916955901757</v>
      </c>
      <c r="H1161" s="10" t="n">
        <v>2.854689939755549</v>
      </c>
      <c r="I1161" s="10">
        <f>G1161-1.96*H1161</f>
        <v/>
      </c>
      <c r="J1161" s="10">
        <f>G1161+1.96*H1161</f>
        <v/>
      </c>
      <c r="K1161" s="10">
        <f>G1161-F1161</f>
        <v/>
      </c>
      <c r="L1161" s="4">
        <f>IF(AND(F1161&gt;=I1161,F1161&lt;=J1161),1,0)</f>
        <v/>
      </c>
    </row>
    <row r="1162">
      <c r="A1162" s="4" t="inlineStr">
        <is>
          <t>compression_set_pct</t>
        </is>
      </c>
      <c r="B1162" s="4" t="inlineStr">
        <is>
          <t>G129</t>
        </is>
      </c>
      <c r="C1162" s="4" t="inlineStr">
        <is>
          <t>US7247749B2</t>
        </is>
      </c>
      <c r="D1162" s="4" t="inlineStr">
        <is>
          <t>Sample 5</t>
        </is>
      </c>
      <c r="E1162" s="4" t="inlineStr">
        <is>
          <t>dev(OOF)</t>
        </is>
      </c>
      <c r="F1162" s="10" t="n">
        <v>13</v>
      </c>
      <c r="G1162" s="10" t="n">
        <v>29.94237794039638</v>
      </c>
      <c r="H1162" s="10" t="n">
        <v>11.88649259788932</v>
      </c>
      <c r="I1162" s="10">
        <f>G1162-1.96*H1162</f>
        <v/>
      </c>
      <c r="J1162" s="10">
        <f>G1162+1.96*H1162</f>
        <v/>
      </c>
      <c r="K1162" s="10">
        <f>G1162-F1162</f>
        <v/>
      </c>
      <c r="L1162" s="4">
        <f>IF(AND(F1162&gt;=I1162,F1162&lt;=J1162),1,0)</f>
        <v/>
      </c>
    </row>
    <row r="1163">
      <c r="A1163" s="4" t="inlineStr">
        <is>
          <t>compression_set_pct</t>
        </is>
      </c>
      <c r="B1163" s="4" t="inlineStr">
        <is>
          <t>G038</t>
        </is>
      </c>
      <c r="C1163" s="4" t="inlineStr">
        <is>
          <t>US8173727B2</t>
        </is>
      </c>
      <c r="D1163" s="4" t="inlineStr">
        <is>
          <t>Example 10</t>
        </is>
      </c>
      <c r="E1163" s="4" t="inlineStr">
        <is>
          <t>dev(OOF)</t>
        </is>
      </c>
      <c r="F1163" s="10" t="n">
        <v>27</v>
      </c>
      <c r="G1163" s="10" t="n">
        <v>35.73853547217245</v>
      </c>
      <c r="H1163" s="10" t="n">
        <v>15.63615821319607</v>
      </c>
      <c r="I1163" s="10">
        <f>G1163-1.96*H1163</f>
        <v/>
      </c>
      <c r="J1163" s="10">
        <f>G1163+1.96*H1163</f>
        <v/>
      </c>
      <c r="K1163" s="10">
        <f>G1163-F1163</f>
        <v/>
      </c>
      <c r="L1163" s="4">
        <f>IF(AND(F1163&gt;=I1163,F1163&lt;=J1163),1,0)</f>
        <v/>
      </c>
    </row>
    <row r="1164">
      <c r="A1164" s="4" t="inlineStr">
        <is>
          <t>compression_set_pct</t>
        </is>
      </c>
      <c r="B1164" s="4" t="inlineStr">
        <is>
          <t>G300</t>
        </is>
      </c>
      <c r="C1164" s="4" t="inlineStr">
        <is>
          <t>EP4249550A1</t>
        </is>
      </c>
      <c r="D1164" s="4" t="inlineStr">
        <is>
          <t>Example 12</t>
        </is>
      </c>
      <c r="E1164" s="4" t="inlineStr">
        <is>
          <t>dev(OOF)</t>
        </is>
      </c>
      <c r="F1164" s="10" t="n">
        <v>29</v>
      </c>
      <c r="G1164" s="10" t="n">
        <v>28.97627069148844</v>
      </c>
      <c r="H1164" s="10" t="n">
        <v>8.008768111437231</v>
      </c>
      <c r="I1164" s="10">
        <f>G1164-1.96*H1164</f>
        <v/>
      </c>
      <c r="J1164" s="10">
        <f>G1164+1.96*H1164</f>
        <v/>
      </c>
      <c r="K1164" s="10">
        <f>G1164-F1164</f>
        <v/>
      </c>
      <c r="L1164" s="4">
        <f>IF(AND(F1164&gt;=I1164,F1164&lt;=J1164),1,0)</f>
        <v/>
      </c>
    </row>
    <row r="1165">
      <c r="A1165" s="4" t="inlineStr">
        <is>
          <t>compression_set_pct</t>
        </is>
      </c>
      <c r="B1165" s="4" t="inlineStr">
        <is>
          <t>G055</t>
        </is>
      </c>
      <c r="C1165" s="4" t="inlineStr">
        <is>
          <t>US11753523B2</t>
        </is>
      </c>
      <c r="D1165" s="4" t="inlineStr">
        <is>
          <t>Example 3</t>
        </is>
      </c>
      <c r="E1165" s="4" t="inlineStr">
        <is>
          <t>dev(OOF)</t>
        </is>
      </c>
      <c r="F1165" s="10" t="n">
        <v>42</v>
      </c>
      <c r="G1165" s="10" t="n">
        <v>36.7394489975182</v>
      </c>
      <c r="H1165" s="10" t="n">
        <v>10.53680921990715</v>
      </c>
      <c r="I1165" s="10">
        <f>G1165-1.96*H1165</f>
        <v/>
      </c>
      <c r="J1165" s="10">
        <f>G1165+1.96*H1165</f>
        <v/>
      </c>
      <c r="K1165" s="10">
        <f>G1165-F1165</f>
        <v/>
      </c>
      <c r="L1165" s="4">
        <f>IF(AND(F1165&gt;=I1165,F1165&lt;=J1165),1,0)</f>
        <v/>
      </c>
    </row>
    <row r="1166">
      <c r="A1166" s="4" t="inlineStr">
        <is>
          <t>compression_set_pct</t>
        </is>
      </c>
      <c r="B1166" s="4" t="inlineStr">
        <is>
          <t>G219</t>
        </is>
      </c>
      <c r="C1166" s="4" t="inlineStr">
        <is>
          <t>US11118045B2</t>
        </is>
      </c>
      <c r="D1166" s="4" t="inlineStr">
        <is>
          <t>Comparative Example 7</t>
        </is>
      </c>
      <c r="E1166" s="4" t="inlineStr">
        <is>
          <t>dev(OOF)</t>
        </is>
      </c>
      <c r="F1166" s="10" t="n">
        <v>66</v>
      </c>
      <c r="G1166" s="10" t="n">
        <v>48.66071081603994</v>
      </c>
      <c r="H1166" s="10" t="n">
        <v>14.13337438016222</v>
      </c>
      <c r="I1166" s="10">
        <f>G1166-1.96*H1166</f>
        <v/>
      </c>
      <c r="J1166" s="10">
        <f>G1166+1.96*H1166</f>
        <v/>
      </c>
      <c r="K1166" s="10">
        <f>G1166-F1166</f>
        <v/>
      </c>
      <c r="L1166" s="4">
        <f>IF(AND(F1166&gt;=I1166,F1166&lt;=J1166),1,0)</f>
        <v/>
      </c>
    </row>
    <row r="1167">
      <c r="A1167" s="4" t="inlineStr">
        <is>
          <t>compression_set_pct</t>
        </is>
      </c>
      <c r="B1167" s="4" t="inlineStr">
        <is>
          <t>G308</t>
        </is>
      </c>
      <c r="C1167" s="4" t="inlineStr">
        <is>
          <t>EP4249550A1</t>
        </is>
      </c>
      <c r="D1167" s="4" t="inlineStr">
        <is>
          <t>Comparative Example 7</t>
        </is>
      </c>
      <c r="E1167" s="4" t="inlineStr">
        <is>
          <t>dev(OOF)</t>
        </is>
      </c>
      <c r="F1167" s="10" t="n">
        <v>33</v>
      </c>
      <c r="G1167" s="10" t="n">
        <v>33.18388213441348</v>
      </c>
      <c r="H1167" s="10" t="n">
        <v>9.101913243523834</v>
      </c>
      <c r="I1167" s="10">
        <f>G1167-1.96*H1167</f>
        <v/>
      </c>
      <c r="J1167" s="10">
        <f>G1167+1.96*H1167</f>
        <v/>
      </c>
      <c r="K1167" s="10">
        <f>G1167-F1167</f>
        <v/>
      </c>
      <c r="L1167" s="4">
        <f>IF(AND(F1167&gt;=I1167,F1167&lt;=J1167),1,0)</f>
        <v/>
      </c>
    </row>
    <row r="1168">
      <c r="A1168" s="4" t="inlineStr">
        <is>
          <t>compression_set_pct</t>
        </is>
      </c>
      <c r="B1168" s="4" t="inlineStr">
        <is>
          <t>G304</t>
        </is>
      </c>
      <c r="C1168" s="4" t="inlineStr">
        <is>
          <t>EP4249550A1</t>
        </is>
      </c>
      <c r="D1168" s="4" t="inlineStr">
        <is>
          <t>Comparative Example 3</t>
        </is>
      </c>
      <c r="E1168" s="4" t="inlineStr">
        <is>
          <t>dev(OOF)</t>
        </is>
      </c>
      <c r="F1168" s="10" t="n">
        <v>31</v>
      </c>
      <c r="G1168" s="10" t="n">
        <v>31.24397142253737</v>
      </c>
      <c r="H1168" s="10" t="n">
        <v>6.646833339755051</v>
      </c>
      <c r="I1168" s="10">
        <f>G1168-1.96*H1168</f>
        <v/>
      </c>
      <c r="J1168" s="10">
        <f>G1168+1.96*H1168</f>
        <v/>
      </c>
      <c r="K1168" s="10">
        <f>G1168-F1168</f>
        <v/>
      </c>
      <c r="L1168" s="4">
        <f>IF(AND(F1168&gt;=I1168,F1168&lt;=J1168),1,0)</f>
        <v/>
      </c>
    </row>
    <row r="1169">
      <c r="A1169" s="4" t="inlineStr">
        <is>
          <t>compression_set_pct</t>
        </is>
      </c>
      <c r="B1169" s="4" t="inlineStr">
        <is>
          <t>G225</t>
        </is>
      </c>
      <c r="C1169" s="4" t="inlineStr">
        <is>
          <t>US8349965B2</t>
        </is>
      </c>
      <c r="D1169" s="4" t="inlineStr">
        <is>
          <t>Example 2</t>
        </is>
      </c>
      <c r="E1169" s="4" t="inlineStr">
        <is>
          <t>dev(OOF)</t>
        </is>
      </c>
      <c r="F1169" s="10" t="n">
        <v>36</v>
      </c>
      <c r="G1169" s="10" t="n">
        <v>30.754056319057</v>
      </c>
      <c r="H1169" s="10" t="n">
        <v>6.451893361264656</v>
      </c>
      <c r="I1169" s="10">
        <f>G1169-1.96*H1169</f>
        <v/>
      </c>
      <c r="J1169" s="10">
        <f>G1169+1.96*H1169</f>
        <v/>
      </c>
      <c r="K1169" s="10">
        <f>G1169-F1169</f>
        <v/>
      </c>
      <c r="L1169" s="4">
        <f>IF(AND(F1169&gt;=I1169,F1169&lt;=J1169),1,0)</f>
        <v/>
      </c>
    </row>
    <row r="1170">
      <c r="A1170" s="4" t="inlineStr">
        <is>
          <t>compression_set_pct</t>
        </is>
      </c>
      <c r="B1170" s="4" t="inlineStr">
        <is>
          <t>G319</t>
        </is>
      </c>
      <c r="C1170" s="4" t="inlineStr">
        <is>
          <t>KR102400335B1</t>
        </is>
      </c>
      <c r="D1170" s="4" t="inlineStr">
        <is>
          <t>Example 5</t>
        </is>
      </c>
      <c r="E1170" s="4" t="inlineStr">
        <is>
          <t>dev(OOF)</t>
        </is>
      </c>
      <c r="F1170" s="10" t="n">
        <v>41</v>
      </c>
      <c r="G1170" s="10" t="n">
        <v>24.80102899914342</v>
      </c>
      <c r="H1170" s="10" t="n">
        <v>7.974293167149186</v>
      </c>
      <c r="I1170" s="10">
        <f>G1170-1.96*H1170</f>
        <v/>
      </c>
      <c r="J1170" s="10">
        <f>G1170+1.96*H1170</f>
        <v/>
      </c>
      <c r="K1170" s="10">
        <f>G1170-F1170</f>
        <v/>
      </c>
      <c r="L1170" s="4">
        <f>IF(AND(F1170&gt;=I1170,F1170&lt;=J1170),1,0)</f>
        <v/>
      </c>
    </row>
    <row r="1171">
      <c r="A1171" s="4" t="inlineStr">
        <is>
          <t>compression_set_pct</t>
        </is>
      </c>
      <c r="B1171" s="4" t="inlineStr">
        <is>
          <t>G092</t>
        </is>
      </c>
      <c r="C1171" s="4" t="inlineStr">
        <is>
          <t>US8367776B2</t>
        </is>
      </c>
      <c r="D1171" s="4" t="inlineStr">
        <is>
          <t>Example 10</t>
        </is>
      </c>
      <c r="E1171" s="4" t="inlineStr">
        <is>
          <t>dev(OOF)</t>
        </is>
      </c>
      <c r="F1171" s="10" t="n">
        <v>17.7</v>
      </c>
      <c r="G1171" s="10" t="n">
        <v>20.72677758118866</v>
      </c>
      <c r="H1171" s="10" t="n">
        <v>4.448424533977864</v>
      </c>
      <c r="I1171" s="10">
        <f>G1171-1.96*H1171</f>
        <v/>
      </c>
      <c r="J1171" s="10">
        <f>G1171+1.96*H1171</f>
        <v/>
      </c>
      <c r="K1171" s="10">
        <f>G1171-F1171</f>
        <v/>
      </c>
      <c r="L1171" s="4">
        <f>IF(AND(F1171&gt;=I1171,F1171&lt;=J1171),1,0)</f>
        <v/>
      </c>
    </row>
    <row r="1172">
      <c r="A1172" s="4" t="inlineStr">
        <is>
          <t>compression_set_pct</t>
        </is>
      </c>
      <c r="B1172" s="4" t="inlineStr">
        <is>
          <t>G048</t>
        </is>
      </c>
      <c r="C1172" s="4" t="inlineStr">
        <is>
          <t>US8211964B2</t>
        </is>
      </c>
      <c r="D1172" s="4" t="inlineStr">
        <is>
          <t>Comparative Example 1</t>
        </is>
      </c>
      <c r="E1172" s="4" t="inlineStr">
        <is>
          <t>dev(OOF)</t>
        </is>
      </c>
      <c r="F1172" s="10" t="n">
        <v>31</v>
      </c>
      <c r="G1172" s="10" t="n">
        <v>24.7283432447655</v>
      </c>
      <c r="H1172" s="10" t="n">
        <v>6.991881772820913</v>
      </c>
      <c r="I1172" s="10">
        <f>G1172-1.96*H1172</f>
        <v/>
      </c>
      <c r="J1172" s="10">
        <f>G1172+1.96*H1172</f>
        <v/>
      </c>
      <c r="K1172" s="10">
        <f>G1172-F1172</f>
        <v/>
      </c>
      <c r="L1172" s="4">
        <f>IF(AND(F1172&gt;=I1172,F1172&lt;=J1172),1,0)</f>
        <v/>
      </c>
    </row>
    <row r="1173">
      <c r="A1173" s="4" t="inlineStr">
        <is>
          <t>compression_set_pct</t>
        </is>
      </c>
      <c r="B1173" s="4" t="inlineStr">
        <is>
          <t>G182</t>
        </is>
      </c>
      <c r="C1173" s="4" t="inlineStr">
        <is>
          <t>US6281296B1</t>
        </is>
      </c>
      <c r="D1173" s="4" t="inlineStr">
        <is>
          <t>Example 5</t>
        </is>
      </c>
      <c r="E1173" s="4" t="inlineStr">
        <is>
          <t>dev(OOF)</t>
        </is>
      </c>
      <c r="F1173" s="10" t="n">
        <v>16</v>
      </c>
      <c r="G1173" s="10" t="n">
        <v>15.49459796390878</v>
      </c>
      <c r="H1173" s="10" t="n">
        <v>4.755422455969961</v>
      </c>
      <c r="I1173" s="10">
        <f>G1173-1.96*H1173</f>
        <v/>
      </c>
      <c r="J1173" s="10">
        <f>G1173+1.96*H1173</f>
        <v/>
      </c>
      <c r="K1173" s="10">
        <f>G1173-F1173</f>
        <v/>
      </c>
      <c r="L1173" s="4">
        <f>IF(AND(F1173&gt;=I1173,F1173&lt;=J1173),1,0)</f>
        <v/>
      </c>
    </row>
    <row r="1174">
      <c r="A1174" s="4" t="inlineStr">
        <is>
          <t>compression_set_pct</t>
        </is>
      </c>
      <c r="B1174" s="4" t="inlineStr">
        <is>
          <t>G274</t>
        </is>
      </c>
      <c r="C1174" s="4" t="inlineStr">
        <is>
          <t>US20230174763A1</t>
        </is>
      </c>
      <c r="D1174" s="4" t="inlineStr">
        <is>
          <t>Comparative Example 12</t>
        </is>
      </c>
      <c r="E1174" s="4" t="inlineStr">
        <is>
          <t>dev(OOF)</t>
        </is>
      </c>
      <c r="F1174" s="10" t="n">
        <v>19</v>
      </c>
      <c r="G1174" s="10" t="n">
        <v>23.90491842941546</v>
      </c>
      <c r="H1174" s="10" t="n">
        <v>10.80646208370314</v>
      </c>
      <c r="I1174" s="10">
        <f>G1174-1.96*H1174</f>
        <v/>
      </c>
      <c r="J1174" s="10">
        <f>G1174+1.96*H1174</f>
        <v/>
      </c>
      <c r="K1174" s="10">
        <f>G1174-F1174</f>
        <v/>
      </c>
      <c r="L1174" s="4">
        <f>IF(AND(F1174&gt;=I1174,F1174&lt;=J1174),1,0)</f>
        <v/>
      </c>
    </row>
    <row r="1175">
      <c r="A1175" s="4" t="inlineStr">
        <is>
          <t>compression_set_pct</t>
        </is>
      </c>
      <c r="B1175" s="4" t="inlineStr">
        <is>
          <t>G099</t>
        </is>
      </c>
      <c r="C1175" s="4" t="inlineStr">
        <is>
          <t>US7354974B2</t>
        </is>
      </c>
      <c r="D1175" s="4" t="inlineStr">
        <is>
          <t>Example 3</t>
        </is>
      </c>
      <c r="E1175" s="4" t="inlineStr">
        <is>
          <t>dev(OOF)</t>
        </is>
      </c>
      <c r="F1175" s="10" t="n">
        <v>39</v>
      </c>
      <c r="G1175" s="10" t="n">
        <v>40.63667640296473</v>
      </c>
      <c r="H1175" s="10" t="n">
        <v>8.793420312451001</v>
      </c>
      <c r="I1175" s="10">
        <f>G1175-1.96*H1175</f>
        <v/>
      </c>
      <c r="J1175" s="10">
        <f>G1175+1.96*H1175</f>
        <v/>
      </c>
      <c r="K1175" s="10">
        <f>G1175-F1175</f>
        <v/>
      </c>
      <c r="L1175" s="4">
        <f>IF(AND(F1175&gt;=I1175,F1175&lt;=J1175),1,0)</f>
        <v/>
      </c>
    </row>
    <row r="1176">
      <c r="A1176" s="4" t="inlineStr">
        <is>
          <t>compression_set_pct</t>
        </is>
      </c>
      <c r="B1176" s="4" t="inlineStr">
        <is>
          <t>G108</t>
        </is>
      </c>
      <c r="C1176" s="4" t="inlineStr">
        <is>
          <t>US6992143B2</t>
        </is>
      </c>
      <c r="D1176" s="4" t="inlineStr">
        <is>
          <t>Control Example 2</t>
        </is>
      </c>
      <c r="E1176" s="4" t="inlineStr">
        <is>
          <t>dev(OOF)</t>
        </is>
      </c>
      <c r="F1176" s="10" t="n">
        <v>41</v>
      </c>
      <c r="G1176" s="10" t="n">
        <v>43.62744057483994</v>
      </c>
      <c r="H1176" s="10" t="n">
        <v>10.89709120100503</v>
      </c>
      <c r="I1176" s="10">
        <f>G1176-1.96*H1176</f>
        <v/>
      </c>
      <c r="J1176" s="10">
        <f>G1176+1.96*H1176</f>
        <v/>
      </c>
      <c r="K1176" s="10">
        <f>G1176-F1176</f>
        <v/>
      </c>
      <c r="L1176" s="4">
        <f>IF(AND(F1176&gt;=I1176,F1176&lt;=J1176),1,0)</f>
        <v/>
      </c>
    </row>
    <row r="1177">
      <c r="A1177" s="4" t="inlineStr">
        <is>
          <t>compression_set_pct</t>
        </is>
      </c>
      <c r="B1177" s="4" t="inlineStr">
        <is>
          <t>G234</t>
        </is>
      </c>
      <c r="C1177" s="4" t="inlineStr">
        <is>
          <t>US8349965B2</t>
        </is>
      </c>
      <c r="D1177" s="4" t="inlineStr">
        <is>
          <t>Example 11</t>
        </is>
      </c>
      <c r="E1177" s="4" t="inlineStr">
        <is>
          <t>dev(OOF)</t>
        </is>
      </c>
      <c r="F1177" s="10" t="n">
        <v>28</v>
      </c>
      <c r="G1177" s="10" t="n">
        <v>26.43260944461236</v>
      </c>
      <c r="H1177" s="10" t="n">
        <v>13.91592404971871</v>
      </c>
      <c r="I1177" s="10">
        <f>G1177-1.96*H1177</f>
        <v/>
      </c>
      <c r="J1177" s="10">
        <f>G1177+1.96*H1177</f>
        <v/>
      </c>
      <c r="K1177" s="10">
        <f>G1177-F1177</f>
        <v/>
      </c>
      <c r="L1177" s="4">
        <f>IF(AND(F1177&gt;=I1177,F1177&lt;=J1177),1,0)</f>
        <v/>
      </c>
    </row>
    <row r="1178">
      <c r="A1178" s="4" t="inlineStr">
        <is>
          <t>compression_set_pct</t>
        </is>
      </c>
      <c r="B1178" s="4" t="inlineStr">
        <is>
          <t>G097</t>
        </is>
      </c>
      <c r="C1178" s="4" t="inlineStr">
        <is>
          <t>US7354974B2</t>
        </is>
      </c>
      <c r="D1178" s="4" t="inlineStr">
        <is>
          <t>Example 1</t>
        </is>
      </c>
      <c r="E1178" s="4" t="inlineStr">
        <is>
          <t>dev(OOF)</t>
        </is>
      </c>
      <c r="F1178" s="10" t="n">
        <v>40</v>
      </c>
      <c r="G1178" s="10" t="n">
        <v>43.95167229208147</v>
      </c>
      <c r="H1178" s="10" t="n">
        <v>10.74004153101086</v>
      </c>
      <c r="I1178" s="10">
        <f>G1178-1.96*H1178</f>
        <v/>
      </c>
      <c r="J1178" s="10">
        <f>G1178+1.96*H1178</f>
        <v/>
      </c>
      <c r="K1178" s="10">
        <f>G1178-F1178</f>
        <v/>
      </c>
      <c r="L1178" s="4">
        <f>IF(AND(F1178&gt;=I1178,F1178&lt;=J1178),1,0)</f>
        <v/>
      </c>
    </row>
    <row r="1179">
      <c r="A1179" s="4" t="inlineStr">
        <is>
          <t>compression_set_pct</t>
        </is>
      </c>
      <c r="B1179" s="4" t="inlineStr">
        <is>
          <t>G237</t>
        </is>
      </c>
      <c r="C1179" s="4" t="inlineStr">
        <is>
          <t>US8349965B2</t>
        </is>
      </c>
      <c r="D1179" s="4" t="inlineStr">
        <is>
          <t>Example 14</t>
        </is>
      </c>
      <c r="E1179" s="4" t="inlineStr">
        <is>
          <t>dev(OOF)</t>
        </is>
      </c>
      <c r="F1179" s="10" t="n">
        <v>31</v>
      </c>
      <c r="G1179" s="10" t="n">
        <v>26.43278468747702</v>
      </c>
      <c r="H1179" s="10" t="n">
        <v>13.91601630629037</v>
      </c>
      <c r="I1179" s="10">
        <f>G1179-1.96*H1179</f>
        <v/>
      </c>
      <c r="J1179" s="10">
        <f>G1179+1.96*H1179</f>
        <v/>
      </c>
      <c r="K1179" s="10">
        <f>G1179-F1179</f>
        <v/>
      </c>
      <c r="L1179" s="4">
        <f>IF(AND(F1179&gt;=I1179,F1179&lt;=J1179),1,0)</f>
        <v/>
      </c>
    </row>
    <row r="1180">
      <c r="A1180" s="4" t="inlineStr">
        <is>
          <t>compression_set_pct</t>
        </is>
      </c>
      <c r="B1180" s="4" t="inlineStr">
        <is>
          <t>G047</t>
        </is>
      </c>
      <c r="C1180" s="4" t="inlineStr">
        <is>
          <t>US8211964B2</t>
        </is>
      </c>
      <c r="D1180" s="4" t="inlineStr">
        <is>
          <t>Example 6</t>
        </is>
      </c>
      <c r="E1180" s="4" t="inlineStr">
        <is>
          <t>dev(OOF)</t>
        </is>
      </c>
      <c r="F1180" s="10" t="n">
        <v>24</v>
      </c>
      <c r="G1180" s="10" t="n">
        <v>31.25575295829059</v>
      </c>
      <c r="H1180" s="10" t="n">
        <v>9.153384718054625</v>
      </c>
      <c r="I1180" s="10">
        <f>G1180-1.96*H1180</f>
        <v/>
      </c>
      <c r="J1180" s="10">
        <f>G1180+1.96*H1180</f>
        <v/>
      </c>
      <c r="K1180" s="10">
        <f>G1180-F1180</f>
        <v/>
      </c>
      <c r="L1180" s="4">
        <f>IF(AND(F1180&gt;=I1180,F1180&lt;=J1180),1,0)</f>
        <v/>
      </c>
    </row>
    <row r="1181">
      <c r="A1181" s="4" t="inlineStr">
        <is>
          <t>compression_set_pct</t>
        </is>
      </c>
      <c r="B1181" s="4" t="inlineStr">
        <is>
          <t>G197</t>
        </is>
      </c>
      <c r="C1181" s="4" t="inlineStr">
        <is>
          <t>US20160319102A1</t>
        </is>
      </c>
      <c r="D1181" s="4" t="inlineStr">
        <is>
          <t>Comparative Example 2</t>
        </is>
      </c>
      <c r="E1181" s="4" t="inlineStr">
        <is>
          <t>dev(OOF)</t>
        </is>
      </c>
      <c r="F1181" s="10" t="n">
        <v>36</v>
      </c>
      <c r="G1181" s="10" t="n">
        <v>25.68233707560299</v>
      </c>
      <c r="H1181" s="10" t="n">
        <v>9.017921235045124</v>
      </c>
      <c r="I1181" s="10">
        <f>G1181-1.96*H1181</f>
        <v/>
      </c>
      <c r="J1181" s="10">
        <f>G1181+1.96*H1181</f>
        <v/>
      </c>
      <c r="K1181" s="10">
        <f>G1181-F1181</f>
        <v/>
      </c>
      <c r="L1181" s="4">
        <f>IF(AND(F1181&gt;=I1181,F1181&lt;=J1181),1,0)</f>
        <v/>
      </c>
    </row>
    <row r="1182">
      <c r="A1182" s="4" t="inlineStr">
        <is>
          <t>compression_set_pct</t>
        </is>
      </c>
      <c r="B1182" s="4" t="inlineStr">
        <is>
          <t>G161</t>
        </is>
      </c>
      <c r="C1182" s="4" t="inlineStr">
        <is>
          <t>US6956085B2</t>
        </is>
      </c>
      <c r="D1182" s="4" t="inlineStr">
        <is>
          <t>Example 4</t>
        </is>
      </c>
      <c r="E1182" s="4" t="inlineStr">
        <is>
          <t>dev(OOF)</t>
        </is>
      </c>
      <c r="F1182" s="10" t="n">
        <v>58</v>
      </c>
      <c r="G1182" s="10" t="n">
        <v>51.91341131145133</v>
      </c>
      <c r="H1182" s="10" t="n">
        <v>14.40947038683656</v>
      </c>
      <c r="I1182" s="10">
        <f>G1182-1.96*H1182</f>
        <v/>
      </c>
      <c r="J1182" s="10">
        <f>G1182+1.96*H1182</f>
        <v/>
      </c>
      <c r="K1182" s="10">
        <f>G1182-F1182</f>
        <v/>
      </c>
      <c r="L1182" s="4">
        <f>IF(AND(F1182&gt;=I1182,F1182&lt;=J1182),1,0)</f>
        <v/>
      </c>
    </row>
    <row r="1183">
      <c r="A1183" s="4" t="inlineStr">
        <is>
          <t>compression_set_pct</t>
        </is>
      </c>
      <c r="B1183" s="4" t="inlineStr">
        <is>
          <t>G042</t>
        </is>
      </c>
      <c r="C1183" s="4" t="inlineStr">
        <is>
          <t>US8173727B2</t>
        </is>
      </c>
      <c r="D1183" s="4" t="inlineStr">
        <is>
          <t>Example 14</t>
        </is>
      </c>
      <c r="E1183" s="4" t="inlineStr">
        <is>
          <t>dev(OOF)</t>
        </is>
      </c>
      <c r="F1183" s="10" t="n">
        <v>45</v>
      </c>
      <c r="G1183" s="10" t="n">
        <v>30.22164560727097</v>
      </c>
      <c r="H1183" s="10" t="n">
        <v>10.57253130537702</v>
      </c>
      <c r="I1183" s="10">
        <f>G1183-1.96*H1183</f>
        <v/>
      </c>
      <c r="J1183" s="10">
        <f>G1183+1.96*H1183</f>
        <v/>
      </c>
      <c r="K1183" s="10">
        <f>G1183-F1183</f>
        <v/>
      </c>
      <c r="L1183" s="4">
        <f>IF(AND(F1183&gt;=I1183,F1183&lt;=J1183),1,0)</f>
        <v/>
      </c>
    </row>
    <row r="1184">
      <c r="A1184" s="4" t="inlineStr">
        <is>
          <t>compression_set_pct</t>
        </is>
      </c>
      <c r="B1184" s="4" t="inlineStr">
        <is>
          <t>G296</t>
        </is>
      </c>
      <c r="C1184" s="4" t="inlineStr">
        <is>
          <t>EP4249550A1</t>
        </is>
      </c>
      <c r="D1184" s="4" t="inlineStr">
        <is>
          <t>Example 7</t>
        </is>
      </c>
      <c r="E1184" s="4" t="inlineStr">
        <is>
          <t>dev(OOF)</t>
        </is>
      </c>
      <c r="F1184" s="10" t="n">
        <v>29</v>
      </c>
      <c r="G1184" s="10" t="n">
        <v>30.69749809253768</v>
      </c>
      <c r="H1184" s="10" t="n">
        <v>7.143840100210036</v>
      </c>
      <c r="I1184" s="10">
        <f>G1184-1.96*H1184</f>
        <v/>
      </c>
      <c r="J1184" s="10">
        <f>G1184+1.96*H1184</f>
        <v/>
      </c>
      <c r="K1184" s="10">
        <f>G1184-F1184</f>
        <v/>
      </c>
      <c r="L1184" s="4">
        <f>IF(AND(F1184&gt;=I1184,F1184&lt;=J1184),1,0)</f>
        <v/>
      </c>
    </row>
    <row r="1185">
      <c r="A1185" s="4" t="inlineStr">
        <is>
          <t>compression_set_pct</t>
        </is>
      </c>
      <c r="B1185" s="4" t="inlineStr">
        <is>
          <t>G217</t>
        </is>
      </c>
      <c r="C1185" s="4" t="inlineStr">
        <is>
          <t>US11118045B2</t>
        </is>
      </c>
      <c r="D1185" s="4" t="inlineStr">
        <is>
          <t>Comparative Example 5</t>
        </is>
      </c>
      <c r="E1185" s="4" t="inlineStr">
        <is>
          <t>dev(OOF)</t>
        </is>
      </c>
      <c r="F1185" s="10" t="n">
        <v>43</v>
      </c>
      <c r="G1185" s="10" t="n">
        <v>40.42669075332127</v>
      </c>
      <c r="H1185" s="10" t="n">
        <v>10.22506144842011</v>
      </c>
      <c r="I1185" s="10">
        <f>G1185-1.96*H1185</f>
        <v/>
      </c>
      <c r="J1185" s="10">
        <f>G1185+1.96*H1185</f>
        <v/>
      </c>
      <c r="K1185" s="10">
        <f>G1185-F1185</f>
        <v/>
      </c>
      <c r="L1185" s="4">
        <f>IF(AND(F1185&gt;=I1185,F1185&lt;=J1185),1,0)</f>
        <v/>
      </c>
    </row>
    <row r="1186">
      <c r="A1186" s="4" t="inlineStr">
        <is>
          <t>compression_set_pct</t>
        </is>
      </c>
      <c r="B1186" s="4" t="inlineStr">
        <is>
          <t>G218</t>
        </is>
      </c>
      <c r="C1186" s="4" t="inlineStr">
        <is>
          <t>US11118045B2</t>
        </is>
      </c>
      <c r="D1186" s="4" t="inlineStr">
        <is>
          <t>Comparative Example 6</t>
        </is>
      </c>
      <c r="E1186" s="4" t="inlineStr">
        <is>
          <t>dev(OOF)</t>
        </is>
      </c>
      <c r="F1186" s="10" t="n">
        <v>59</v>
      </c>
      <c r="G1186" s="10" t="n">
        <v>49.90014623557559</v>
      </c>
      <c r="H1186" s="10" t="n">
        <v>12.98987363202832</v>
      </c>
      <c r="I1186" s="10">
        <f>G1186-1.96*H1186</f>
        <v/>
      </c>
      <c r="J1186" s="10">
        <f>G1186+1.96*H1186</f>
        <v/>
      </c>
      <c r="K1186" s="10">
        <f>G1186-F1186</f>
        <v/>
      </c>
      <c r="L1186" s="4">
        <f>IF(AND(F1186&gt;=I1186,F1186&lt;=J1186),1,0)</f>
        <v/>
      </c>
    </row>
    <row r="1187">
      <c r="A1187" s="4" t="inlineStr">
        <is>
          <t>compression_set_pct</t>
        </is>
      </c>
      <c r="B1187" s="4" t="inlineStr">
        <is>
          <t>G208</t>
        </is>
      </c>
      <c r="C1187" s="4" t="inlineStr">
        <is>
          <t>US11118045B2</t>
        </is>
      </c>
      <c r="D1187" s="4" t="inlineStr">
        <is>
          <t>Example 5</t>
        </is>
      </c>
      <c r="E1187" s="4" t="inlineStr">
        <is>
          <t>dev(OOF)</t>
        </is>
      </c>
      <c r="F1187" s="10" t="n">
        <v>23</v>
      </c>
      <c r="G1187" s="10" t="n">
        <v>22.55195915782309</v>
      </c>
      <c r="H1187" s="10" t="n">
        <v>4.824083054238299</v>
      </c>
      <c r="I1187" s="10">
        <f>G1187-1.96*H1187</f>
        <v/>
      </c>
      <c r="J1187" s="10">
        <f>G1187+1.96*H1187</f>
        <v/>
      </c>
      <c r="K1187" s="10">
        <f>G1187-F1187</f>
        <v/>
      </c>
      <c r="L1187" s="4">
        <f>IF(AND(F1187&gt;=I1187,F1187&lt;=J1187),1,0)</f>
        <v/>
      </c>
    </row>
    <row r="1188">
      <c r="A1188" s="4" t="inlineStr">
        <is>
          <t>compression_set_pct</t>
        </is>
      </c>
      <c r="B1188" s="4" t="inlineStr">
        <is>
          <t>G230</t>
        </is>
      </c>
      <c r="C1188" s="4" t="inlineStr">
        <is>
          <t>US8349965B2</t>
        </is>
      </c>
      <c r="D1188" s="4" t="inlineStr">
        <is>
          <t>Example 7</t>
        </is>
      </c>
      <c r="E1188" s="4" t="inlineStr">
        <is>
          <t>dev(OOF)</t>
        </is>
      </c>
      <c r="F1188" s="10" t="n">
        <v>26</v>
      </c>
      <c r="G1188" s="10" t="n">
        <v>31.44774339635105</v>
      </c>
      <c r="H1188" s="10" t="n">
        <v>6.639608429007538</v>
      </c>
      <c r="I1188" s="10">
        <f>G1188-1.96*H1188</f>
        <v/>
      </c>
      <c r="J1188" s="10">
        <f>G1188+1.96*H1188</f>
        <v/>
      </c>
      <c r="K1188" s="10">
        <f>G1188-F1188</f>
        <v/>
      </c>
      <c r="L1188" s="4">
        <f>IF(AND(F1188&gt;=I1188,F1188&lt;=J1188),1,0)</f>
        <v/>
      </c>
    </row>
    <row r="1189">
      <c r="A1189" s="4" t="inlineStr">
        <is>
          <t>compression_set_pct</t>
        </is>
      </c>
      <c r="B1189" s="4" t="inlineStr">
        <is>
          <t>G007</t>
        </is>
      </c>
      <c r="C1189" s="4" t="inlineStr">
        <is>
          <t>US7678858B2</t>
        </is>
      </c>
      <c r="D1189" s="4" t="inlineStr">
        <is>
          <t>Example 7</t>
        </is>
      </c>
      <c r="E1189" s="4" t="inlineStr">
        <is>
          <t>dev(OOF)</t>
        </is>
      </c>
      <c r="F1189" s="10" t="n">
        <v>48</v>
      </c>
      <c r="G1189" s="10" t="n">
        <v>23.20560839873646</v>
      </c>
      <c r="H1189" s="10" t="n">
        <v>5.01506195749131</v>
      </c>
      <c r="I1189" s="10">
        <f>G1189-1.96*H1189</f>
        <v/>
      </c>
      <c r="J1189" s="10">
        <f>G1189+1.96*H1189</f>
        <v/>
      </c>
      <c r="K1189" s="10">
        <f>G1189-F1189</f>
        <v/>
      </c>
      <c r="L1189" s="4">
        <f>IF(AND(F1189&gt;=I1189,F1189&lt;=J1189),1,0)</f>
        <v/>
      </c>
    </row>
    <row r="1190">
      <c r="A1190" s="4" t="inlineStr">
        <is>
          <t>compression_set_pct</t>
        </is>
      </c>
      <c r="B1190" s="4" t="inlineStr">
        <is>
          <t>G142</t>
        </is>
      </c>
      <c r="C1190" s="4" t="inlineStr">
        <is>
          <t>US7247749B2</t>
        </is>
      </c>
      <c r="D1190" s="4" t="inlineStr">
        <is>
          <t>Sample 18</t>
        </is>
      </c>
      <c r="E1190" s="4" t="inlineStr">
        <is>
          <t>dev(OOF)</t>
        </is>
      </c>
      <c r="F1190" s="10" t="n">
        <v>40</v>
      </c>
      <c r="G1190" s="10" t="n">
        <v>25.29065051605231</v>
      </c>
      <c r="H1190" s="10" t="n">
        <v>7.43579287006378</v>
      </c>
      <c r="I1190" s="10">
        <f>G1190-1.96*H1190</f>
        <v/>
      </c>
      <c r="J1190" s="10">
        <f>G1190+1.96*H1190</f>
        <v/>
      </c>
      <c r="K1190" s="10">
        <f>G1190-F1190</f>
        <v/>
      </c>
      <c r="L1190" s="4">
        <f>IF(AND(F1190&gt;=I1190,F1190&lt;=J1190),1,0)</f>
        <v/>
      </c>
    </row>
    <row r="1191">
      <c r="A1191" s="4" t="inlineStr">
        <is>
          <t>compression_set_pct</t>
        </is>
      </c>
      <c r="B1191" s="4" t="inlineStr">
        <is>
          <t>G019</t>
        </is>
      </c>
      <c r="C1191" s="4" t="inlineStr">
        <is>
          <t>US7678858B2</t>
        </is>
      </c>
      <c r="D1191" s="4" t="inlineStr">
        <is>
          <t>Example 18</t>
        </is>
      </c>
      <c r="E1191" s="4" t="inlineStr">
        <is>
          <t>dev(OOF)</t>
        </is>
      </c>
      <c r="F1191" s="10" t="n">
        <v>25</v>
      </c>
      <c r="G1191" s="10" t="n">
        <v>30.73684415413977</v>
      </c>
      <c r="H1191" s="10" t="n">
        <v>7.184997521791924</v>
      </c>
      <c r="I1191" s="10">
        <f>G1191-1.96*H1191</f>
        <v/>
      </c>
      <c r="J1191" s="10">
        <f>G1191+1.96*H1191</f>
        <v/>
      </c>
      <c r="K1191" s="10">
        <f>G1191-F1191</f>
        <v/>
      </c>
      <c r="L1191" s="4">
        <f>IF(AND(F1191&gt;=I1191,F1191&lt;=J1191),1,0)</f>
        <v/>
      </c>
    </row>
    <row r="1192">
      <c r="A1192" s="4" t="inlineStr">
        <is>
          <t>compression_set_pct</t>
        </is>
      </c>
      <c r="B1192" s="4" t="inlineStr">
        <is>
          <t>G199</t>
        </is>
      </c>
      <c r="C1192" s="4" t="inlineStr">
        <is>
          <t>US20160319102A1</t>
        </is>
      </c>
      <c r="D1192" s="4" t="inlineStr">
        <is>
          <t>Comparative Example 4</t>
        </is>
      </c>
      <c r="E1192" s="4" t="inlineStr">
        <is>
          <t>dev(OOF)</t>
        </is>
      </c>
      <c r="F1192" s="10" t="n">
        <v>23</v>
      </c>
      <c r="G1192" s="10" t="n">
        <v>24.59974805084462</v>
      </c>
      <c r="H1192" s="10" t="n">
        <v>5.505955147973209</v>
      </c>
      <c r="I1192" s="10">
        <f>G1192-1.96*H1192</f>
        <v/>
      </c>
      <c r="J1192" s="10">
        <f>G1192+1.96*H1192</f>
        <v/>
      </c>
      <c r="K1192" s="10">
        <f>G1192-F1192</f>
        <v/>
      </c>
      <c r="L1192" s="4">
        <f>IF(AND(F1192&gt;=I1192,F1192&lt;=J1192),1,0)</f>
        <v/>
      </c>
    </row>
    <row r="1193">
      <c r="A1193" s="4" t="inlineStr">
        <is>
          <t>compression_set_pct</t>
        </is>
      </c>
      <c r="B1193" s="4" t="inlineStr">
        <is>
          <t>G295</t>
        </is>
      </c>
      <c r="C1193" s="4" t="inlineStr">
        <is>
          <t>EP4249550A1</t>
        </is>
      </c>
      <c r="D1193" s="4" t="inlineStr">
        <is>
          <t>Example 6</t>
        </is>
      </c>
      <c r="E1193" s="4" t="inlineStr">
        <is>
          <t>dev(OOF)</t>
        </is>
      </c>
      <c r="F1193" s="10" t="n">
        <v>32</v>
      </c>
      <c r="G1193" s="10" t="n">
        <v>31.65094310711065</v>
      </c>
      <c r="H1193" s="10" t="n">
        <v>8.282780734658218</v>
      </c>
      <c r="I1193" s="10">
        <f>G1193-1.96*H1193</f>
        <v/>
      </c>
      <c r="J1193" s="10">
        <f>G1193+1.96*H1193</f>
        <v/>
      </c>
      <c r="K1193" s="10">
        <f>G1193-F1193</f>
        <v/>
      </c>
      <c r="L1193" s="4">
        <f>IF(AND(F1193&gt;=I1193,F1193&lt;=J1193),1,0)</f>
        <v/>
      </c>
    </row>
    <row r="1194">
      <c r="A1194" s="4" t="inlineStr">
        <is>
          <t>compression_set_pct</t>
        </is>
      </c>
      <c r="B1194" s="4" t="inlineStr">
        <is>
          <t>G236</t>
        </is>
      </c>
      <c r="C1194" s="4" t="inlineStr">
        <is>
          <t>US8349965B2</t>
        </is>
      </c>
      <c r="D1194" s="4" t="inlineStr">
        <is>
          <t>Example 13</t>
        </is>
      </c>
      <c r="E1194" s="4" t="inlineStr">
        <is>
          <t>dev(OOF)</t>
        </is>
      </c>
      <c r="F1194" s="10" t="n">
        <v>34</v>
      </c>
      <c r="G1194" s="10" t="n">
        <v>30.94115322807961</v>
      </c>
      <c r="H1194" s="10" t="n">
        <v>5.980242469089207</v>
      </c>
      <c r="I1194" s="10">
        <f>G1194-1.96*H1194</f>
        <v/>
      </c>
      <c r="J1194" s="10">
        <f>G1194+1.96*H1194</f>
        <v/>
      </c>
      <c r="K1194" s="10">
        <f>G1194-F1194</f>
        <v/>
      </c>
      <c r="L1194" s="4">
        <f>IF(AND(F1194&gt;=I1194,F1194&lt;=J1194),1,0)</f>
        <v/>
      </c>
    </row>
    <row r="1195">
      <c r="A1195" s="4" t="inlineStr">
        <is>
          <t>compression_set_pct</t>
        </is>
      </c>
      <c r="B1195" s="4" t="inlineStr">
        <is>
          <t>G239</t>
        </is>
      </c>
      <c r="C1195" s="4" t="inlineStr">
        <is>
          <t>US8349965B2</t>
        </is>
      </c>
      <c r="D1195" s="4" t="inlineStr">
        <is>
          <t>Comparative Example 2</t>
        </is>
      </c>
      <c r="E1195" s="4" t="inlineStr">
        <is>
          <t>dev(OOF)</t>
        </is>
      </c>
      <c r="F1195" s="10" t="n">
        <v>34</v>
      </c>
      <c r="G1195" s="10" t="n">
        <v>27.54543755549131</v>
      </c>
      <c r="H1195" s="10" t="n">
        <v>6.278626449453707</v>
      </c>
      <c r="I1195" s="10">
        <f>G1195-1.96*H1195</f>
        <v/>
      </c>
      <c r="J1195" s="10">
        <f>G1195+1.96*H1195</f>
        <v/>
      </c>
      <c r="K1195" s="10">
        <f>G1195-F1195</f>
        <v/>
      </c>
      <c r="L1195" s="4">
        <f>IF(AND(F1195&gt;=I1195,F1195&lt;=J1195),1,0)</f>
        <v/>
      </c>
    </row>
    <row r="1196">
      <c r="A1196" s="4" t="inlineStr">
        <is>
          <t>compression_set_pct</t>
        </is>
      </c>
      <c r="B1196" s="4" t="inlineStr">
        <is>
          <t>G040</t>
        </is>
      </c>
      <c r="C1196" s="4" t="inlineStr">
        <is>
          <t>US8173727B2</t>
        </is>
      </c>
      <c r="D1196" s="4" t="inlineStr">
        <is>
          <t>Example 12</t>
        </is>
      </c>
      <c r="E1196" s="4" t="inlineStr">
        <is>
          <t>dev(OOF)</t>
        </is>
      </c>
      <c r="F1196" s="10" t="n">
        <v>38</v>
      </c>
      <c r="G1196" s="10" t="n">
        <v>23.16623816638191</v>
      </c>
      <c r="H1196" s="10" t="n">
        <v>7.647259357990647</v>
      </c>
      <c r="I1196" s="10">
        <f>G1196-1.96*H1196</f>
        <v/>
      </c>
      <c r="J1196" s="10">
        <f>G1196+1.96*H1196</f>
        <v/>
      </c>
      <c r="K1196" s="10">
        <f>G1196-F1196</f>
        <v/>
      </c>
      <c r="L1196" s="4">
        <f>IF(AND(F1196&gt;=I1196,F1196&lt;=J1196),1,0)</f>
        <v/>
      </c>
    </row>
    <row r="1197">
      <c r="A1197" s="4" t="inlineStr">
        <is>
          <t>compression_set_pct</t>
        </is>
      </c>
      <c r="B1197" s="4" t="inlineStr">
        <is>
          <t>G212</t>
        </is>
      </c>
      <c r="C1197" s="4" t="inlineStr">
        <is>
          <t>US11118045B2</t>
        </is>
      </c>
      <c r="D1197" s="4" t="inlineStr">
        <is>
          <t>Example 9</t>
        </is>
      </c>
      <c r="E1197" s="4" t="inlineStr">
        <is>
          <t>dev(OOF)</t>
        </is>
      </c>
      <c r="F1197" s="10" t="n">
        <v>31</v>
      </c>
      <c r="G1197" s="10" t="n">
        <v>27.76394093558249</v>
      </c>
      <c r="H1197" s="10" t="n">
        <v>6.210398855146261</v>
      </c>
      <c r="I1197" s="10">
        <f>G1197-1.96*H1197</f>
        <v/>
      </c>
      <c r="J1197" s="10">
        <f>G1197+1.96*H1197</f>
        <v/>
      </c>
      <c r="K1197" s="10">
        <f>G1197-F1197</f>
        <v/>
      </c>
      <c r="L1197" s="4">
        <f>IF(AND(F1197&gt;=I1197,F1197&lt;=J1197),1,0)</f>
        <v/>
      </c>
    </row>
    <row r="1198">
      <c r="A1198" s="4" t="inlineStr">
        <is>
          <t>compression_set_pct</t>
        </is>
      </c>
      <c r="B1198" s="4" t="inlineStr">
        <is>
          <t>G109</t>
        </is>
      </c>
      <c r="C1198" s="4" t="inlineStr">
        <is>
          <t>US6992143B2</t>
        </is>
      </c>
      <c r="D1198" s="4" t="inlineStr">
        <is>
          <t>Control Example 3</t>
        </is>
      </c>
      <c r="E1198" s="4" t="inlineStr">
        <is>
          <t>dev(OOF)</t>
        </is>
      </c>
      <c r="F1198" s="10" t="n">
        <v>47</v>
      </c>
      <c r="G1198" s="10" t="n">
        <v>38.56147716806002</v>
      </c>
      <c r="H1198" s="10" t="n">
        <v>9.192381008614747</v>
      </c>
      <c r="I1198" s="10">
        <f>G1198-1.96*H1198</f>
        <v/>
      </c>
      <c r="J1198" s="10">
        <f>G1198+1.96*H1198</f>
        <v/>
      </c>
      <c r="K1198" s="10">
        <f>G1198-F1198</f>
        <v/>
      </c>
      <c r="L1198" s="4">
        <f>IF(AND(F1198&gt;=I1198,F1198&lt;=J1198),1,0)</f>
        <v/>
      </c>
    </row>
    <row r="1199">
      <c r="A1199" s="4" t="inlineStr">
        <is>
          <t>compression_set_pct</t>
        </is>
      </c>
      <c r="B1199" s="4" t="inlineStr">
        <is>
          <t>G167</t>
        </is>
      </c>
      <c r="C1199" s="4" t="inlineStr">
        <is>
          <t>US20050107544A1</t>
        </is>
      </c>
      <c r="D1199" s="4" t="inlineStr">
        <is>
          <t>Sample 4</t>
        </is>
      </c>
      <c r="E1199" s="4" t="inlineStr">
        <is>
          <t>dev(OOF)</t>
        </is>
      </c>
      <c r="F1199" s="10" t="n">
        <v>18</v>
      </c>
      <c r="G1199" s="10" t="n">
        <v>26.3730554775501</v>
      </c>
      <c r="H1199" s="10" t="n">
        <v>12.64485493585639</v>
      </c>
      <c r="I1199" s="10">
        <f>G1199-1.96*H1199</f>
        <v/>
      </c>
      <c r="J1199" s="10">
        <f>G1199+1.96*H1199</f>
        <v/>
      </c>
      <c r="K1199" s="10">
        <f>G1199-F1199</f>
        <v/>
      </c>
      <c r="L1199" s="4">
        <f>IF(AND(F1199&gt;=I1199,F1199&lt;=J1199),1,0)</f>
        <v/>
      </c>
    </row>
    <row r="1200">
      <c r="A1200" s="4" t="inlineStr">
        <is>
          <t>compression_set_pct</t>
        </is>
      </c>
      <c r="B1200" s="4" t="inlineStr">
        <is>
          <t>G054</t>
        </is>
      </c>
      <c r="C1200" s="4" t="inlineStr">
        <is>
          <t>US11753523B2</t>
        </is>
      </c>
      <c r="D1200" s="4" t="inlineStr">
        <is>
          <t>Example 2</t>
        </is>
      </c>
      <c r="E1200" s="4" t="inlineStr">
        <is>
          <t>dev(OOF)</t>
        </is>
      </c>
      <c r="F1200" s="10" t="n">
        <v>33</v>
      </c>
      <c r="G1200" s="10" t="n">
        <v>60.37199241647247</v>
      </c>
      <c r="H1200" s="10" t="n">
        <v>17.36076129846208</v>
      </c>
      <c r="I1200" s="10">
        <f>G1200-1.96*H1200</f>
        <v/>
      </c>
      <c r="J1200" s="10">
        <f>G1200+1.96*H1200</f>
        <v/>
      </c>
      <c r="K1200" s="10">
        <f>G1200-F1200</f>
        <v/>
      </c>
      <c r="L1200" s="4">
        <f>IF(AND(F1200&gt;=I1200,F1200&lt;=J1200),1,0)</f>
        <v/>
      </c>
    </row>
    <row r="1201">
      <c r="A1201" s="4" t="inlineStr">
        <is>
          <t>compression_set_pct</t>
        </is>
      </c>
      <c r="B1201" s="4" t="inlineStr">
        <is>
          <t>G221</t>
        </is>
      </c>
      <c r="C1201" s="4" t="inlineStr">
        <is>
          <t>US11118045B2</t>
        </is>
      </c>
      <c r="D1201" s="4" t="inlineStr">
        <is>
          <t>Comparative Example 2</t>
        </is>
      </c>
      <c r="E1201" s="4" t="inlineStr">
        <is>
          <t>dev(OOF)</t>
        </is>
      </c>
      <c r="F1201" s="10" t="n">
        <v>8</v>
      </c>
      <c r="G1201" s="10" t="n">
        <v>25.76249652283859</v>
      </c>
      <c r="H1201" s="10" t="n">
        <v>12.42517421489334</v>
      </c>
      <c r="I1201" s="10">
        <f>G1201-1.96*H1201</f>
        <v/>
      </c>
      <c r="J1201" s="10">
        <f>G1201+1.96*H1201</f>
        <v/>
      </c>
      <c r="K1201" s="10">
        <f>G1201-F1201</f>
        <v/>
      </c>
      <c r="L1201" s="4">
        <f>IF(AND(F1201&gt;=I1201,F1201&lt;=J1201),1,0)</f>
        <v/>
      </c>
    </row>
    <row r="1202">
      <c r="A1202" s="4" t="inlineStr">
        <is>
          <t>compression_set_pct</t>
        </is>
      </c>
      <c r="B1202" s="4" t="inlineStr">
        <is>
          <t>G290</t>
        </is>
      </c>
      <c r="C1202" s="4" t="inlineStr">
        <is>
          <t>EP4249550A1</t>
        </is>
      </c>
      <c r="D1202" s="4" t="inlineStr">
        <is>
          <t>Example 1</t>
        </is>
      </c>
      <c r="E1202" s="4" t="inlineStr">
        <is>
          <t>dev(OOF)</t>
        </is>
      </c>
      <c r="F1202" s="10" t="n">
        <v>31</v>
      </c>
      <c r="G1202" s="10" t="n">
        <v>29.21958429765667</v>
      </c>
      <c r="H1202" s="10" t="n">
        <v>6.711173301149422</v>
      </c>
      <c r="I1202" s="10">
        <f>G1202-1.96*H1202</f>
        <v/>
      </c>
      <c r="J1202" s="10">
        <f>G1202+1.96*H1202</f>
        <v/>
      </c>
      <c r="K1202" s="10">
        <f>G1202-F1202</f>
        <v/>
      </c>
      <c r="L1202" s="4">
        <f>IF(AND(F1202&gt;=I1202,F1202&lt;=J1202),1,0)</f>
        <v/>
      </c>
    </row>
    <row r="1203">
      <c r="A1203" s="4" t="inlineStr">
        <is>
          <t>compression_set_pct</t>
        </is>
      </c>
      <c r="B1203" s="4" t="inlineStr">
        <is>
          <t>G317</t>
        </is>
      </c>
      <c r="C1203" s="4" t="inlineStr">
        <is>
          <t>KR102400335B1</t>
        </is>
      </c>
      <c r="D1203" s="4" t="inlineStr">
        <is>
          <t>Example 3</t>
        </is>
      </c>
      <c r="E1203" s="4" t="inlineStr">
        <is>
          <t>dev(OOF)</t>
        </is>
      </c>
      <c r="F1203" s="10" t="n">
        <v>18</v>
      </c>
      <c r="G1203" s="10" t="n">
        <v>22.62683020667506</v>
      </c>
      <c r="H1203" s="10" t="n">
        <v>8.004226615316611</v>
      </c>
      <c r="I1203" s="10">
        <f>G1203-1.96*H1203</f>
        <v/>
      </c>
      <c r="J1203" s="10">
        <f>G1203+1.96*H1203</f>
        <v/>
      </c>
      <c r="K1203" s="10">
        <f>G1203-F1203</f>
        <v/>
      </c>
      <c r="L1203" s="4">
        <f>IF(AND(F1203&gt;=I1203,F1203&lt;=J1203),1,0)</f>
        <v/>
      </c>
    </row>
    <row r="1204">
      <c r="A1204" s="4" t="inlineStr">
        <is>
          <t>compression_set_pct</t>
        </is>
      </c>
      <c r="B1204" s="4" t="inlineStr">
        <is>
          <t>G045</t>
        </is>
      </c>
      <c r="C1204" s="4" t="inlineStr">
        <is>
          <t>US8211964B2</t>
        </is>
      </c>
      <c r="D1204" s="4" t="inlineStr">
        <is>
          <t>Example 4</t>
        </is>
      </c>
      <c r="E1204" s="4" t="inlineStr">
        <is>
          <t>dev(OOF)</t>
        </is>
      </c>
      <c r="F1204" s="10" t="n">
        <v>42</v>
      </c>
      <c r="G1204" s="10" t="n">
        <v>43.36933026265932</v>
      </c>
      <c r="H1204" s="10" t="n">
        <v>11.57959287562962</v>
      </c>
      <c r="I1204" s="10">
        <f>G1204-1.96*H1204</f>
        <v/>
      </c>
      <c r="J1204" s="10">
        <f>G1204+1.96*H1204</f>
        <v/>
      </c>
      <c r="K1204" s="10">
        <f>G1204-F1204</f>
        <v/>
      </c>
      <c r="L1204" s="4">
        <f>IF(AND(F1204&gt;=I1204,F1204&lt;=J1204),1,0)</f>
        <v/>
      </c>
    </row>
    <row r="1205">
      <c r="A1205" s="4" t="inlineStr">
        <is>
          <t>compression_set_pct</t>
        </is>
      </c>
      <c r="B1205" s="4" t="inlineStr">
        <is>
          <t>G194</t>
        </is>
      </c>
      <c r="C1205" s="4" t="inlineStr">
        <is>
          <t>US20160319102A1</t>
        </is>
      </c>
      <c r="D1205" s="4" t="inlineStr">
        <is>
          <t>Example 5</t>
        </is>
      </c>
      <c r="E1205" s="4" t="inlineStr">
        <is>
          <t>dev(OOF)</t>
        </is>
      </c>
      <c r="F1205" s="10" t="n">
        <v>18</v>
      </c>
      <c r="G1205" s="10" t="n">
        <v>16.30724204090265</v>
      </c>
      <c r="H1205" s="10" t="n">
        <v>4.58115151380131</v>
      </c>
      <c r="I1205" s="10">
        <f>G1205-1.96*H1205</f>
        <v/>
      </c>
      <c r="J1205" s="10">
        <f>G1205+1.96*H1205</f>
        <v/>
      </c>
      <c r="K1205" s="10">
        <f>G1205-F1205</f>
        <v/>
      </c>
      <c r="L1205" s="4">
        <f>IF(AND(F1205&gt;=I1205,F1205&lt;=J1205),1,0)</f>
        <v/>
      </c>
    </row>
    <row r="1206">
      <c r="A1206" s="4" t="inlineStr">
        <is>
          <t>compression_set_pct</t>
        </is>
      </c>
      <c r="B1206" s="4" t="inlineStr">
        <is>
          <t>G200</t>
        </is>
      </c>
      <c r="C1206" s="4" t="inlineStr">
        <is>
          <t>US20160319102A1</t>
        </is>
      </c>
      <c r="D1206" s="4" t="inlineStr">
        <is>
          <t>Comparative Example 5</t>
        </is>
      </c>
      <c r="E1206" s="4" t="inlineStr">
        <is>
          <t>dev(OOF)</t>
        </is>
      </c>
      <c r="F1206" s="10" t="n">
        <v>27</v>
      </c>
      <c r="G1206" s="10" t="n">
        <v>26.6446437456195</v>
      </c>
      <c r="H1206" s="10" t="n">
        <v>6.382658347372375</v>
      </c>
      <c r="I1206" s="10">
        <f>G1206-1.96*H1206</f>
        <v/>
      </c>
      <c r="J1206" s="10">
        <f>G1206+1.96*H1206</f>
        <v/>
      </c>
      <c r="K1206" s="10">
        <f>G1206-F1206</f>
        <v/>
      </c>
      <c r="L1206" s="4">
        <f>IF(AND(F1206&gt;=I1206,F1206&lt;=J1206),1,0)</f>
        <v/>
      </c>
    </row>
    <row r="1207">
      <c r="A1207" s="4" t="inlineStr">
        <is>
          <t>compression_set_pct</t>
        </is>
      </c>
      <c r="B1207" s="4" t="inlineStr">
        <is>
          <t>G192</t>
        </is>
      </c>
      <c r="C1207" s="4" t="inlineStr">
        <is>
          <t>US20160319102A1</t>
        </is>
      </c>
      <c r="D1207" s="4" t="inlineStr">
        <is>
          <t>Example 3</t>
        </is>
      </c>
      <c r="E1207" s="4" t="inlineStr">
        <is>
          <t>dev(OOF)</t>
        </is>
      </c>
      <c r="F1207" s="10" t="n">
        <v>23</v>
      </c>
      <c r="G1207" s="10" t="n">
        <v>24.10806677309104</v>
      </c>
      <c r="H1207" s="10" t="n">
        <v>5.622959043916874</v>
      </c>
      <c r="I1207" s="10">
        <f>G1207-1.96*H1207</f>
        <v/>
      </c>
      <c r="J1207" s="10">
        <f>G1207+1.96*H1207</f>
        <v/>
      </c>
      <c r="K1207" s="10">
        <f>G1207-F1207</f>
        <v/>
      </c>
      <c r="L1207" s="4">
        <f>IF(AND(F1207&gt;=I1207,F1207&lt;=J1207),1,0)</f>
        <v/>
      </c>
    </row>
    <row r="1208">
      <c r="A1208" s="4" t="inlineStr">
        <is>
          <t>compression_set_pct</t>
        </is>
      </c>
      <c r="B1208" s="4" t="inlineStr">
        <is>
          <t>G299</t>
        </is>
      </c>
      <c r="C1208" s="4" t="inlineStr">
        <is>
          <t>EP4249550A1</t>
        </is>
      </c>
      <c r="D1208" s="4" t="inlineStr">
        <is>
          <t>Example 11</t>
        </is>
      </c>
      <c r="E1208" s="4" t="inlineStr">
        <is>
          <t>dev(OOF)</t>
        </is>
      </c>
      <c r="F1208" s="10" t="n">
        <v>28</v>
      </c>
      <c r="G1208" s="10" t="n">
        <v>33.81071213347909</v>
      </c>
      <c r="H1208" s="10" t="n">
        <v>8.875112218334035</v>
      </c>
      <c r="I1208" s="10">
        <f>G1208-1.96*H1208</f>
        <v/>
      </c>
      <c r="J1208" s="10">
        <f>G1208+1.96*H1208</f>
        <v/>
      </c>
      <c r="K1208" s="10">
        <f>G1208-F1208</f>
        <v/>
      </c>
      <c r="L1208" s="4">
        <f>IF(AND(F1208&gt;=I1208,F1208&lt;=J1208),1,0)</f>
        <v/>
      </c>
    </row>
    <row r="1209">
      <c r="A1209" s="4" t="inlineStr">
        <is>
          <t>compression_set_pct</t>
        </is>
      </c>
      <c r="B1209" s="4" t="inlineStr">
        <is>
          <t>G143</t>
        </is>
      </c>
      <c r="C1209" s="4" t="inlineStr">
        <is>
          <t>US7247749B2</t>
        </is>
      </c>
      <c r="D1209" s="4" t="inlineStr">
        <is>
          <t>Sample 19</t>
        </is>
      </c>
      <c r="E1209" s="4" t="inlineStr">
        <is>
          <t>dev(OOF)</t>
        </is>
      </c>
      <c r="F1209" s="10" t="n">
        <v>24</v>
      </c>
      <c r="G1209" s="10" t="n">
        <v>12.70600180767332</v>
      </c>
      <c r="H1209" s="10" t="n">
        <v>4.825823892860011</v>
      </c>
      <c r="I1209" s="10">
        <f>G1209-1.96*H1209</f>
        <v/>
      </c>
      <c r="J1209" s="10">
        <f>G1209+1.96*H1209</f>
        <v/>
      </c>
      <c r="K1209" s="10">
        <f>G1209-F1209</f>
        <v/>
      </c>
      <c r="L1209" s="4">
        <f>IF(AND(F1209&gt;=I1209,F1209&lt;=J1209),1,0)</f>
        <v/>
      </c>
    </row>
    <row r="1210">
      <c r="A1210" s="4" t="inlineStr">
        <is>
          <t>compression_set_pct</t>
        </is>
      </c>
      <c r="B1210" s="4" t="inlineStr">
        <is>
          <t>G302</t>
        </is>
      </c>
      <c r="C1210" s="4" t="inlineStr">
        <is>
          <t>EP4249550A1</t>
        </is>
      </c>
      <c r="D1210" s="4" t="inlineStr">
        <is>
          <t>Comparative Example 1</t>
        </is>
      </c>
      <c r="E1210" s="4" t="inlineStr">
        <is>
          <t>dev(OOF)</t>
        </is>
      </c>
      <c r="F1210" s="10" t="n">
        <v>30</v>
      </c>
      <c r="G1210" s="10" t="n">
        <v>28.55263275109711</v>
      </c>
      <c r="H1210" s="10" t="n">
        <v>6.337338452622751</v>
      </c>
      <c r="I1210" s="10">
        <f>G1210-1.96*H1210</f>
        <v/>
      </c>
      <c r="J1210" s="10">
        <f>G1210+1.96*H1210</f>
        <v/>
      </c>
      <c r="K1210" s="10">
        <f>G1210-F1210</f>
        <v/>
      </c>
      <c r="L1210" s="4">
        <f>IF(AND(F1210&gt;=I1210,F1210&lt;=J1210),1,0)</f>
        <v/>
      </c>
    </row>
    <row r="1211">
      <c r="A1211" s="4" t="inlineStr">
        <is>
          <t>compression_set_pct</t>
        </is>
      </c>
      <c r="B1211" s="4" t="inlineStr">
        <is>
          <t>G146</t>
        </is>
      </c>
      <c r="C1211" s="4" t="inlineStr">
        <is>
          <t>US7247749B2</t>
        </is>
      </c>
      <c r="D1211" s="4" t="inlineStr">
        <is>
          <t>Sample 22</t>
        </is>
      </c>
      <c r="E1211" s="4" t="inlineStr">
        <is>
          <t>dev(OOF)</t>
        </is>
      </c>
      <c r="F1211" s="10" t="n">
        <v>17</v>
      </c>
      <c r="G1211" s="10" t="n">
        <v>23.52877377988349</v>
      </c>
      <c r="H1211" s="10" t="n">
        <v>5.553186989820591</v>
      </c>
      <c r="I1211" s="10">
        <f>G1211-1.96*H1211</f>
        <v/>
      </c>
      <c r="J1211" s="10">
        <f>G1211+1.96*H1211</f>
        <v/>
      </c>
      <c r="K1211" s="10">
        <f>G1211-F1211</f>
        <v/>
      </c>
      <c r="L1211" s="4">
        <f>IF(AND(F1211&gt;=I1211,F1211&lt;=J1211),1,0)</f>
        <v/>
      </c>
    </row>
    <row r="1212">
      <c r="A1212" s="4" t="inlineStr">
        <is>
          <t>compression_set_pct</t>
        </is>
      </c>
      <c r="B1212" s="4" t="inlineStr">
        <is>
          <t>G202</t>
        </is>
      </c>
      <c r="C1212" s="4" t="inlineStr">
        <is>
          <t>US20160319102A1</t>
        </is>
      </c>
      <c r="D1212" s="4" t="inlineStr">
        <is>
          <t>Comparative Example 8</t>
        </is>
      </c>
      <c r="E1212" s="4" t="inlineStr">
        <is>
          <t>dev(OOF)</t>
        </is>
      </c>
      <c r="F1212" s="10" t="n">
        <v>30</v>
      </c>
      <c r="G1212" s="10" t="n">
        <v>27.78364052779121</v>
      </c>
      <c r="H1212" s="10" t="n">
        <v>8.16857580359812</v>
      </c>
      <c r="I1212" s="10">
        <f>G1212-1.96*H1212</f>
        <v/>
      </c>
      <c r="J1212" s="10">
        <f>G1212+1.96*H1212</f>
        <v/>
      </c>
      <c r="K1212" s="10">
        <f>G1212-F1212</f>
        <v/>
      </c>
      <c r="L1212" s="4">
        <f>IF(AND(F1212&gt;=I1212,F1212&lt;=J1212),1,0)</f>
        <v/>
      </c>
    </row>
    <row r="1213">
      <c r="A1213" s="4" t="inlineStr">
        <is>
          <t>compression_set_pct</t>
        </is>
      </c>
      <c r="B1213" s="4" t="inlineStr">
        <is>
          <t>G238</t>
        </is>
      </c>
      <c r="C1213" s="4" t="inlineStr">
        <is>
          <t>US8349965B2</t>
        </is>
      </c>
      <c r="D1213" s="4" t="inlineStr">
        <is>
          <t>Comparative Example 1</t>
        </is>
      </c>
      <c r="E1213" s="4" t="inlineStr">
        <is>
          <t>dev(OOF)</t>
        </is>
      </c>
      <c r="F1213" s="10" t="n">
        <v>23</v>
      </c>
      <c r="G1213" s="10" t="n">
        <v>29.79675260526005</v>
      </c>
      <c r="H1213" s="10" t="n">
        <v>6.211770029585149</v>
      </c>
      <c r="I1213" s="10">
        <f>G1213-1.96*H1213</f>
        <v/>
      </c>
      <c r="J1213" s="10">
        <f>G1213+1.96*H1213</f>
        <v/>
      </c>
      <c r="K1213" s="10">
        <f>G1213-F1213</f>
        <v/>
      </c>
      <c r="L1213" s="4">
        <f>IF(AND(F1213&gt;=I1213,F1213&lt;=J1213),1,0)</f>
        <v/>
      </c>
    </row>
    <row r="1214">
      <c r="A1214" s="4" t="inlineStr">
        <is>
          <t>compression_set_pct</t>
        </is>
      </c>
      <c r="B1214" s="4" t="inlineStr">
        <is>
          <t>G292</t>
        </is>
      </c>
      <c r="C1214" s="4" t="inlineStr">
        <is>
          <t>EP4249550A1</t>
        </is>
      </c>
      <c r="D1214" s="4" t="inlineStr">
        <is>
          <t>Example 3</t>
        </is>
      </c>
      <c r="E1214" s="4" t="inlineStr">
        <is>
          <t>dev(OOF)</t>
        </is>
      </c>
      <c r="F1214" s="10" t="n">
        <v>30</v>
      </c>
      <c r="G1214" s="10" t="n">
        <v>28.77929515485739</v>
      </c>
      <c r="H1214" s="10" t="n">
        <v>6.412676398234082</v>
      </c>
      <c r="I1214" s="10">
        <f>G1214-1.96*H1214</f>
        <v/>
      </c>
      <c r="J1214" s="10">
        <f>G1214+1.96*H1214</f>
        <v/>
      </c>
      <c r="K1214" s="10">
        <f>G1214-F1214</f>
        <v/>
      </c>
      <c r="L1214" s="4">
        <f>IF(AND(F1214&gt;=I1214,F1214&lt;=J1214),1,0)</f>
        <v/>
      </c>
    </row>
    <row r="1215">
      <c r="A1215" s="4" t="inlineStr">
        <is>
          <t>compression_set_pct</t>
        </is>
      </c>
      <c r="B1215" s="4" t="inlineStr">
        <is>
          <t>G303</t>
        </is>
      </c>
      <c r="C1215" s="4" t="inlineStr">
        <is>
          <t>EP4249550A1</t>
        </is>
      </c>
      <c r="D1215" s="4" t="inlineStr">
        <is>
          <t>Comparative Example 2</t>
        </is>
      </c>
      <c r="E1215" s="4" t="inlineStr">
        <is>
          <t>dev(OOF)</t>
        </is>
      </c>
      <c r="F1215" s="10" t="n">
        <v>33</v>
      </c>
      <c r="G1215" s="10" t="n">
        <v>30.43972076350198</v>
      </c>
      <c r="H1215" s="10" t="n">
        <v>6.951732897496888</v>
      </c>
      <c r="I1215" s="10">
        <f>G1215-1.96*H1215</f>
        <v/>
      </c>
      <c r="J1215" s="10">
        <f>G1215+1.96*H1215</f>
        <v/>
      </c>
      <c r="K1215" s="10">
        <f>G1215-F1215</f>
        <v/>
      </c>
      <c r="L1215" s="4">
        <f>IF(AND(F1215&gt;=I1215,F1215&lt;=J1215),1,0)</f>
        <v/>
      </c>
    </row>
    <row r="1216">
      <c r="A1216" s="4" t="inlineStr">
        <is>
          <t>compression_set_pct</t>
        </is>
      </c>
      <c r="B1216" s="4" t="inlineStr">
        <is>
          <t>G062</t>
        </is>
      </c>
      <c r="C1216" s="4" t="inlineStr">
        <is>
          <t>US11753523B2</t>
        </is>
      </c>
      <c r="D1216" s="4" t="inlineStr">
        <is>
          <t>Comparative Example 5</t>
        </is>
      </c>
      <c r="E1216" s="4" t="inlineStr">
        <is>
          <t>dev(OOF)</t>
        </is>
      </c>
      <c r="F1216" s="10" t="n">
        <v>84</v>
      </c>
      <c r="G1216" s="10" t="n">
        <v>44.56709163384616</v>
      </c>
      <c r="H1216" s="10" t="n">
        <v>11.23588138913545</v>
      </c>
      <c r="I1216" s="10">
        <f>G1216-1.96*H1216</f>
        <v/>
      </c>
      <c r="J1216" s="10">
        <f>G1216+1.96*H1216</f>
        <v/>
      </c>
      <c r="K1216" s="10">
        <f>G1216-F1216</f>
        <v/>
      </c>
      <c r="L1216" s="4">
        <f>IF(AND(F1216&gt;=I1216,F1216&lt;=J1216),1,0)</f>
        <v/>
      </c>
    </row>
    <row r="1217">
      <c r="A1217" s="4" t="inlineStr">
        <is>
          <t>compression_set_pct</t>
        </is>
      </c>
      <c r="B1217" s="4" t="inlineStr">
        <is>
          <t>G157</t>
        </is>
      </c>
      <c r="C1217" s="4" t="inlineStr">
        <is>
          <t>US7402630B2</t>
        </is>
      </c>
      <c r="D1217" s="4" t="inlineStr">
        <is>
          <t>Comparative Example A</t>
        </is>
      </c>
      <c r="E1217" s="4" t="inlineStr">
        <is>
          <t>dev(OOF)</t>
        </is>
      </c>
      <c r="F1217" s="10" t="n">
        <v>48</v>
      </c>
      <c r="G1217" s="10" t="n">
        <v>30.69360726844939</v>
      </c>
      <c r="H1217" s="10" t="n">
        <v>13.41742348025825</v>
      </c>
      <c r="I1217" s="10">
        <f>G1217-1.96*H1217</f>
        <v/>
      </c>
      <c r="J1217" s="10">
        <f>G1217+1.96*H1217</f>
        <v/>
      </c>
      <c r="K1217" s="10">
        <f>G1217-F1217</f>
        <v/>
      </c>
      <c r="L1217" s="4">
        <f>IF(AND(F1217&gt;=I1217,F1217&lt;=J1217),1,0)</f>
        <v/>
      </c>
    </row>
    <row r="1218">
      <c r="A1218" s="4" t="inlineStr">
        <is>
          <t>compression_set_pct</t>
        </is>
      </c>
      <c r="B1218" s="4" t="inlineStr">
        <is>
          <t>G096</t>
        </is>
      </c>
      <c r="C1218" s="4" t="inlineStr">
        <is>
          <t>US8367776B2</t>
        </is>
      </c>
      <c r="D1218" s="4" t="inlineStr">
        <is>
          <t>Example 14</t>
        </is>
      </c>
      <c r="E1218" s="4" t="inlineStr">
        <is>
          <t>dev(OOF)</t>
        </is>
      </c>
      <c r="F1218" s="10" t="n">
        <v>17.7</v>
      </c>
      <c r="G1218" s="10" t="n">
        <v>25.92956946041284</v>
      </c>
      <c r="H1218" s="10" t="n">
        <v>6.154381050095038</v>
      </c>
      <c r="I1218" s="10">
        <f>G1218-1.96*H1218</f>
        <v/>
      </c>
      <c r="J1218" s="10">
        <f>G1218+1.96*H1218</f>
        <v/>
      </c>
      <c r="K1218" s="10">
        <f>G1218-F1218</f>
        <v/>
      </c>
      <c r="L1218" s="4">
        <f>IF(AND(F1218&gt;=I1218,F1218&lt;=J1218),1,0)</f>
        <v/>
      </c>
    </row>
    <row r="1219">
      <c r="A1219" s="4" t="inlineStr">
        <is>
          <t>compression_set_pct</t>
        </is>
      </c>
      <c r="B1219" s="4" t="inlineStr">
        <is>
          <t>G189</t>
        </is>
      </c>
      <c r="C1219" s="4" t="inlineStr">
        <is>
          <t>US20090093590A1</t>
        </is>
      </c>
      <c r="D1219" s="4" t="inlineStr">
        <is>
          <t>Comparative Example 8</t>
        </is>
      </c>
      <c r="E1219" s="4" t="inlineStr">
        <is>
          <t>dev(OOF)</t>
        </is>
      </c>
      <c r="F1219" s="10" t="n">
        <v>35</v>
      </c>
      <c r="G1219" s="10" t="n">
        <v>27.47244843846414</v>
      </c>
      <c r="H1219" s="10" t="n">
        <v>6.873506947715055</v>
      </c>
      <c r="I1219" s="10">
        <f>G1219-1.96*H1219</f>
        <v/>
      </c>
      <c r="J1219" s="10">
        <f>G1219+1.96*H1219</f>
        <v/>
      </c>
      <c r="K1219" s="10">
        <f>G1219-F1219</f>
        <v/>
      </c>
      <c r="L1219" s="4">
        <f>IF(AND(F1219&gt;=I1219,F1219&lt;=J1219),1,0)</f>
        <v/>
      </c>
    </row>
    <row r="1220">
      <c r="A1220" s="4" t="inlineStr">
        <is>
          <t>compression_set_pct</t>
        </is>
      </c>
      <c r="B1220" s="4" t="inlineStr">
        <is>
          <t>G207</t>
        </is>
      </c>
      <c r="C1220" s="4" t="inlineStr">
        <is>
          <t>US11118045B2</t>
        </is>
      </c>
      <c r="D1220" s="4" t="inlineStr">
        <is>
          <t>Example 4</t>
        </is>
      </c>
      <c r="E1220" s="4" t="inlineStr">
        <is>
          <t>dev(OOF)</t>
        </is>
      </c>
      <c r="F1220" s="10" t="n">
        <v>24</v>
      </c>
      <c r="G1220" s="10" t="n">
        <v>26.43472701819177</v>
      </c>
      <c r="H1220" s="10" t="n">
        <v>5.927122643768436</v>
      </c>
      <c r="I1220" s="10">
        <f>G1220-1.96*H1220</f>
        <v/>
      </c>
      <c r="J1220" s="10">
        <f>G1220+1.96*H1220</f>
        <v/>
      </c>
      <c r="K1220" s="10">
        <f>G1220-F1220</f>
        <v/>
      </c>
      <c r="L1220" s="4">
        <f>IF(AND(F1220&gt;=I1220,F1220&lt;=J1220),1,0)</f>
        <v/>
      </c>
    </row>
    <row r="1221">
      <c r="A1221" s="4" t="inlineStr">
        <is>
          <t>compression_set_pct</t>
        </is>
      </c>
      <c r="B1221" s="4" t="inlineStr">
        <is>
          <t>G318</t>
        </is>
      </c>
      <c r="C1221" s="4" t="inlineStr">
        <is>
          <t>KR102400335B1</t>
        </is>
      </c>
      <c r="D1221" s="4" t="inlineStr">
        <is>
          <t>Example 4</t>
        </is>
      </c>
      <c r="E1221" s="4" t="inlineStr">
        <is>
          <t>dev(OOF)</t>
        </is>
      </c>
      <c r="F1221" s="10" t="n">
        <v>24</v>
      </c>
      <c r="G1221" s="10" t="n">
        <v>29.35906492810624</v>
      </c>
      <c r="H1221" s="10" t="n">
        <v>8.60059567085005</v>
      </c>
      <c r="I1221" s="10">
        <f>G1221-1.96*H1221</f>
        <v/>
      </c>
      <c r="J1221" s="10">
        <f>G1221+1.96*H1221</f>
        <v/>
      </c>
      <c r="K1221" s="10">
        <f>G1221-F1221</f>
        <v/>
      </c>
      <c r="L1221" s="4">
        <f>IF(AND(F1221&gt;=I1221,F1221&lt;=J1221),1,0)</f>
        <v/>
      </c>
    </row>
    <row r="1222">
      <c r="A1222" s="4" t="inlineStr">
        <is>
          <t>compression_set_pct</t>
        </is>
      </c>
      <c r="B1222" s="4" t="inlineStr">
        <is>
          <t>G137</t>
        </is>
      </c>
      <c r="C1222" s="4" t="inlineStr">
        <is>
          <t>US7247749B2</t>
        </is>
      </c>
      <c r="D1222" s="4" t="inlineStr">
        <is>
          <t>Sample 13</t>
        </is>
      </c>
      <c r="E1222" s="4" t="inlineStr">
        <is>
          <t>dev(OOF)</t>
        </is>
      </c>
      <c r="F1222" s="10" t="n">
        <v>11</v>
      </c>
      <c r="G1222" s="10" t="n">
        <v>12.10417773607584</v>
      </c>
      <c r="H1222" s="10" t="n">
        <v>5.127058066849855</v>
      </c>
      <c r="I1222" s="10">
        <f>G1222-1.96*H1222</f>
        <v/>
      </c>
      <c r="J1222" s="10">
        <f>G1222+1.96*H1222</f>
        <v/>
      </c>
      <c r="K1222" s="10">
        <f>G1222-F1222</f>
        <v/>
      </c>
      <c r="L1222" s="4">
        <f>IF(AND(F1222&gt;=I1222,F1222&lt;=J1222),1,0)</f>
        <v/>
      </c>
    </row>
    <row r="1223">
      <c r="A1223" s="4" t="inlineStr">
        <is>
          <t>compression_set_pct</t>
        </is>
      </c>
      <c r="B1223" s="4" t="inlineStr">
        <is>
          <t>G145</t>
        </is>
      </c>
      <c r="C1223" s="4" t="inlineStr">
        <is>
          <t>US7247749B2</t>
        </is>
      </c>
      <c r="D1223" s="4" t="inlineStr">
        <is>
          <t>Sample 21</t>
        </is>
      </c>
      <c r="E1223" s="4" t="inlineStr">
        <is>
          <t>dev(OOF)</t>
        </is>
      </c>
      <c r="F1223" s="10" t="n">
        <v>31</v>
      </c>
      <c r="G1223" s="10" t="n">
        <v>25.12562241914328</v>
      </c>
      <c r="H1223" s="10" t="n">
        <v>12.50719618862363</v>
      </c>
      <c r="I1223" s="10">
        <f>G1223-1.96*H1223</f>
        <v/>
      </c>
      <c r="J1223" s="10">
        <f>G1223+1.96*H1223</f>
        <v/>
      </c>
      <c r="K1223" s="10">
        <f>G1223-F1223</f>
        <v/>
      </c>
      <c r="L1223" s="4">
        <f>IF(AND(F1223&gt;=I1223,F1223&lt;=J1223),1,0)</f>
        <v/>
      </c>
    </row>
    <row r="1224">
      <c r="A1224" s="4" t="inlineStr">
        <is>
          <t>compression_set_pct</t>
        </is>
      </c>
      <c r="B1224" s="4" t="inlineStr">
        <is>
          <t>G059</t>
        </is>
      </c>
      <c r="C1224" s="4" t="inlineStr">
        <is>
          <t>US11753523B2</t>
        </is>
      </c>
      <c r="D1224" s="4" t="inlineStr">
        <is>
          <t>Comparative Example 2</t>
        </is>
      </c>
      <c r="E1224" s="4" t="inlineStr">
        <is>
          <t>dev(OOF)</t>
        </is>
      </c>
      <c r="F1224" s="10" t="n">
        <v>59</v>
      </c>
      <c r="G1224" s="10" t="n">
        <v>60.37199241647247</v>
      </c>
      <c r="H1224" s="10" t="n">
        <v>17.36076129846208</v>
      </c>
      <c r="I1224" s="10">
        <f>G1224-1.96*H1224</f>
        <v/>
      </c>
      <c r="J1224" s="10">
        <f>G1224+1.96*H1224</f>
        <v/>
      </c>
      <c r="K1224" s="10">
        <f>G1224-F1224</f>
        <v/>
      </c>
      <c r="L1224" s="4">
        <f>IF(AND(F1224&gt;=I1224,F1224&lt;=J1224),1,0)</f>
        <v/>
      </c>
    </row>
    <row r="1225">
      <c r="A1225" s="4" t="inlineStr">
        <is>
          <t>compression_set_pct</t>
        </is>
      </c>
      <c r="B1225" s="4" t="inlineStr">
        <is>
          <t>G159</t>
        </is>
      </c>
      <c r="C1225" s="4" t="inlineStr">
        <is>
          <t>US6956085B2</t>
        </is>
      </c>
      <c r="D1225" s="4" t="inlineStr">
        <is>
          <t>Example 2</t>
        </is>
      </c>
      <c r="E1225" s="4" t="inlineStr">
        <is>
          <t>dev(OOF)</t>
        </is>
      </c>
      <c r="F1225" s="10" t="n">
        <v>59</v>
      </c>
      <c r="G1225" s="10" t="n">
        <v>52.83747680948206</v>
      </c>
      <c r="H1225" s="10" t="n">
        <v>13.30387279124141</v>
      </c>
      <c r="I1225" s="10">
        <f>G1225-1.96*H1225</f>
        <v/>
      </c>
      <c r="J1225" s="10">
        <f>G1225+1.96*H1225</f>
        <v/>
      </c>
      <c r="K1225" s="10">
        <f>G1225-F1225</f>
        <v/>
      </c>
      <c r="L1225" s="4">
        <f>IF(AND(F1225&gt;=I1225,F1225&lt;=J1225),1,0)</f>
        <v/>
      </c>
    </row>
    <row r="1226">
      <c r="A1226" s="4" t="inlineStr">
        <is>
          <t>compression_set_pct</t>
        </is>
      </c>
      <c r="B1226" s="4" t="inlineStr">
        <is>
          <t>G039</t>
        </is>
      </c>
      <c r="C1226" s="4" t="inlineStr">
        <is>
          <t>US8173727B2</t>
        </is>
      </c>
      <c r="D1226" s="4" t="inlineStr">
        <is>
          <t>Example 11</t>
        </is>
      </c>
      <c r="E1226" s="4" t="inlineStr">
        <is>
          <t>test</t>
        </is>
      </c>
      <c r="F1226" s="10" t="n">
        <v>32</v>
      </c>
      <c r="G1226" s="10" t="n">
        <v>28.71138837795969</v>
      </c>
      <c r="H1226" s="10" t="n">
        <v>7.650919056061872</v>
      </c>
      <c r="I1226" s="10">
        <f>G1226-1.96*H1226</f>
        <v/>
      </c>
      <c r="J1226" s="10">
        <f>G1226+1.96*H1226</f>
        <v/>
      </c>
      <c r="K1226" s="10">
        <f>G1226-F1226</f>
        <v/>
      </c>
      <c r="L1226" s="4">
        <f>IF(AND(F1226&gt;=I1226,F1226&lt;=J1226),1,0)</f>
        <v/>
      </c>
    </row>
    <row r="1227">
      <c r="A1227" s="4" t="inlineStr">
        <is>
          <t>compression_set_pct</t>
        </is>
      </c>
      <c r="B1227" s="4" t="inlineStr">
        <is>
          <t>G088</t>
        </is>
      </c>
      <c r="C1227" s="4" t="inlineStr">
        <is>
          <t>US8367776B2</t>
        </is>
      </c>
      <c r="D1227" s="4" t="inlineStr">
        <is>
          <t>Example 6</t>
        </is>
      </c>
      <c r="E1227" s="4" t="inlineStr">
        <is>
          <t>test</t>
        </is>
      </c>
      <c r="F1227" s="10" t="n">
        <v>17.3</v>
      </c>
      <c r="G1227" s="10" t="n">
        <v>21.51693675785994</v>
      </c>
      <c r="H1227" s="10" t="n">
        <v>4.698762154281553</v>
      </c>
      <c r="I1227" s="10">
        <f>G1227-1.96*H1227</f>
        <v/>
      </c>
      <c r="J1227" s="10">
        <f>G1227+1.96*H1227</f>
        <v/>
      </c>
      <c r="K1227" s="10">
        <f>G1227-F1227</f>
        <v/>
      </c>
      <c r="L1227" s="4">
        <f>IF(AND(F1227&gt;=I1227,F1227&lt;=J1227),1,0)</f>
        <v/>
      </c>
    </row>
    <row r="1228">
      <c r="A1228" s="4" t="inlineStr">
        <is>
          <t>compression_set_pct</t>
        </is>
      </c>
      <c r="B1228" s="4" t="inlineStr">
        <is>
          <t>G127</t>
        </is>
      </c>
      <c r="C1228" s="4" t="inlineStr">
        <is>
          <t>US7247749B2</t>
        </is>
      </c>
      <c r="D1228" s="4" t="inlineStr">
        <is>
          <t>Sample 3</t>
        </is>
      </c>
      <c r="E1228" s="4" t="inlineStr">
        <is>
          <t>test</t>
        </is>
      </c>
      <c r="F1228" s="10" t="n">
        <v>23</v>
      </c>
      <c r="G1228" s="10" t="n">
        <v>10.62276670709663</v>
      </c>
      <c r="H1228" s="10" t="n">
        <v>2.807660296132028</v>
      </c>
      <c r="I1228" s="10">
        <f>G1228-1.96*H1228</f>
        <v/>
      </c>
      <c r="J1228" s="10">
        <f>G1228+1.96*H1228</f>
        <v/>
      </c>
      <c r="K1228" s="10">
        <f>G1228-F1228</f>
        <v/>
      </c>
      <c r="L1228" s="4">
        <f>IF(AND(F1228&gt;=I1228,F1228&lt;=J1228),1,0)</f>
        <v/>
      </c>
    </row>
    <row r="1229">
      <c r="A1229" s="4" t="inlineStr">
        <is>
          <t>compression_set_pct</t>
        </is>
      </c>
      <c r="B1229" s="4" t="inlineStr">
        <is>
          <t>G087</t>
        </is>
      </c>
      <c r="C1229" s="4" t="inlineStr">
        <is>
          <t>US8367776B2</t>
        </is>
      </c>
      <c r="D1229" s="4" t="inlineStr">
        <is>
          <t>Example 5</t>
        </is>
      </c>
      <c r="E1229" s="4" t="inlineStr">
        <is>
          <t>test</t>
        </is>
      </c>
      <c r="F1229" s="10" t="n">
        <v>19.7</v>
      </c>
      <c r="G1229" s="10" t="n">
        <v>19.54448389829416</v>
      </c>
      <c r="H1229" s="10" t="n">
        <v>4.241154349646666</v>
      </c>
      <c r="I1229" s="10">
        <f>G1229-1.96*H1229</f>
        <v/>
      </c>
      <c r="J1229" s="10">
        <f>G1229+1.96*H1229</f>
        <v/>
      </c>
      <c r="K1229" s="10">
        <f>G1229-F1229</f>
        <v/>
      </c>
      <c r="L1229" s="4">
        <f>IF(AND(F1229&gt;=I1229,F1229&lt;=J1229),1,0)</f>
        <v/>
      </c>
    </row>
    <row r="1230">
      <c r="A1230" s="4" t="inlineStr">
        <is>
          <t>compression_set_pct</t>
        </is>
      </c>
      <c r="B1230" s="4" t="inlineStr">
        <is>
          <t>G151</t>
        </is>
      </c>
      <c r="C1230" s="4" t="inlineStr">
        <is>
          <t>US7247749B2</t>
        </is>
      </c>
      <c r="D1230" s="4" t="inlineStr">
        <is>
          <t>Control Sample 31</t>
        </is>
      </c>
      <c r="E1230" s="4" t="inlineStr">
        <is>
          <t>test</t>
        </is>
      </c>
      <c r="F1230" s="10" t="n">
        <v>9.99</v>
      </c>
      <c r="G1230" s="10" t="n">
        <v>10.04471541153746</v>
      </c>
      <c r="H1230" s="10" t="n">
        <v>2.396684329666718</v>
      </c>
      <c r="I1230" s="10">
        <f>G1230-1.96*H1230</f>
        <v/>
      </c>
      <c r="J1230" s="10">
        <f>G1230+1.96*H1230</f>
        <v/>
      </c>
      <c r="K1230" s="10">
        <f>G1230-F1230</f>
        <v/>
      </c>
      <c r="L1230" s="4">
        <f>IF(AND(F1230&gt;=I1230,F1230&lt;=J1230),1,0)</f>
        <v/>
      </c>
    </row>
    <row r="1231">
      <c r="A1231" s="4" t="inlineStr">
        <is>
          <t>compression_set_pct</t>
        </is>
      </c>
      <c r="B1231" s="4" t="inlineStr">
        <is>
          <t>G063</t>
        </is>
      </c>
      <c r="C1231" s="4" t="inlineStr">
        <is>
          <t>US11753523B2</t>
        </is>
      </c>
      <c r="D1231" s="4" t="inlineStr">
        <is>
          <t>Comparative Example 6</t>
        </is>
      </c>
      <c r="E1231" s="4" t="inlineStr">
        <is>
          <t>test</t>
        </is>
      </c>
      <c r="F1231" s="10" t="n">
        <v>38</v>
      </c>
      <c r="G1231" s="10" t="n">
        <v>44.09481869672612</v>
      </c>
      <c r="H1231" s="10" t="n">
        <v>10.22607822211199</v>
      </c>
      <c r="I1231" s="10">
        <f>G1231-1.96*H1231</f>
        <v/>
      </c>
      <c r="J1231" s="10">
        <f>G1231+1.96*H1231</f>
        <v/>
      </c>
      <c r="K1231" s="10">
        <f>G1231-F1231</f>
        <v/>
      </c>
      <c r="L1231" s="4">
        <f>IF(AND(F1231&gt;=I1231,F1231&lt;=J1231),1,0)</f>
        <v/>
      </c>
    </row>
    <row r="1232">
      <c r="A1232" s="4" t="inlineStr">
        <is>
          <t>compression_set_pct</t>
        </is>
      </c>
      <c r="B1232" s="4" t="inlineStr">
        <is>
          <t>G235</t>
        </is>
      </c>
      <c r="C1232" s="4" t="inlineStr">
        <is>
          <t>US8349965B2</t>
        </is>
      </c>
      <c r="D1232" s="4" t="inlineStr">
        <is>
          <t>Example 12</t>
        </is>
      </c>
      <c r="E1232" s="4" t="inlineStr">
        <is>
          <t>test</t>
        </is>
      </c>
      <c r="F1232" s="10" t="n">
        <v>32</v>
      </c>
      <c r="G1232" s="10" t="n">
        <v>30.68101491011777</v>
      </c>
      <c r="H1232" s="10" t="n">
        <v>6.4039735481071</v>
      </c>
      <c r="I1232" s="10">
        <f>G1232-1.96*H1232</f>
        <v/>
      </c>
      <c r="J1232" s="10">
        <f>G1232+1.96*H1232</f>
        <v/>
      </c>
      <c r="K1232" s="10">
        <f>G1232-F1232</f>
        <v/>
      </c>
      <c r="L1232" s="4">
        <f>IF(AND(F1232&gt;=I1232,F1232&lt;=J1232),1,0)</f>
        <v/>
      </c>
    </row>
    <row r="1233">
      <c r="A1233" s="4" t="inlineStr">
        <is>
          <t>compression_set_pct</t>
        </is>
      </c>
      <c r="B1233" s="4" t="inlineStr">
        <is>
          <t>G165</t>
        </is>
      </c>
      <c r="C1233" s="4" t="inlineStr">
        <is>
          <t>US20050107544A1</t>
        </is>
      </c>
      <c r="D1233" s="4" t="inlineStr">
        <is>
          <t>Sample 2</t>
        </is>
      </c>
      <c r="E1233" s="4" t="inlineStr">
        <is>
          <t>test</t>
        </is>
      </c>
      <c r="F1233" s="10" t="n">
        <v>21</v>
      </c>
      <c r="G1233" s="10" t="n">
        <v>16.19764671668104</v>
      </c>
      <c r="H1233" s="10" t="n">
        <v>3.824388287392024</v>
      </c>
      <c r="I1233" s="10">
        <f>G1233-1.96*H1233</f>
        <v/>
      </c>
      <c r="J1233" s="10">
        <f>G1233+1.96*H1233</f>
        <v/>
      </c>
      <c r="K1233" s="10">
        <f>G1233-F1233</f>
        <v/>
      </c>
      <c r="L1233" s="4">
        <f>IF(AND(F1233&gt;=I1233,F1233&lt;=J1233),1,0)</f>
        <v/>
      </c>
    </row>
    <row r="1234">
      <c r="A1234" s="4" t="inlineStr">
        <is>
          <t>compression_set_pct</t>
        </is>
      </c>
      <c r="B1234" s="4" t="inlineStr">
        <is>
          <t>G123</t>
        </is>
      </c>
      <c r="C1234" s="4" t="inlineStr">
        <is>
          <t>US5696189A</t>
        </is>
      </c>
      <c r="D1234" s="4" t="inlineStr">
        <is>
          <t>Example 6</t>
        </is>
      </c>
      <c r="E1234" s="4" t="inlineStr">
        <is>
          <t>test</t>
        </is>
      </c>
      <c r="F1234" s="10" t="n">
        <v>31.8</v>
      </c>
      <c r="G1234" s="10" t="n">
        <v>26.40045470156829</v>
      </c>
      <c r="H1234" s="10" t="n">
        <v>13.63116153877197</v>
      </c>
      <c r="I1234" s="10">
        <f>G1234-1.96*H1234</f>
        <v/>
      </c>
      <c r="J1234" s="10">
        <f>G1234+1.96*H1234</f>
        <v/>
      </c>
      <c r="K1234" s="10">
        <f>G1234-F1234</f>
        <v/>
      </c>
      <c r="L1234" s="4">
        <f>IF(AND(F1234&gt;=I1234,F1234&lt;=J1234),1,0)</f>
        <v/>
      </c>
    </row>
    <row r="1235">
      <c r="A1235" s="4" t="inlineStr">
        <is>
          <t>compression_set_pct</t>
        </is>
      </c>
      <c r="B1235" s="4" t="inlineStr">
        <is>
          <t>G014</t>
        </is>
      </c>
      <c r="C1235" s="4" t="inlineStr">
        <is>
          <t>US7678858B2</t>
        </is>
      </c>
      <c r="D1235" s="4" t="inlineStr">
        <is>
          <t>Example 13</t>
        </is>
      </c>
      <c r="E1235" s="4" t="inlineStr">
        <is>
          <t>test</t>
        </is>
      </c>
      <c r="F1235" s="10" t="n">
        <v>24</v>
      </c>
      <c r="G1235" s="10" t="n">
        <v>27.65475685223853</v>
      </c>
      <c r="H1235" s="10" t="n">
        <v>5.938922133270935</v>
      </c>
      <c r="I1235" s="10">
        <f>G1235-1.96*H1235</f>
        <v/>
      </c>
      <c r="J1235" s="10">
        <f>G1235+1.96*H1235</f>
        <v/>
      </c>
      <c r="K1235" s="10">
        <f>G1235-F1235</f>
        <v/>
      </c>
      <c r="L1235" s="4">
        <f>IF(AND(F1235&gt;=I1235,F1235&lt;=J1235),1,0)</f>
        <v/>
      </c>
    </row>
    <row r="1236">
      <c r="A1236" s="4" t="inlineStr">
        <is>
          <t>compression_set_pct</t>
        </is>
      </c>
      <c r="B1236" s="4" t="inlineStr">
        <is>
          <t>G002</t>
        </is>
      </c>
      <c r="C1236" s="4" t="inlineStr">
        <is>
          <t>US7678858B2</t>
        </is>
      </c>
      <c r="D1236" s="4" t="inlineStr">
        <is>
          <t>Example 2</t>
        </is>
      </c>
      <c r="E1236" s="4" t="inlineStr">
        <is>
          <t>test</t>
        </is>
      </c>
      <c r="F1236" s="10" t="n">
        <v>22</v>
      </c>
      <c r="G1236" s="10" t="n">
        <v>25.40135304919194</v>
      </c>
      <c r="H1236" s="10" t="n">
        <v>5.329221594048874</v>
      </c>
      <c r="I1236" s="10">
        <f>G1236-1.96*H1236</f>
        <v/>
      </c>
      <c r="J1236" s="10">
        <f>G1236+1.96*H1236</f>
        <v/>
      </c>
      <c r="K1236" s="10">
        <f>G1236-F1236</f>
        <v/>
      </c>
      <c r="L1236" s="4">
        <f>IF(AND(F1236&gt;=I1236,F1236&lt;=J1236),1,0)</f>
        <v/>
      </c>
    </row>
    <row r="1237">
      <c r="A1237" s="4" t="inlineStr">
        <is>
          <t>compression_set_pct</t>
        </is>
      </c>
      <c r="B1237" s="4" t="inlineStr">
        <is>
          <t>G022</t>
        </is>
      </c>
      <c r="C1237" s="4" t="inlineStr">
        <is>
          <t>US7678858B2</t>
        </is>
      </c>
      <c r="D1237" s="4" t="inlineStr">
        <is>
          <t>Comparative Example 2</t>
        </is>
      </c>
      <c r="E1237" s="4" t="inlineStr">
        <is>
          <t>test</t>
        </is>
      </c>
      <c r="F1237" s="10" t="n">
        <v>23</v>
      </c>
      <c r="G1237" s="10" t="n">
        <v>23.14398932766063</v>
      </c>
      <c r="H1237" s="10" t="n">
        <v>5.255081322454725</v>
      </c>
      <c r="I1237" s="10">
        <f>G1237-1.96*H1237</f>
        <v/>
      </c>
      <c r="J1237" s="10">
        <f>G1237+1.96*H1237</f>
        <v/>
      </c>
      <c r="K1237" s="10">
        <f>G1237-F1237</f>
        <v/>
      </c>
      <c r="L1237" s="4">
        <f>IF(AND(F1237&gt;=I1237,F1237&lt;=J1237),1,0)</f>
        <v/>
      </c>
    </row>
    <row r="1238">
      <c r="A1238" s="4" t="inlineStr">
        <is>
          <t>compression_set_pct</t>
        </is>
      </c>
      <c r="B1238" s="4" t="inlineStr">
        <is>
          <t>G141</t>
        </is>
      </c>
      <c r="C1238" s="4" t="inlineStr">
        <is>
          <t>US7247749B2</t>
        </is>
      </c>
      <c r="D1238" s="4" t="inlineStr">
        <is>
          <t>Sample 17</t>
        </is>
      </c>
      <c r="E1238" s="4" t="inlineStr">
        <is>
          <t>test</t>
        </is>
      </c>
      <c r="F1238" s="10" t="n">
        <v>63</v>
      </c>
      <c r="G1238" s="10" t="n">
        <v>15.96073012076159</v>
      </c>
      <c r="H1238" s="10" t="n">
        <v>4.082269600567972</v>
      </c>
      <c r="I1238" s="10">
        <f>G1238-1.96*H1238</f>
        <v/>
      </c>
      <c r="J1238" s="10">
        <f>G1238+1.96*H1238</f>
        <v/>
      </c>
      <c r="K1238" s="10">
        <f>G1238-F1238</f>
        <v/>
      </c>
      <c r="L1238" s="4">
        <f>IF(AND(F1238&gt;=I1238,F1238&lt;=J1238),1,0)</f>
        <v/>
      </c>
    </row>
    <row r="1239">
      <c r="A1239" s="4" t="inlineStr">
        <is>
          <t>compression_set_pct</t>
        </is>
      </c>
      <c r="B1239" s="4" t="inlineStr">
        <is>
          <t>G114</t>
        </is>
      </c>
      <c r="C1239" s="4" t="inlineStr">
        <is>
          <t>US6992143B2</t>
        </is>
      </c>
      <c r="D1239" s="4" t="inlineStr">
        <is>
          <t>Example 4</t>
        </is>
      </c>
      <c r="E1239" s="4" t="inlineStr">
        <is>
          <t>test</t>
        </is>
      </c>
      <c r="F1239" s="10" t="n">
        <v>15</v>
      </c>
      <c r="G1239" s="10" t="n">
        <v>39.67603809603916</v>
      </c>
      <c r="H1239" s="10" t="n">
        <v>10.57408621294254</v>
      </c>
      <c r="I1239" s="10">
        <f>G1239-1.96*H1239</f>
        <v/>
      </c>
      <c r="J1239" s="10">
        <f>G1239+1.96*H1239</f>
        <v/>
      </c>
      <c r="K1239" s="10">
        <f>G1239-F1239</f>
        <v/>
      </c>
      <c r="L1239" s="4">
        <f>IF(AND(F1239&gt;=I1239,F1239&lt;=J1239),1,0)</f>
        <v/>
      </c>
    </row>
    <row r="1240">
      <c r="A1240" s="4" t="inlineStr">
        <is>
          <t>compression_set_pct</t>
        </is>
      </c>
      <c r="B1240" s="4" t="inlineStr">
        <is>
          <t>G101</t>
        </is>
      </c>
      <c r="C1240" s="4" t="inlineStr">
        <is>
          <t>US7354974B2</t>
        </is>
      </c>
      <c r="D1240" s="4" t="inlineStr">
        <is>
          <t>Example 5</t>
        </is>
      </c>
      <c r="E1240" s="4" t="inlineStr">
        <is>
          <t>test</t>
        </is>
      </c>
      <c r="F1240" s="10" t="n">
        <v>62</v>
      </c>
      <c r="G1240" s="10" t="n">
        <v>41.84960914910379</v>
      </c>
      <c r="H1240" s="10" t="n">
        <v>12.91497124616263</v>
      </c>
      <c r="I1240" s="10">
        <f>G1240-1.96*H1240</f>
        <v/>
      </c>
      <c r="J1240" s="10">
        <f>G1240+1.96*H1240</f>
        <v/>
      </c>
      <c r="K1240" s="10">
        <f>G1240-F1240</f>
        <v/>
      </c>
      <c r="L1240" s="4">
        <f>IF(AND(F1240&gt;=I1240,F1240&lt;=J1240),1,0)</f>
        <v/>
      </c>
    </row>
    <row r="1241">
      <c r="A1241" s="4" t="inlineStr">
        <is>
          <t>compression_set_pct</t>
        </is>
      </c>
      <c r="B1241" s="4" t="inlineStr">
        <is>
          <t>G016</t>
        </is>
      </c>
      <c r="C1241" s="4" t="inlineStr">
        <is>
          <t>US7678858B2</t>
        </is>
      </c>
      <c r="D1241" s="4" t="inlineStr">
        <is>
          <t>Example 15</t>
        </is>
      </c>
      <c r="E1241" s="4" t="inlineStr">
        <is>
          <t>test</t>
        </is>
      </c>
      <c r="F1241" s="10" t="n">
        <v>22</v>
      </c>
      <c r="G1241" s="10" t="n">
        <v>25.40135304919194</v>
      </c>
      <c r="H1241" s="10" t="n">
        <v>5.329221594048874</v>
      </c>
      <c r="I1241" s="10">
        <f>G1241-1.96*H1241</f>
        <v/>
      </c>
      <c r="J1241" s="10">
        <f>G1241+1.96*H1241</f>
        <v/>
      </c>
      <c r="K1241" s="10">
        <f>G1241-F1241</f>
        <v/>
      </c>
      <c r="L1241" s="4">
        <f>IF(AND(F1241&gt;=I1241,F1241&lt;=J1241),1,0)</f>
        <v/>
      </c>
    </row>
    <row r="1242">
      <c r="A1242" s="4" t="inlineStr">
        <is>
          <t>compression_set_pct</t>
        </is>
      </c>
      <c r="B1242" s="4" t="inlineStr">
        <is>
          <t>G017</t>
        </is>
      </c>
      <c r="C1242" s="4" t="inlineStr">
        <is>
          <t>US7678858B2</t>
        </is>
      </c>
      <c r="D1242" s="4" t="inlineStr">
        <is>
          <t>Example 16</t>
        </is>
      </c>
      <c r="E1242" s="4" t="inlineStr">
        <is>
          <t>test</t>
        </is>
      </c>
      <c r="F1242" s="10" t="n">
        <v>24</v>
      </c>
      <c r="G1242" s="10" t="n">
        <v>23.23567371064946</v>
      </c>
      <c r="H1242" s="10" t="n">
        <v>5.274346719079849</v>
      </c>
      <c r="I1242" s="10">
        <f>G1242-1.96*H1242</f>
        <v/>
      </c>
      <c r="J1242" s="10">
        <f>G1242+1.96*H1242</f>
        <v/>
      </c>
      <c r="K1242" s="10">
        <f>G1242-F1242</f>
        <v/>
      </c>
      <c r="L1242" s="4">
        <f>IF(AND(F1242&gt;=I1242,F1242&lt;=J1242),1,0)</f>
        <v/>
      </c>
    </row>
    <row r="1243">
      <c r="A1243" s="4" t="inlineStr">
        <is>
          <t>compression_set_pct</t>
        </is>
      </c>
      <c r="B1243" s="4" t="inlineStr">
        <is>
          <t>G307</t>
        </is>
      </c>
      <c r="C1243" s="4" t="inlineStr">
        <is>
          <t>EP4249550A1</t>
        </is>
      </c>
      <c r="D1243" s="4" t="inlineStr">
        <is>
          <t>Comparative Example 6</t>
        </is>
      </c>
      <c r="E1243" s="4" t="inlineStr">
        <is>
          <t>test</t>
        </is>
      </c>
      <c r="F1243" s="10" t="n">
        <v>29</v>
      </c>
      <c r="G1243" s="10" t="n">
        <v>32.16894367325631</v>
      </c>
      <c r="H1243" s="10" t="n">
        <v>11.42386118676864</v>
      </c>
      <c r="I1243" s="10">
        <f>G1243-1.96*H1243</f>
        <v/>
      </c>
      <c r="J1243" s="10">
        <f>G1243+1.96*H1243</f>
        <v/>
      </c>
      <c r="K1243" s="10">
        <f>G1243-F1243</f>
        <v/>
      </c>
      <c r="L1243" s="4">
        <f>IF(AND(F1243&gt;=I1243,F1243&lt;=J1243),1,0)</f>
        <v/>
      </c>
    </row>
    <row r="1244">
      <c r="A1244" s="4" t="inlineStr">
        <is>
          <t>compression_set_pct</t>
        </is>
      </c>
      <c r="B1244" s="4" t="inlineStr">
        <is>
          <t>G276</t>
        </is>
      </c>
      <c r="C1244" s="4" t="inlineStr">
        <is>
          <t>US20230174763A1</t>
        </is>
      </c>
      <c r="D1244" s="4" t="inlineStr">
        <is>
          <t>Comparative Example 14</t>
        </is>
      </c>
      <c r="E1244" s="4" t="inlineStr">
        <is>
          <t>test</t>
        </is>
      </c>
      <c r="F1244" s="10" t="n">
        <v>28</v>
      </c>
      <c r="G1244" s="10" t="n">
        <v>21.26368603046323</v>
      </c>
      <c r="H1244" s="10" t="n">
        <v>8.366242963982353</v>
      </c>
      <c r="I1244" s="10">
        <f>G1244-1.96*H1244</f>
        <v/>
      </c>
      <c r="J1244" s="10">
        <f>G1244+1.96*H1244</f>
        <v/>
      </c>
      <c r="K1244" s="10">
        <f>G1244-F1244</f>
        <v/>
      </c>
      <c r="L1244" s="4">
        <f>IF(AND(F1244&gt;=I1244,F1244&lt;=J1244),1,0)</f>
        <v/>
      </c>
    </row>
    <row r="1245">
      <c r="A1245" s="4" t="inlineStr">
        <is>
          <t>compression_set_pct</t>
        </is>
      </c>
      <c r="B1245" s="4" t="inlineStr">
        <is>
          <t>G136</t>
        </is>
      </c>
      <c r="C1245" s="4" t="inlineStr">
        <is>
          <t>US7247749B2</t>
        </is>
      </c>
      <c r="D1245" s="4" t="inlineStr">
        <is>
          <t>Sample 12</t>
        </is>
      </c>
      <c r="E1245" s="4" t="inlineStr">
        <is>
          <t>test</t>
        </is>
      </c>
      <c r="F1245" s="10" t="n">
        <v>14</v>
      </c>
      <c r="G1245" s="10" t="n">
        <v>25.39535562515369</v>
      </c>
      <c r="H1245" s="10" t="n">
        <v>13.03362824468731</v>
      </c>
      <c r="I1245" s="10">
        <f>G1245-1.96*H1245</f>
        <v/>
      </c>
      <c r="J1245" s="10">
        <f>G1245+1.96*H1245</f>
        <v/>
      </c>
      <c r="K1245" s="10">
        <f>G1245-F1245</f>
        <v/>
      </c>
      <c r="L1245" s="4">
        <f>IF(AND(F1245&gt;=I1245,F1245&lt;=J1245),1,0)</f>
        <v/>
      </c>
    </row>
    <row r="1246">
      <c r="A1246" s="4" t="inlineStr">
        <is>
          <t>compression_set_pct</t>
        </is>
      </c>
      <c r="B1246" s="4" t="inlineStr">
        <is>
          <t>G294</t>
        </is>
      </c>
      <c r="C1246" s="4" t="inlineStr">
        <is>
          <t>EP4249550A1</t>
        </is>
      </c>
      <c r="D1246" s="4" t="inlineStr">
        <is>
          <t>Example 5</t>
        </is>
      </c>
      <c r="E1246" s="4" t="inlineStr">
        <is>
          <t>test</t>
        </is>
      </c>
      <c r="F1246" s="10" t="n">
        <v>30</v>
      </c>
      <c r="G1246" s="10" t="n">
        <v>30.01874447579469</v>
      </c>
      <c r="H1246" s="10" t="n">
        <v>6.671576072265039</v>
      </c>
      <c r="I1246" s="10">
        <f>G1246-1.96*H1246</f>
        <v/>
      </c>
      <c r="J1246" s="10">
        <f>G1246+1.96*H1246</f>
        <v/>
      </c>
      <c r="K1246" s="10">
        <f>G1246-F1246</f>
        <v/>
      </c>
      <c r="L1246" s="4">
        <f>IF(AND(F1246&gt;=I1246,F1246&lt;=J1246),1,0)</f>
        <v/>
      </c>
    </row>
    <row r="1247">
      <c r="A1247" s="4" t="inlineStr">
        <is>
          <t>compression_set_pct</t>
        </is>
      </c>
      <c r="B1247" s="4" t="inlineStr">
        <is>
          <t>G214</t>
        </is>
      </c>
      <c r="C1247" s="4" t="inlineStr">
        <is>
          <t>US11118045B2</t>
        </is>
      </c>
      <c r="D1247" s="4" t="inlineStr">
        <is>
          <t>Example 12</t>
        </is>
      </c>
      <c r="E1247" s="4" t="inlineStr">
        <is>
          <t>test</t>
        </is>
      </c>
      <c r="F1247" s="10" t="n">
        <v>32</v>
      </c>
      <c r="G1247" s="10" t="n">
        <v>24.00615576555151</v>
      </c>
      <c r="H1247" s="10" t="n">
        <v>5.048763810352894</v>
      </c>
      <c r="I1247" s="10">
        <f>G1247-1.96*H1247</f>
        <v/>
      </c>
      <c r="J1247" s="10">
        <f>G1247+1.96*H1247</f>
        <v/>
      </c>
      <c r="K1247" s="10">
        <f>G1247-F1247</f>
        <v/>
      </c>
      <c r="L1247" s="4">
        <f>IF(AND(F1247&gt;=I1247,F1247&lt;=J1247),1,0)</f>
        <v/>
      </c>
    </row>
    <row r="1248">
      <c r="A1248" s="4" t="inlineStr">
        <is>
          <t>compression_set_pct</t>
        </is>
      </c>
      <c r="B1248" s="4" t="inlineStr">
        <is>
          <t>G305</t>
        </is>
      </c>
      <c r="C1248" s="4" t="inlineStr">
        <is>
          <t>EP4249550A1</t>
        </is>
      </c>
      <c r="D1248" s="4" t="inlineStr">
        <is>
          <t>Comparative Example 4</t>
        </is>
      </c>
      <c r="E1248" s="4" t="inlineStr">
        <is>
          <t>test</t>
        </is>
      </c>
      <c r="F1248" s="10" t="n">
        <v>38</v>
      </c>
      <c r="G1248" s="10" t="n">
        <v>30.75656891562844</v>
      </c>
      <c r="H1248" s="10" t="n">
        <v>7.307014034814284</v>
      </c>
      <c r="I1248" s="10">
        <f>G1248-1.96*H1248</f>
        <v/>
      </c>
      <c r="J1248" s="10">
        <f>G1248+1.96*H1248</f>
        <v/>
      </c>
      <c r="K1248" s="10">
        <f>G1248-F1248</f>
        <v/>
      </c>
      <c r="L1248" s="4">
        <f>IF(AND(F1248&gt;=I1248,F1248&lt;=J1248),1,0)</f>
        <v/>
      </c>
    </row>
    <row r="1249">
      <c r="A1249" s="4" t="inlineStr">
        <is>
          <t>compression_set_pct</t>
        </is>
      </c>
      <c r="B1249" s="4" t="inlineStr">
        <is>
          <t>G190</t>
        </is>
      </c>
      <c r="C1249" s="4" t="inlineStr">
        <is>
          <t>US20160319102A1</t>
        </is>
      </c>
      <c r="D1249" s="4" t="inlineStr">
        <is>
          <t>Example 1</t>
        </is>
      </c>
      <c r="E1249" s="4" t="inlineStr">
        <is>
          <t>test</t>
        </is>
      </c>
      <c r="F1249" s="10" t="n">
        <v>15</v>
      </c>
      <c r="G1249" s="10" t="n">
        <v>16.87830865163088</v>
      </c>
      <c r="H1249" s="10" t="n">
        <v>3.992153767641509</v>
      </c>
      <c r="I1249" s="10">
        <f>G1249-1.96*H1249</f>
        <v/>
      </c>
      <c r="J1249" s="10">
        <f>G1249+1.96*H1249</f>
        <v/>
      </c>
      <c r="K1249" s="10">
        <f>G1249-F1249</f>
        <v/>
      </c>
      <c r="L1249" s="4">
        <f>IF(AND(F1249&gt;=I1249,F1249&lt;=J1249),1,0)</f>
        <v/>
      </c>
    </row>
    <row r="1250">
      <c r="A1250" s="4" t="inlineStr">
        <is>
          <t>compression_set_pct</t>
        </is>
      </c>
      <c r="B1250" s="4" t="inlineStr">
        <is>
          <t>G241</t>
        </is>
      </c>
      <c r="C1250" s="4" t="inlineStr">
        <is>
          <t>US8349965B2</t>
        </is>
      </c>
      <c r="D1250" s="4" t="inlineStr">
        <is>
          <t>Comparative Example 4</t>
        </is>
      </c>
      <c r="E1250" s="4" t="inlineStr">
        <is>
          <t>test</t>
        </is>
      </c>
      <c r="F1250" s="10" t="n">
        <v>28</v>
      </c>
      <c r="G1250" s="10" t="n">
        <v>21.62073111603486</v>
      </c>
      <c r="H1250" s="10" t="n">
        <v>9.153867557948615</v>
      </c>
      <c r="I1250" s="10">
        <f>G1250-1.96*H1250</f>
        <v/>
      </c>
      <c r="J1250" s="10">
        <f>G1250+1.96*H1250</f>
        <v/>
      </c>
      <c r="K1250" s="10">
        <f>G1250-F1250</f>
        <v/>
      </c>
      <c r="L1250" s="4">
        <f>IF(AND(F1250&gt;=I1250,F1250&lt;=J1250),1,0)</f>
        <v/>
      </c>
    </row>
    <row r="1251">
      <c r="A1251" s="4" t="inlineStr">
        <is>
          <t>compression_set_pct</t>
        </is>
      </c>
      <c r="B1251" s="4" t="inlineStr">
        <is>
          <t>G121</t>
        </is>
      </c>
      <c r="C1251" s="4" t="inlineStr">
        <is>
          <t>US5696189A</t>
        </is>
      </c>
      <c r="D1251" s="4" t="inlineStr">
        <is>
          <t>Example 4</t>
        </is>
      </c>
      <c r="E1251" s="4" t="inlineStr">
        <is>
          <t>test</t>
        </is>
      </c>
      <c r="F1251" s="10" t="n">
        <v>34</v>
      </c>
      <c r="G1251" s="10" t="n">
        <v>26.13993634358636</v>
      </c>
      <c r="H1251" s="10" t="n">
        <v>13.45479309687574</v>
      </c>
      <c r="I1251" s="10">
        <f>G1251-1.96*H1251</f>
        <v/>
      </c>
      <c r="J1251" s="10">
        <f>G1251+1.96*H1251</f>
        <v/>
      </c>
      <c r="K1251" s="10">
        <f>G1251-F1251</f>
        <v/>
      </c>
      <c r="L1251" s="4">
        <f>IF(AND(F1251&gt;=I1251,F1251&lt;=J1251),1,0)</f>
        <v/>
      </c>
    </row>
    <row r="1252">
      <c r="A1252" s="4" t="inlineStr">
        <is>
          <t>compression_set_pct</t>
        </is>
      </c>
      <c r="B1252" s="4" t="inlineStr">
        <is>
          <t>G094</t>
        </is>
      </c>
      <c r="C1252" s="4" t="inlineStr">
        <is>
          <t>US8367776B2</t>
        </is>
      </c>
      <c r="D1252" s="4" t="inlineStr">
        <is>
          <t>Example 12</t>
        </is>
      </c>
      <c r="E1252" s="4" t="inlineStr">
        <is>
          <t>test</t>
        </is>
      </c>
      <c r="F1252" s="10" t="n">
        <v>17.1</v>
      </c>
      <c r="G1252" s="10" t="n">
        <v>21.51693675785994</v>
      </c>
      <c r="H1252" s="10" t="n">
        <v>4.698762154281553</v>
      </c>
      <c r="I1252" s="10">
        <f>G1252-1.96*H1252</f>
        <v/>
      </c>
      <c r="J1252" s="10">
        <f>G1252+1.96*H1252</f>
        <v/>
      </c>
      <c r="K1252" s="10">
        <f>G1252-F1252</f>
        <v/>
      </c>
      <c r="L1252" s="4">
        <f>IF(AND(F1252&gt;=I1252,F1252&lt;=J1252),1,0)</f>
        <v/>
      </c>
    </row>
    <row r="1253">
      <c r="A1253" s="4" t="inlineStr">
        <is>
          <t>compression_set_pct</t>
        </is>
      </c>
      <c r="B1253" s="4" t="inlineStr">
        <is>
          <t>G316</t>
        </is>
      </c>
      <c r="C1253" s="4" t="inlineStr">
        <is>
          <t>KR102400335B1</t>
        </is>
      </c>
      <c r="D1253" s="4" t="inlineStr">
        <is>
          <t>Example 2</t>
        </is>
      </c>
      <c r="E1253" s="4" t="inlineStr">
        <is>
          <t>test</t>
        </is>
      </c>
      <c r="F1253" s="10" t="n">
        <v>13</v>
      </c>
      <c r="G1253" s="10" t="n">
        <v>15.41577509184635</v>
      </c>
      <c r="H1253" s="10" t="n">
        <v>5.179856399716456</v>
      </c>
      <c r="I1253" s="10">
        <f>G1253-1.96*H1253</f>
        <v/>
      </c>
      <c r="J1253" s="10">
        <f>G1253+1.96*H1253</f>
        <v/>
      </c>
      <c r="K1253" s="10">
        <f>G1253-F1253</f>
        <v/>
      </c>
      <c r="L1253" s="4">
        <f>IF(AND(F1253&gt;=I1253,F1253&lt;=J1253),1,0)</f>
        <v/>
      </c>
    </row>
    <row r="1254">
      <c r="A1254" s="4" t="inlineStr">
        <is>
          <t>compression_set_pct</t>
        </is>
      </c>
      <c r="B1254" s="4" t="inlineStr">
        <is>
          <t>G220</t>
        </is>
      </c>
      <c r="C1254" s="4" t="inlineStr">
        <is>
          <t>US11118045B2</t>
        </is>
      </c>
      <c r="D1254" s="4" t="inlineStr">
        <is>
          <t>Example 10</t>
        </is>
      </c>
      <c r="E1254" s="4" t="inlineStr">
        <is>
          <t>test</t>
        </is>
      </c>
      <c r="F1254" s="10" t="n">
        <v>11</v>
      </c>
      <c r="G1254" s="10" t="n">
        <v>9.682490496821464</v>
      </c>
      <c r="H1254" s="10" t="n">
        <v>2.683560331632789</v>
      </c>
      <c r="I1254" s="10">
        <f>G1254-1.96*H1254</f>
        <v/>
      </c>
      <c r="J1254" s="10">
        <f>G1254+1.96*H1254</f>
        <v/>
      </c>
      <c r="K1254" s="10">
        <f>G1254-F1254</f>
        <v/>
      </c>
      <c r="L1254" s="4">
        <f>IF(AND(F1254&gt;=I1254,F1254&lt;=J1254),1,0)</f>
        <v/>
      </c>
    </row>
    <row r="1255">
      <c r="A1255" s="4" t="inlineStr">
        <is>
          <t>compression_set_pct</t>
        </is>
      </c>
      <c r="B1255" s="4" t="inlineStr">
        <is>
          <t>G210</t>
        </is>
      </c>
      <c r="C1255" s="4" t="inlineStr">
        <is>
          <t>US11118045B2</t>
        </is>
      </c>
      <c r="D1255" s="4" t="inlineStr">
        <is>
          <t>Example 7</t>
        </is>
      </c>
      <c r="E1255" s="4" t="inlineStr">
        <is>
          <t>test</t>
        </is>
      </c>
      <c r="F1255" s="10" t="n">
        <v>26</v>
      </c>
      <c r="G1255" s="10" t="n">
        <v>22.76386824579322</v>
      </c>
      <c r="H1255" s="10" t="n">
        <v>4.826032338319627</v>
      </c>
      <c r="I1255" s="10">
        <f>G1255-1.96*H1255</f>
        <v/>
      </c>
      <c r="J1255" s="10">
        <f>G1255+1.96*H1255</f>
        <v/>
      </c>
      <c r="K1255" s="10">
        <f>G1255-F1255</f>
        <v/>
      </c>
      <c r="L1255" s="4">
        <f>IF(AND(F1255&gt;=I1255,F1255&lt;=J1255),1,0)</f>
        <v/>
      </c>
    </row>
    <row r="1256">
      <c r="A1256" s="4" t="inlineStr">
        <is>
          <t>compression_set_pct</t>
        </is>
      </c>
      <c r="B1256" s="4" t="inlineStr">
        <is>
          <t>G056</t>
        </is>
      </c>
      <c r="C1256" s="4" t="inlineStr">
        <is>
          <t>US11753523B2</t>
        </is>
      </c>
      <c r="D1256" s="4" t="inlineStr">
        <is>
          <t>Example 4</t>
        </is>
      </c>
      <c r="E1256" s="4" t="inlineStr">
        <is>
          <t>test</t>
        </is>
      </c>
      <c r="F1256" s="10" t="n">
        <v>36</v>
      </c>
      <c r="G1256" s="10" t="n">
        <v>57.10843355413986</v>
      </c>
      <c r="H1256" s="10" t="n">
        <v>12.81686449551077</v>
      </c>
      <c r="I1256" s="10">
        <f>G1256-1.96*H1256</f>
        <v/>
      </c>
      <c r="J1256" s="10">
        <f>G1256+1.96*H1256</f>
        <v/>
      </c>
      <c r="K1256" s="10">
        <f>G1256-F1256</f>
        <v/>
      </c>
      <c r="L1256" s="4">
        <f>IF(AND(F1256&gt;=I1256,F1256&lt;=J1256),1,0)</f>
        <v/>
      </c>
    </row>
    <row r="1257">
      <c r="A1257" s="4" t="inlineStr">
        <is>
          <t>compression_set_pct</t>
        </is>
      </c>
      <c r="B1257" s="4" t="inlineStr">
        <is>
          <t>G185</t>
        </is>
      </c>
      <c r="C1257" s="4" t="inlineStr">
        <is>
          <t>US20040019153A1</t>
        </is>
      </c>
      <c r="D1257" s="4" t="inlineStr">
        <is>
          <t>Example 2</t>
        </is>
      </c>
      <c r="E1257" s="4" t="inlineStr">
        <is>
          <t>test</t>
        </is>
      </c>
      <c r="F1257" s="10" t="n">
        <v>31</v>
      </c>
      <c r="G1257" s="10" t="n">
        <v>30.84435609137815</v>
      </c>
      <c r="H1257" s="10" t="n">
        <v>11.52540709303791</v>
      </c>
      <c r="I1257" s="10">
        <f>G1257-1.96*H1257</f>
        <v/>
      </c>
      <c r="J1257" s="10">
        <f>G1257+1.96*H1257</f>
        <v/>
      </c>
      <c r="K1257" s="10">
        <f>G1257-F1257</f>
        <v/>
      </c>
      <c r="L1257" s="4">
        <f>IF(AND(F1257&gt;=I1257,F1257&lt;=J1257),1,0)</f>
        <v/>
      </c>
    </row>
    <row r="1258">
      <c r="A1258" s="4" t="inlineStr">
        <is>
          <t>compression_set_pct</t>
        </is>
      </c>
      <c r="B1258" s="4" t="inlineStr">
        <is>
          <t>G271</t>
        </is>
      </c>
      <c r="C1258" s="4" t="inlineStr">
        <is>
          <t>US20230174763A1</t>
        </is>
      </c>
      <c r="D1258" s="4" t="inlineStr">
        <is>
          <t>Comparative Example 7</t>
        </is>
      </c>
      <c r="E1258" s="4" t="inlineStr">
        <is>
          <t>test</t>
        </is>
      </c>
      <c r="F1258" s="10" t="n">
        <v>40</v>
      </c>
      <c r="G1258" s="10" t="n">
        <v>29.78295851506203</v>
      </c>
      <c r="H1258" s="10" t="n">
        <v>8.467468411383944</v>
      </c>
      <c r="I1258" s="10">
        <f>G1258-1.96*H1258</f>
        <v/>
      </c>
      <c r="J1258" s="10">
        <f>G1258+1.96*H1258</f>
        <v/>
      </c>
      <c r="K1258" s="10">
        <f>G1258-F1258</f>
        <v/>
      </c>
      <c r="L1258" s="4">
        <f>IF(AND(F1258&gt;=I1258,F1258&lt;=J1258),1,0)</f>
        <v/>
      </c>
    </row>
    <row r="1259">
      <c r="A1259" s="4" t="inlineStr">
        <is>
          <t>compression_set_pct</t>
        </is>
      </c>
      <c r="B1259" s="4" t="inlineStr">
        <is>
          <t>G112</t>
        </is>
      </c>
      <c r="C1259" s="4" t="inlineStr">
        <is>
          <t>US6992143B2</t>
        </is>
      </c>
      <c r="D1259" s="4" t="inlineStr">
        <is>
          <t>Example 3</t>
        </is>
      </c>
      <c r="E1259" s="4" t="inlineStr">
        <is>
          <t>test</t>
        </is>
      </c>
      <c r="F1259" s="10" t="n">
        <v>44</v>
      </c>
      <c r="G1259" s="10" t="n">
        <v>37.04958615642393</v>
      </c>
      <c r="H1259" s="10" t="n">
        <v>8.484799025561198</v>
      </c>
      <c r="I1259" s="10">
        <f>G1259-1.96*H1259</f>
        <v/>
      </c>
      <c r="J1259" s="10">
        <f>G1259+1.96*H1259</f>
        <v/>
      </c>
      <c r="K1259" s="10">
        <f>G1259-F1259</f>
        <v/>
      </c>
      <c r="L1259" s="4">
        <f>IF(AND(F1259&gt;=I1259,F1259&lt;=J1259),1,0)</f>
        <v/>
      </c>
    </row>
    <row r="1260">
      <c r="A1260" s="4" t="inlineStr">
        <is>
          <t>compression_set_pct</t>
        </is>
      </c>
      <c r="B1260" s="4" t="inlineStr">
        <is>
          <t>G320</t>
        </is>
      </c>
      <c r="C1260" s="4" t="inlineStr">
        <is>
          <t>KR101467101B1</t>
        </is>
      </c>
      <c r="D1260" s="4" t="inlineStr">
        <is>
          <t>Table 1 compound FFKM A</t>
        </is>
      </c>
      <c r="E1260" s="4" t="inlineStr">
        <is>
          <t>test</t>
        </is>
      </c>
      <c r="F1260" s="10" t="n">
        <v>43</v>
      </c>
      <c r="G1260" s="10" t="n">
        <v>19.0622103854552</v>
      </c>
      <c r="H1260" s="10" t="n">
        <v>5.17994620380538</v>
      </c>
      <c r="I1260" s="10">
        <f>G1260-1.96*H1260</f>
        <v/>
      </c>
      <c r="J1260" s="10">
        <f>G1260+1.96*H1260</f>
        <v/>
      </c>
      <c r="K1260" s="10">
        <f>G1260-F1260</f>
        <v/>
      </c>
      <c r="L1260" s="4">
        <f>IF(AND(F1260&gt;=I1260,F1260&lt;=J1260),1,0)</f>
        <v/>
      </c>
    </row>
    <row r="1261">
      <c r="A1261" s="4" t="inlineStr">
        <is>
          <t>compression_set_pct</t>
        </is>
      </c>
      <c r="B1261" s="4" t="inlineStr">
        <is>
          <t>G216</t>
        </is>
      </c>
      <c r="C1261" s="4" t="inlineStr">
        <is>
          <t>US11118045B2</t>
        </is>
      </c>
      <c r="D1261" s="4" t="inlineStr">
        <is>
          <t>Comparative Example 4</t>
        </is>
      </c>
      <c r="E1261" s="4" t="inlineStr">
        <is>
          <t>test</t>
        </is>
      </c>
      <c r="F1261" s="10" t="n">
        <v>33</v>
      </c>
      <c r="G1261" s="10" t="n">
        <v>33.1309833675535</v>
      </c>
      <c r="H1261" s="10" t="n">
        <v>7.450573449620989</v>
      </c>
      <c r="I1261" s="10">
        <f>G1261-1.96*H1261</f>
        <v/>
      </c>
      <c r="J1261" s="10">
        <f>G1261+1.96*H1261</f>
        <v/>
      </c>
      <c r="K1261" s="10">
        <f>G1261-F1261</f>
        <v/>
      </c>
      <c r="L1261" s="4">
        <f>IF(AND(F1261&gt;=I1261,F1261&lt;=J1261),1,0)</f>
        <v/>
      </c>
    </row>
    <row r="1262">
      <c r="A1262" s="4" t="inlineStr">
        <is>
          <t>compression_set_pct</t>
        </is>
      </c>
      <c r="B1262" s="4" t="inlineStr">
        <is>
          <t>G149</t>
        </is>
      </c>
      <c r="C1262" s="4" t="inlineStr">
        <is>
          <t>US7247749B2</t>
        </is>
      </c>
      <c r="D1262" s="4" t="inlineStr">
        <is>
          <t>Sample 25</t>
        </is>
      </c>
      <c r="E1262" s="4" t="inlineStr">
        <is>
          <t>test</t>
        </is>
      </c>
      <c r="F1262" s="10" t="n">
        <v>27</v>
      </c>
      <c r="G1262" s="10" t="n">
        <v>10.62276670709663</v>
      </c>
      <c r="H1262" s="10" t="n">
        <v>2.807660296132028</v>
      </c>
      <c r="I1262" s="10">
        <f>G1262-1.96*H1262</f>
        <v/>
      </c>
      <c r="J1262" s="10">
        <f>G1262+1.96*H1262</f>
        <v/>
      </c>
      <c r="K1262" s="10">
        <f>G1262-F1262</f>
        <v/>
      </c>
      <c r="L1262" s="4">
        <f>IF(AND(F1262&gt;=I1262,F1262&lt;=J1262),1,0)</f>
        <v/>
      </c>
    </row>
    <row r="1263">
      <c r="A1263" s="4" t="inlineStr">
        <is>
          <t>compression_set_pct</t>
        </is>
      </c>
      <c r="B1263" s="4" t="inlineStr">
        <is>
          <t>G008</t>
        </is>
      </c>
      <c r="C1263" s="4" t="inlineStr">
        <is>
          <t>US7678858B2</t>
        </is>
      </c>
      <c r="D1263" s="4" t="inlineStr">
        <is>
          <t>Example 8</t>
        </is>
      </c>
      <c r="E1263" s="4" t="inlineStr">
        <is>
          <t>test</t>
        </is>
      </c>
      <c r="F1263" s="10" t="n">
        <v>45</v>
      </c>
      <c r="G1263" s="10" t="n">
        <v>25.40135304919194</v>
      </c>
      <c r="H1263" s="10" t="n">
        <v>5.329221594048874</v>
      </c>
      <c r="I1263" s="10">
        <f>G1263-1.96*H1263</f>
        <v/>
      </c>
      <c r="J1263" s="10">
        <f>G1263+1.96*H1263</f>
        <v/>
      </c>
      <c r="K1263" s="10">
        <f>G1263-F1263</f>
        <v/>
      </c>
      <c r="L1263" s="4">
        <f>IF(AND(F1263&gt;=I1263,F1263&lt;=J1263),1,0)</f>
        <v/>
      </c>
    </row>
    <row r="1264">
      <c r="A1264" s="4" t="inlineStr">
        <is>
          <t>compression_set_pct</t>
        </is>
      </c>
      <c r="B1264" s="4" t="inlineStr">
        <is>
          <t>G231</t>
        </is>
      </c>
      <c r="C1264" s="4" t="inlineStr">
        <is>
          <t>US8349965B2</t>
        </is>
      </c>
      <c r="D1264" s="4" t="inlineStr">
        <is>
          <t>Example 8</t>
        </is>
      </c>
      <c r="E1264" s="4" t="inlineStr">
        <is>
          <t>test</t>
        </is>
      </c>
      <c r="F1264" s="10" t="n">
        <v>30</v>
      </c>
      <c r="G1264" s="10" t="n">
        <v>30.68101491011777</v>
      </c>
      <c r="H1264" s="10" t="n">
        <v>6.4039735481071</v>
      </c>
      <c r="I1264" s="10">
        <f>G1264-1.96*H1264</f>
        <v/>
      </c>
      <c r="J1264" s="10">
        <f>G1264+1.96*H1264</f>
        <v/>
      </c>
      <c r="K1264" s="10">
        <f>G1264-F1264</f>
        <v/>
      </c>
      <c r="L1264" s="4">
        <f>IF(AND(F1264&gt;=I1264,F1264&lt;=J1264),1,0)</f>
        <v/>
      </c>
    </row>
    <row r="1265">
      <c r="A1265" s="4" t="inlineStr">
        <is>
          <t>compression_set_pct</t>
        </is>
      </c>
      <c r="B1265" s="4" t="inlineStr">
        <is>
          <t>G298</t>
        </is>
      </c>
      <c r="C1265" s="4" t="inlineStr">
        <is>
          <t>EP4249550A1</t>
        </is>
      </c>
      <c r="D1265" s="4" t="inlineStr">
        <is>
          <t>Example 10</t>
        </is>
      </c>
      <c r="E1265" s="4" t="inlineStr">
        <is>
          <t>test</t>
        </is>
      </c>
      <c r="F1265" s="10" t="n">
        <v>21</v>
      </c>
      <c r="G1265" s="10" t="n">
        <v>30.75656891562844</v>
      </c>
      <c r="H1265" s="10" t="n">
        <v>7.307014034814284</v>
      </c>
      <c r="I1265" s="10">
        <f>G1265-1.96*H1265</f>
        <v/>
      </c>
      <c r="J1265" s="10">
        <f>G1265+1.96*H1265</f>
        <v/>
      </c>
      <c r="K1265" s="10">
        <f>G1265-F1265</f>
        <v/>
      </c>
      <c r="L1265" s="4">
        <f>IF(AND(F1265&gt;=I1265,F1265&lt;=J1265),1,0)</f>
        <v/>
      </c>
    </row>
    <row r="1266">
      <c r="A1266" s="4" t="inlineStr">
        <is>
          <t>compression_set_pct</t>
        </is>
      </c>
      <c r="B1266" s="4" t="inlineStr">
        <is>
          <t>G160</t>
        </is>
      </c>
      <c r="C1266" s="4" t="inlineStr">
        <is>
          <t>US6956085B2</t>
        </is>
      </c>
      <c r="D1266" s="4" t="inlineStr">
        <is>
          <t>Example 3</t>
        </is>
      </c>
      <c r="E1266" s="4" t="inlineStr">
        <is>
          <t>test</t>
        </is>
      </c>
      <c r="F1266" s="10" t="n">
        <v>70</v>
      </c>
      <c r="G1266" s="10" t="n">
        <v>36.32402449604104</v>
      </c>
      <c r="H1266" s="10" t="n">
        <v>14.05076719414885</v>
      </c>
      <c r="I1266" s="10">
        <f>G1266-1.96*H1266</f>
        <v/>
      </c>
      <c r="J1266" s="10">
        <f>G1266+1.96*H1266</f>
        <v/>
      </c>
      <c r="K1266" s="10">
        <f>G1266-F1266</f>
        <v/>
      </c>
      <c r="L1266" s="4">
        <f>IF(AND(F1266&gt;=I1266,F1266&lt;=J1266),1,0)</f>
        <v/>
      </c>
    </row>
    <row r="1267">
      <c r="A1267" s="4" t="inlineStr">
        <is>
          <t>compression_set_pct</t>
        </is>
      </c>
      <c r="B1267" s="4" t="inlineStr">
        <is>
          <t>G037</t>
        </is>
      </c>
      <c r="C1267" s="4" t="inlineStr">
        <is>
          <t>US8173727B2</t>
        </is>
      </c>
      <c r="D1267" s="4" t="inlineStr">
        <is>
          <t>Example 9</t>
        </is>
      </c>
      <c r="E1267" s="4" t="inlineStr">
        <is>
          <t>test</t>
        </is>
      </c>
      <c r="F1267" s="10" t="n">
        <v>42</v>
      </c>
      <c r="G1267" s="10" t="n">
        <v>28.71138837795969</v>
      </c>
      <c r="H1267" s="10" t="n">
        <v>7.650919056061872</v>
      </c>
      <c r="I1267" s="10">
        <f>G1267-1.96*H1267</f>
        <v/>
      </c>
      <c r="J1267" s="10">
        <f>G1267+1.96*H1267</f>
        <v/>
      </c>
      <c r="K1267" s="10">
        <f>G1267-F1267</f>
        <v/>
      </c>
      <c r="L1267" s="4">
        <f>IF(AND(F1267&gt;=I1267,F1267&lt;=J1267),1,0)</f>
        <v/>
      </c>
    </row>
    <row r="1268">
      <c r="A1268" s="4" t="inlineStr">
        <is>
          <t>compression_set_pct</t>
        </is>
      </c>
      <c r="B1268" s="4" t="inlineStr">
        <is>
          <t>G242</t>
        </is>
      </c>
      <c r="C1268" s="4" t="inlineStr">
        <is>
          <t>US12305107B2</t>
        </is>
      </c>
      <c r="D1268" s="4" t="inlineStr">
        <is>
          <t>Example 1</t>
        </is>
      </c>
      <c r="E1268" s="4" t="inlineStr">
        <is>
          <t>test</t>
        </is>
      </c>
      <c r="F1268" s="10" t="n">
        <v>32</v>
      </c>
      <c r="G1268" s="10" t="n">
        <v>28.17926517699434</v>
      </c>
      <c r="H1268" s="10" t="n">
        <v>8.050213392241934</v>
      </c>
      <c r="I1268" s="10">
        <f>G1268-1.96*H1268</f>
        <v/>
      </c>
      <c r="J1268" s="10">
        <f>G1268+1.96*H1268</f>
        <v/>
      </c>
      <c r="K1268" s="10">
        <f>G1268-F1268</f>
        <v/>
      </c>
      <c r="L1268" s="4">
        <f>IF(AND(F1268&gt;=I1268,F1268&lt;=J1268),1,0)</f>
        <v/>
      </c>
    </row>
    <row r="1269">
      <c r="A1269" s="4" t="inlineStr">
        <is>
          <t>compression_set_pct</t>
        </is>
      </c>
      <c r="B1269" s="4" t="inlineStr">
        <is>
          <t>G177</t>
        </is>
      </c>
      <c r="C1269" s="4" t="inlineStr">
        <is>
          <t>US6281296B1</t>
        </is>
      </c>
      <c r="D1269" s="4" t="inlineStr">
        <is>
          <t>Example 1</t>
        </is>
      </c>
      <c r="E1269" s="4" t="inlineStr">
        <is>
          <t>test</t>
        </is>
      </c>
      <c r="F1269" s="10" t="n">
        <v>22</v>
      </c>
      <c r="G1269" s="10" t="n">
        <v>21.87717295578922</v>
      </c>
      <c r="H1269" s="10" t="n">
        <v>5.31723763716993</v>
      </c>
      <c r="I1269" s="10">
        <f>G1269-1.96*H1269</f>
        <v/>
      </c>
      <c r="J1269" s="10">
        <f>G1269+1.96*H1269</f>
        <v/>
      </c>
      <c r="K1269" s="10">
        <f>G1269-F1269</f>
        <v/>
      </c>
      <c r="L1269" s="4">
        <f>IF(AND(F1269&gt;=I1269,F1269&lt;=J1269),1,0)</f>
        <v/>
      </c>
    </row>
    <row r="1270">
      <c r="A1270" s="4" t="inlineStr">
        <is>
          <t>compression_set_pct</t>
        </is>
      </c>
      <c r="B1270" s="4" t="inlineStr">
        <is>
          <t>G227</t>
        </is>
      </c>
      <c r="C1270" s="4" t="inlineStr">
        <is>
          <t>US8349965B2</t>
        </is>
      </c>
      <c r="D1270" s="4" t="inlineStr">
        <is>
          <t>Example 4</t>
        </is>
      </c>
      <c r="E1270" s="4" t="inlineStr">
        <is>
          <t>test</t>
        </is>
      </c>
      <c r="F1270" s="10" t="n">
        <v>25</v>
      </c>
      <c r="G1270" s="10" t="n">
        <v>28.85112151016797</v>
      </c>
      <c r="H1270" s="10" t="n">
        <v>6.148732538819075</v>
      </c>
      <c r="I1270" s="10">
        <f>G1270-1.96*H1270</f>
        <v/>
      </c>
      <c r="J1270" s="10">
        <f>G1270+1.96*H1270</f>
        <v/>
      </c>
      <c r="K1270" s="10">
        <f>G1270-F1270</f>
        <v/>
      </c>
      <c r="L1270" s="4">
        <f>IF(AND(F1270&gt;=I1270,F1270&lt;=J1270),1,0)</f>
        <v/>
      </c>
    </row>
    <row r="1271">
      <c r="A1271" s="4" t="inlineStr">
        <is>
          <t>compression_set_pct</t>
        </is>
      </c>
      <c r="B1271" s="4" t="inlineStr">
        <is>
          <t>G201</t>
        </is>
      </c>
      <c r="C1271" s="4" t="inlineStr">
        <is>
          <t>US20160319102A1</t>
        </is>
      </c>
      <c r="D1271" s="4" t="inlineStr">
        <is>
          <t>Comparative Example 7</t>
        </is>
      </c>
      <c r="E1271" s="4" t="inlineStr">
        <is>
          <t>test</t>
        </is>
      </c>
      <c r="F1271" s="10" t="n">
        <v>20</v>
      </c>
      <c r="G1271" s="10" t="n">
        <v>18.73948021357434</v>
      </c>
      <c r="H1271" s="10" t="n">
        <v>5.377415828769684</v>
      </c>
      <c r="I1271" s="10">
        <f>G1271-1.96*H1271</f>
        <v/>
      </c>
      <c r="J1271" s="10">
        <f>G1271+1.96*H1271</f>
        <v/>
      </c>
      <c r="K1271" s="10">
        <f>G1271-F1271</f>
        <v/>
      </c>
      <c r="L1271" s="4">
        <f>IF(AND(F1271&gt;=I1271,F1271&lt;=J1271),1,0)</f>
        <v/>
      </c>
    </row>
    <row r="1272">
      <c r="A1272" s="4" t="inlineStr">
        <is>
          <t>compression_set_pct</t>
        </is>
      </c>
      <c r="B1272" s="4" t="inlineStr">
        <is>
          <t>G131</t>
        </is>
      </c>
      <c r="C1272" s="4" t="inlineStr">
        <is>
          <t>US7247749B2</t>
        </is>
      </c>
      <c r="D1272" s="4" t="inlineStr">
        <is>
          <t>Sample 7</t>
        </is>
      </c>
      <c r="E1272" s="4" t="inlineStr">
        <is>
          <t>test</t>
        </is>
      </c>
      <c r="F1272" s="10" t="n">
        <v>10</v>
      </c>
      <c r="G1272" s="10" t="n">
        <v>10.04777972556899</v>
      </c>
      <c r="H1272" s="10" t="n">
        <v>2.86186973097624</v>
      </c>
      <c r="I1272" s="10">
        <f>G1272-1.96*H1272</f>
        <v/>
      </c>
      <c r="J1272" s="10">
        <f>G1272+1.96*H1272</f>
        <v/>
      </c>
      <c r="K1272" s="10">
        <f>G1272-F1272</f>
        <v/>
      </c>
      <c r="L1272" s="4">
        <f>IF(AND(F1272&gt;=I1272,F1272&lt;=J1272),1,0)</f>
        <v/>
      </c>
    </row>
    <row r="1273">
      <c r="A1273" s="4" t="inlineStr">
        <is>
          <t>compression_set_pct</t>
        </is>
      </c>
      <c r="B1273" s="4" t="inlineStr">
        <is>
          <t>G020</t>
        </is>
      </c>
      <c r="C1273" s="4" t="inlineStr">
        <is>
          <t>US7678858B2</t>
        </is>
      </c>
      <c r="D1273" s="4" t="inlineStr">
        <is>
          <t>Example 19</t>
        </is>
      </c>
      <c r="E1273" s="4" t="inlineStr">
        <is>
          <t>test</t>
        </is>
      </c>
      <c r="F1273" s="10" t="n">
        <v>25</v>
      </c>
      <c r="G1273" s="10" t="n">
        <v>23.96208359396734</v>
      </c>
      <c r="H1273" s="10" t="n">
        <v>5.547467918549363</v>
      </c>
      <c r="I1273" s="10">
        <f>G1273-1.96*H1273</f>
        <v/>
      </c>
      <c r="J1273" s="10">
        <f>G1273+1.96*H1273</f>
        <v/>
      </c>
      <c r="K1273" s="10">
        <f>G1273-F1273</f>
        <v/>
      </c>
      <c r="L1273" s="4">
        <f>IF(AND(F1273&gt;=I1273,F1273&lt;=J1273),1,0)</f>
        <v/>
      </c>
    </row>
    <row r="1274">
      <c r="A1274" s="4" t="inlineStr">
        <is>
          <t>compression_set_pct</t>
        </is>
      </c>
      <c r="B1274" s="4" t="inlineStr">
        <is>
          <t>G267</t>
        </is>
      </c>
      <c r="C1274" s="4" t="inlineStr">
        <is>
          <t>US20230174763A1</t>
        </is>
      </c>
      <c r="D1274" s="4" t="inlineStr">
        <is>
          <t>Example 4</t>
        </is>
      </c>
      <c r="E1274" s="4" t="inlineStr">
        <is>
          <t>test</t>
        </is>
      </c>
      <c r="F1274" s="10" t="n">
        <v>30</v>
      </c>
      <c r="G1274" s="10" t="n">
        <v>20.04531346368037</v>
      </c>
      <c r="H1274" s="10" t="n">
        <v>5.902025831485872</v>
      </c>
      <c r="I1274" s="10">
        <f>G1274-1.96*H1274</f>
        <v/>
      </c>
      <c r="J1274" s="10">
        <f>G1274+1.96*H1274</f>
        <v/>
      </c>
      <c r="K1274" s="10">
        <f>G1274-F1274</f>
        <v/>
      </c>
      <c r="L1274" s="4">
        <f>IF(AND(F1274&gt;=I1274,F1274&lt;=J1274),1,0)</f>
        <v/>
      </c>
    </row>
    <row r="1275">
      <c r="A1275" s="4" t="inlineStr">
        <is>
          <t>compression_set_pct</t>
        </is>
      </c>
      <c r="B1275" s="4" t="inlineStr">
        <is>
          <t>G133</t>
        </is>
      </c>
      <c r="C1275" s="4" t="inlineStr">
        <is>
          <t>US7247749B2</t>
        </is>
      </c>
      <c r="D1275" s="4" t="inlineStr">
        <is>
          <t>Sample 9</t>
        </is>
      </c>
      <c r="E1275" s="4" t="inlineStr">
        <is>
          <t>test</t>
        </is>
      </c>
      <c r="F1275" s="10" t="n">
        <v>16</v>
      </c>
      <c r="G1275" s="10" t="n">
        <v>10.49636807626407</v>
      </c>
      <c r="H1275" s="10" t="n">
        <v>2.919250804425695</v>
      </c>
      <c r="I1275" s="10">
        <f>G1275-1.96*H1275</f>
        <v/>
      </c>
      <c r="J1275" s="10">
        <f>G1275+1.96*H1275</f>
        <v/>
      </c>
      <c r="K1275" s="10">
        <f>G1275-F1275</f>
        <v/>
      </c>
      <c r="L1275" s="4">
        <f>IF(AND(F1275&gt;=I1275,F1275&lt;=J1275),1,0)</f>
        <v/>
      </c>
    </row>
  </sheetData>
  <autoFilter ref="A1:L12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13"/>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13" customWidth="1" min="3" max="3"/>
    <col width="18" customWidth="1" min="4" max="4"/>
    <col width="12" customWidth="1" min="5" max="5"/>
    <col width="13" customWidth="1" min="6" max="6"/>
    <col width="20" customWidth="1" min="7" max="7"/>
    <col width="20" customWidth="1" min="8" max="8"/>
    <col width="17" customWidth="1" min="9" max="9"/>
    <col width="28" customWidth="1" min="10" max="10"/>
    <col width="22" customWidth="1" min="11" max="11"/>
    <col width="13" customWidth="1" min="12" max="12"/>
    <col width="14" customWidth="1" min="13" max="13"/>
    <col width="22" customWidth="1" min="14" max="14"/>
    <col width="20" customWidth="1" min="15" max="15"/>
    <col width="19" customWidth="1" min="16" max="16"/>
    <col width="20" customWidth="1" min="17" max="17"/>
    <col width="18" customWidth="1" min="18" max="18"/>
    <col width="18" customWidth="1" min="19" max="19"/>
    <col width="17" customWidth="1" min="20" max="20"/>
    <col width="22" customWidth="1" min="21" max="21"/>
    <col width="21" customWidth="1" min="22" max="22"/>
    <col width="21" customWidth="1" min="23" max="23"/>
    <col width="20" customWidth="1" min="24" max="24"/>
    <col width="12" customWidth="1" min="25" max="25"/>
    <col width="12" customWidth="1" min="26" max="26"/>
    <col width="10" customWidth="1" min="27" max="27"/>
    <col width="34" customWidth="1" min="28" max="28"/>
    <col width="17" customWidth="1" min="29" max="29"/>
  </cols>
  <sheetData>
    <row r="1">
      <c r="A1" s="13" t="inlineStr">
        <is>
          <t>주의: 아래는 GP 모델 예측값(평균±표준편차)에 기반한 '다음 실험 후보'이며 실측 데이터가 아닙니다. 실제 배합·가황 후 시험으로 검증이 필요합니다.</t>
        </is>
      </c>
    </row>
    <row r="3" ht="30" customHeight="1">
      <c r="A3" s="6" t="inlineStr">
        <is>
          <t>rank</t>
        </is>
      </c>
      <c r="B3" s="6" t="inlineStr">
        <is>
          <t>polymer_type</t>
        </is>
      </c>
      <c r="C3" s="6" t="inlineStr">
        <is>
          <t>cure_system</t>
        </is>
      </c>
      <c r="D3" s="6" t="inlineStr">
        <is>
          <t>carbon_black_phr</t>
        </is>
      </c>
      <c r="E3" s="6" t="inlineStr">
        <is>
          <t>silica_phr</t>
        </is>
      </c>
      <c r="F3" s="6" t="inlineStr">
        <is>
          <t>alumina_phr</t>
        </is>
      </c>
      <c r="G3" s="6" t="inlineStr">
        <is>
          <t>barium_sulfate_phr</t>
        </is>
      </c>
      <c r="H3" s="6" t="inlineStr">
        <is>
          <t>titanium_oxide_phr</t>
        </is>
      </c>
      <c r="I3" s="6" t="inlineStr">
        <is>
          <t>fluororesin_phr</t>
        </is>
      </c>
      <c r="J3" s="6" t="inlineStr">
        <is>
          <t>other_inorganic_filler_phr</t>
        </is>
      </c>
      <c r="K3" s="6" t="inlineStr">
        <is>
          <t>organic_additive_phr</t>
        </is>
      </c>
      <c r="L3" s="6" t="inlineStr">
        <is>
          <t>coagent_phr</t>
        </is>
      </c>
      <c r="M3" s="6" t="inlineStr">
        <is>
          <t>peroxide_phr</t>
        </is>
      </c>
      <c r="N3" s="6" t="inlineStr">
        <is>
          <t>nitrile_curative_phr</t>
        </is>
      </c>
      <c r="O3" s="6" t="inlineStr">
        <is>
          <t>other_curative_phr</t>
        </is>
      </c>
      <c r="P3" s="6" t="inlineStr">
        <is>
          <t>acid_acceptor_phr</t>
        </is>
      </c>
      <c r="Q3" s="6" t="inlineStr">
        <is>
          <t>processing_aid_phr</t>
        </is>
      </c>
      <c r="R3" s="6" t="inlineStr">
        <is>
          <t>total_filler_phr</t>
        </is>
      </c>
      <c r="S3" s="6" t="inlineStr">
        <is>
          <t>pred_tensile_MPa</t>
        </is>
      </c>
      <c r="T3" s="6" t="inlineStr">
        <is>
          <t>std_tensile_MPa</t>
        </is>
      </c>
      <c r="U3" s="6" t="inlineStr">
        <is>
          <t>pred_hardness_shoreA</t>
        </is>
      </c>
      <c r="V3" s="6" t="inlineStr">
        <is>
          <t>std_hardness_shoreA</t>
        </is>
      </c>
      <c r="W3" s="6" t="inlineStr">
        <is>
          <t>pred_elongation_pct</t>
        </is>
      </c>
      <c r="X3" s="6" t="inlineStr">
        <is>
          <t>std_elongation_pct</t>
        </is>
      </c>
      <c r="Y3" s="6" t="inlineStr">
        <is>
          <t>EI_tensile</t>
        </is>
      </c>
      <c r="Z3" s="6" t="inlineStr">
        <is>
          <t>P_feasible</t>
        </is>
      </c>
      <c r="AA3" s="6" t="inlineStr">
        <is>
          <t>cEI</t>
        </is>
      </c>
      <c r="AB3" s="6" t="inlineStr">
        <is>
          <t>nearest_example</t>
        </is>
      </c>
      <c r="AC3" s="6" t="inlineStr">
        <is>
          <t>dist_to_nearest</t>
        </is>
      </c>
    </row>
    <row r="4">
      <c r="A4" s="4" t="n">
        <v>1</v>
      </c>
      <c r="B4" s="4" t="inlineStr">
        <is>
          <t>FFKM</t>
        </is>
      </c>
      <c r="C4" s="4" t="inlineStr">
        <is>
          <t>nitrile_triazine</t>
        </is>
      </c>
      <c r="D4" s="10" t="n">
        <v>0</v>
      </c>
      <c r="E4" s="10" t="n">
        <v>0</v>
      </c>
      <c r="F4" s="10" t="n">
        <v>0</v>
      </c>
      <c r="G4" s="10" t="n">
        <v>0</v>
      </c>
      <c r="H4" s="10" t="n">
        <v>6.34539920415559</v>
      </c>
      <c r="I4" s="10" t="n">
        <v>49.93261698522221</v>
      </c>
      <c r="J4" s="10" t="n">
        <v>0</v>
      </c>
      <c r="K4" s="10" t="n">
        <v>0</v>
      </c>
      <c r="L4" s="10" t="n">
        <v>0</v>
      </c>
      <c r="M4" s="10" t="n">
        <v>0</v>
      </c>
      <c r="N4" s="10" t="n">
        <v>0.2963850916905507</v>
      </c>
      <c r="O4" s="10" t="n">
        <v>0</v>
      </c>
      <c r="P4" s="10" t="n">
        <v>0</v>
      </c>
      <c r="Q4" s="10" t="n">
        <v>0</v>
      </c>
      <c r="R4" s="10" t="n">
        <v>56.2780161893778</v>
      </c>
      <c r="S4" s="10" t="n">
        <v>18.75125490004878</v>
      </c>
      <c r="T4" s="10" t="n">
        <v>4.501948346512564</v>
      </c>
      <c r="U4" s="10" t="n">
        <v>76.76974243316072</v>
      </c>
      <c r="V4" s="10" t="n">
        <v>6.687174247785927</v>
      </c>
      <c r="W4" s="10" t="n">
        <v>238.0855790406074</v>
      </c>
      <c r="X4" s="10" t="n">
        <v>39.55428428762984</v>
      </c>
      <c r="Y4" s="10" t="n">
        <v>0.496652663644579</v>
      </c>
      <c r="Z4" s="10" t="n">
        <v>0.5229107676298084</v>
      </c>
      <c r="AA4" s="10" t="n">
        <v>0.2597050255917758</v>
      </c>
      <c r="AB4" s="4" t="inlineStr">
        <is>
          <t>US5696189A Comparative Example B</t>
        </is>
      </c>
      <c r="AC4" s="10" t="n">
        <v>1.858897840140365</v>
      </c>
    </row>
    <row r="5">
      <c r="A5" s="4" t="n">
        <v>2</v>
      </c>
      <c r="B5" s="4" t="inlineStr">
        <is>
          <t>FFKM</t>
        </is>
      </c>
      <c r="C5" s="4" t="inlineStr">
        <is>
          <t>nitrile_triazine</t>
        </is>
      </c>
      <c r="D5" s="10" t="n">
        <v>0</v>
      </c>
      <c r="E5" s="10" t="n">
        <v>0</v>
      </c>
      <c r="F5" s="10" t="n">
        <v>6.707911977978548</v>
      </c>
      <c r="G5" s="10" t="n">
        <v>0</v>
      </c>
      <c r="H5" s="10" t="n">
        <v>0</v>
      </c>
      <c r="I5" s="10" t="n">
        <v>49.86831938641783</v>
      </c>
      <c r="J5" s="10" t="n">
        <v>0</v>
      </c>
      <c r="K5" s="10" t="n">
        <v>0</v>
      </c>
      <c r="L5" s="10" t="n">
        <v>0</v>
      </c>
      <c r="M5" s="10" t="n">
        <v>0</v>
      </c>
      <c r="N5" s="10" t="n">
        <v>0.3516875424916345</v>
      </c>
      <c r="O5" s="10" t="n">
        <v>0</v>
      </c>
      <c r="P5" s="10" t="n">
        <v>0</v>
      </c>
      <c r="Q5" s="10" t="n">
        <v>0</v>
      </c>
      <c r="R5" s="10" t="n">
        <v>56.57623136439638</v>
      </c>
      <c r="S5" s="10" t="n">
        <v>19.29332976671308</v>
      </c>
      <c r="T5" s="10" t="n">
        <v>4.454595468377647</v>
      </c>
      <c r="U5" s="10" t="n">
        <v>76.77484831224781</v>
      </c>
      <c r="V5" s="10" t="n">
        <v>9.179561628038948</v>
      </c>
      <c r="W5" s="10" t="n">
        <v>241.6249881437914</v>
      </c>
      <c r="X5" s="10" t="n">
        <v>39.85225440653701</v>
      </c>
      <c r="Y5" s="10" t="n">
        <v>0.5990024899311518</v>
      </c>
      <c r="Z5" s="10" t="n">
        <v>0.4027114541079412</v>
      </c>
      <c r="AA5" s="10" t="n">
        <v>0.2412251637344515</v>
      </c>
      <c r="AB5" s="4" t="inlineStr">
        <is>
          <t>US7354974B2 Example 1</t>
        </is>
      </c>
      <c r="AC5" s="10" t="n">
        <v>2.04273799039854</v>
      </c>
    </row>
    <row r="6">
      <c r="A6" s="4" t="n">
        <v>3</v>
      </c>
      <c r="B6" s="4" t="inlineStr">
        <is>
          <t>FFKM</t>
        </is>
      </c>
      <c r="C6" s="4" t="inlineStr">
        <is>
          <t>nitrile_triazine</t>
        </is>
      </c>
      <c r="D6" s="10" t="n">
        <v>0</v>
      </c>
      <c r="E6" s="10" t="n">
        <v>1.346652833257224</v>
      </c>
      <c r="F6" s="10" t="n">
        <v>0</v>
      </c>
      <c r="G6" s="10" t="n">
        <v>0</v>
      </c>
      <c r="H6" s="10" t="n">
        <v>6.975100653298155</v>
      </c>
      <c r="I6" s="10" t="n">
        <v>31.16911940486447</v>
      </c>
      <c r="J6" s="10" t="n">
        <v>0</v>
      </c>
      <c r="K6" s="10" t="n">
        <v>0</v>
      </c>
      <c r="L6" s="10" t="n">
        <v>0</v>
      </c>
      <c r="M6" s="10" t="n">
        <v>0</v>
      </c>
      <c r="N6" s="10" t="n">
        <v>0.5226796149296556</v>
      </c>
      <c r="O6" s="10" t="n">
        <v>0</v>
      </c>
      <c r="P6" s="10" t="n">
        <v>0</v>
      </c>
      <c r="Q6" s="10" t="n">
        <v>0</v>
      </c>
      <c r="R6" s="10" t="n">
        <v>39.49087289141985</v>
      </c>
      <c r="S6" s="10" t="n">
        <v>18.41986980399717</v>
      </c>
      <c r="T6" s="10" t="n">
        <v>4.450525585055786</v>
      </c>
      <c r="U6" s="10" t="n">
        <v>77.3907933883935</v>
      </c>
      <c r="V6" s="10" t="n">
        <v>6.1282071514614</v>
      </c>
      <c r="W6" s="10" t="n">
        <v>258.0371978697694</v>
      </c>
      <c r="X6" s="10" t="n">
        <v>38.78897202308877</v>
      </c>
      <c r="Y6" s="10" t="n">
        <v>0.4209651651813949</v>
      </c>
      <c r="Z6" s="10" t="n">
        <v>0.5494856268553818</v>
      </c>
      <c r="AA6" s="10" t="n">
        <v>0.2313143076739781</v>
      </c>
      <c r="AB6" s="4" t="inlineStr">
        <is>
          <t>US5696189A Comparative Example B</t>
        </is>
      </c>
      <c r="AC6" s="10" t="n">
        <v>1.687725607704589</v>
      </c>
    </row>
    <row r="7">
      <c r="A7" s="4" t="n">
        <v>4</v>
      </c>
      <c r="B7" s="4" t="inlineStr">
        <is>
          <t>FFKM</t>
        </is>
      </c>
      <c r="C7" s="4" t="inlineStr">
        <is>
          <t>nitrile_triazine</t>
        </is>
      </c>
      <c r="D7" s="10" t="n">
        <v>9.884475884799434</v>
      </c>
      <c r="E7" s="10" t="n">
        <v>0</v>
      </c>
      <c r="F7" s="10" t="n">
        <v>0</v>
      </c>
      <c r="G7" s="10" t="n">
        <v>0</v>
      </c>
      <c r="H7" s="10" t="n">
        <v>0</v>
      </c>
      <c r="I7" s="10" t="n">
        <v>37.92305261052919</v>
      </c>
      <c r="J7" s="10" t="n">
        <v>0</v>
      </c>
      <c r="K7" s="10" t="n">
        <v>0</v>
      </c>
      <c r="L7" s="10" t="n">
        <v>0</v>
      </c>
      <c r="M7" s="10" t="n">
        <v>0</v>
      </c>
      <c r="N7" s="10" t="n">
        <v>0.1757718216762427</v>
      </c>
      <c r="O7" s="10" t="n">
        <v>0</v>
      </c>
      <c r="P7" s="10" t="n">
        <v>0</v>
      </c>
      <c r="Q7" s="10" t="n">
        <v>0</v>
      </c>
      <c r="R7" s="10" t="n">
        <v>47.80752849532863</v>
      </c>
      <c r="S7" s="10" t="n">
        <v>19.0518204520116</v>
      </c>
      <c r="T7" s="10" t="n">
        <v>3.887295363724363</v>
      </c>
      <c r="U7" s="10" t="n">
        <v>78.72258430653467</v>
      </c>
      <c r="V7" s="10" t="n">
        <v>4.072060180198488</v>
      </c>
      <c r="W7" s="10" t="n">
        <v>213.6604837449309</v>
      </c>
      <c r="X7" s="10" t="n">
        <v>46.64567349323909</v>
      </c>
      <c r="Y7" s="10" t="n">
        <v>0.3868085360414376</v>
      </c>
      <c r="Z7" s="10" t="n">
        <v>0.5547282892266128</v>
      </c>
      <c r="AA7" s="10" t="n">
        <v>0.2145736374565172</v>
      </c>
      <c r="AB7" s="4" t="inlineStr">
        <is>
          <t>US7354974B2 Control D</t>
        </is>
      </c>
      <c r="AC7" s="10" t="n">
        <v>2.390014876746807</v>
      </c>
    </row>
    <row r="8">
      <c r="A8" s="4" t="n">
        <v>5</v>
      </c>
      <c r="B8" s="4" t="inlineStr">
        <is>
          <t>FFKM</t>
        </is>
      </c>
      <c r="C8" s="4" t="inlineStr">
        <is>
          <t>nitrile_triazine</t>
        </is>
      </c>
      <c r="D8" s="10" t="n">
        <v>0</v>
      </c>
      <c r="E8" s="10" t="n">
        <v>0</v>
      </c>
      <c r="F8" s="10" t="n">
        <v>0</v>
      </c>
      <c r="G8" s="10" t="n">
        <v>0</v>
      </c>
      <c r="H8" s="10" t="n">
        <v>7.930710878415809</v>
      </c>
      <c r="I8" s="10" t="n">
        <v>25.8938466679826</v>
      </c>
      <c r="J8" s="10" t="n">
        <v>0</v>
      </c>
      <c r="K8" s="10" t="n">
        <v>0</v>
      </c>
      <c r="L8" s="10" t="n">
        <v>0</v>
      </c>
      <c r="M8" s="10" t="n">
        <v>0</v>
      </c>
      <c r="N8" s="10" t="n">
        <v>1.168825761473212</v>
      </c>
      <c r="O8" s="10" t="n">
        <v>0</v>
      </c>
      <c r="P8" s="10" t="n">
        <v>0</v>
      </c>
      <c r="Q8" s="10" t="n">
        <v>0</v>
      </c>
      <c r="R8" s="10" t="n">
        <v>33.82455754639841</v>
      </c>
      <c r="S8" s="10" t="n">
        <v>18.19761935709124</v>
      </c>
      <c r="T8" s="10" t="n">
        <v>4.484993328375726</v>
      </c>
      <c r="U8" s="10" t="n">
        <v>73.84574932785982</v>
      </c>
      <c r="V8" s="10" t="n">
        <v>6.614528828799819</v>
      </c>
      <c r="W8" s="10" t="n">
        <v>268.2102370959745</v>
      </c>
      <c r="X8" s="10" t="n">
        <v>44.94552395255133</v>
      </c>
      <c r="Y8" s="10" t="n">
        <v>0.3918808811104042</v>
      </c>
      <c r="Z8" s="10" t="n">
        <v>0.5411198117942388</v>
      </c>
      <c r="AA8" s="10" t="n">
        <v>0.2120545086322224</v>
      </c>
      <c r="AB8" s="4" t="inlineStr">
        <is>
          <t>US5696189A Comparative Example B</t>
        </is>
      </c>
      <c r="AC8" s="10" t="n">
        <v>1.258120227041989</v>
      </c>
    </row>
    <row r="9">
      <c r="A9" s="4" t="n">
        <v>6</v>
      </c>
      <c r="B9" s="4" t="inlineStr">
        <is>
          <t>FFKM</t>
        </is>
      </c>
      <c r="C9" s="4" t="inlineStr">
        <is>
          <t>nitrile_triazine</t>
        </is>
      </c>
      <c r="D9" s="10" t="n">
        <v>0</v>
      </c>
      <c r="E9" s="10" t="n">
        <v>2.435807422512184</v>
      </c>
      <c r="F9" s="10" t="n">
        <v>7.115587412031578</v>
      </c>
      <c r="G9" s="10" t="n">
        <v>0</v>
      </c>
      <c r="H9" s="10" t="n">
        <v>0</v>
      </c>
      <c r="I9" s="10" t="n">
        <v>43.56600039723418</v>
      </c>
      <c r="J9" s="10" t="n">
        <v>0</v>
      </c>
      <c r="K9" s="10" t="n">
        <v>0.7044388636752529</v>
      </c>
      <c r="L9" s="10" t="n">
        <v>0</v>
      </c>
      <c r="M9" s="10" t="n">
        <v>0</v>
      </c>
      <c r="N9" s="10" t="n">
        <v>1.251773991542986</v>
      </c>
      <c r="O9" s="10" t="n">
        <v>0</v>
      </c>
      <c r="P9" s="10" t="n">
        <v>0</v>
      </c>
      <c r="Q9" s="10" t="n">
        <v>0</v>
      </c>
      <c r="R9" s="10" t="n">
        <v>53.8218340954532</v>
      </c>
      <c r="S9" s="10" t="n">
        <v>19.22662282266581</v>
      </c>
      <c r="T9" s="10" t="n">
        <v>4.632779610888695</v>
      </c>
      <c r="U9" s="10" t="n">
        <v>81.87122849888314</v>
      </c>
      <c r="V9" s="10" t="n">
        <v>9.886727878627823</v>
      </c>
      <c r="W9" s="10" t="n">
        <v>273.3808016627759</v>
      </c>
      <c r="X9" s="10" t="n">
        <v>42.90679739387606</v>
      </c>
      <c r="Y9" s="10" t="n">
        <v>0.637966096470191</v>
      </c>
      <c r="Z9" s="10" t="n">
        <v>0.309387521842107</v>
      </c>
      <c r="AA9" s="10" t="n">
        <v>0.1973787496061949</v>
      </c>
      <c r="AB9" s="4" t="inlineStr">
        <is>
          <t>US11118045B2 Example 11</t>
        </is>
      </c>
      <c r="AC9" s="10" t="n">
        <v>2.215044748384221</v>
      </c>
    </row>
    <row r="10">
      <c r="A10" s="4" t="n">
        <v>7</v>
      </c>
      <c r="B10" s="4" t="inlineStr">
        <is>
          <t>FFKM</t>
        </is>
      </c>
      <c r="C10" s="4" t="inlineStr">
        <is>
          <t>nitrile_other</t>
        </is>
      </c>
      <c r="D10" s="10" t="n">
        <v>0</v>
      </c>
      <c r="E10" s="10" t="n">
        <v>0</v>
      </c>
      <c r="F10" s="10" t="n">
        <v>15</v>
      </c>
      <c r="G10" s="10" t="n">
        <v>0</v>
      </c>
      <c r="H10" s="10" t="n">
        <v>0</v>
      </c>
      <c r="I10" s="10" t="n">
        <v>44.3803405407163</v>
      </c>
      <c r="J10" s="10" t="n">
        <v>0</v>
      </c>
      <c r="K10" s="10" t="n">
        <v>0</v>
      </c>
      <c r="L10" s="10" t="n">
        <v>0</v>
      </c>
      <c r="M10" s="10" t="n">
        <v>0</v>
      </c>
      <c r="N10" s="10" t="n">
        <v>1.177148034749736</v>
      </c>
      <c r="O10" s="10" t="n">
        <v>0</v>
      </c>
      <c r="P10" s="10" t="n">
        <v>0</v>
      </c>
      <c r="Q10" s="10" t="n">
        <v>0</v>
      </c>
      <c r="R10" s="10" t="n">
        <v>59.3803405407163</v>
      </c>
      <c r="S10" s="10" t="n">
        <v>18.47382499972333</v>
      </c>
      <c r="T10" s="10" t="n">
        <v>4.848056439832976</v>
      </c>
      <c r="U10" s="10" t="n">
        <v>78.58254174474276</v>
      </c>
      <c r="V10" s="10" t="n">
        <v>9.824190861852058</v>
      </c>
      <c r="W10" s="10" t="n">
        <v>271.984034484891</v>
      </c>
      <c r="X10" s="10" t="n">
        <v>39.72407061356844</v>
      </c>
      <c r="Y10" s="10" t="n">
        <v>0.538043527765164</v>
      </c>
      <c r="Z10" s="10" t="n">
        <v>0.365805870972478</v>
      </c>
      <c r="AA10" s="10" t="n">
        <v>0.1968194812952404</v>
      </c>
      <c r="AB10" s="4" t="inlineStr">
        <is>
          <t>US7354974B2 Control D</t>
        </is>
      </c>
      <c r="AC10" s="10" t="n">
        <v>2.821958249455737</v>
      </c>
    </row>
    <row r="11">
      <c r="A11" s="4" t="n">
        <v>8</v>
      </c>
      <c r="B11" s="4" t="inlineStr">
        <is>
          <t>FFKM</t>
        </is>
      </c>
      <c r="C11" s="4" t="inlineStr">
        <is>
          <t>nitrile_triazine</t>
        </is>
      </c>
      <c r="D11" s="10" t="n">
        <v>22.43472146865534</v>
      </c>
      <c r="E11" s="10" t="n">
        <v>0</v>
      </c>
      <c r="F11" s="10" t="n">
        <v>0</v>
      </c>
      <c r="G11" s="10" t="n">
        <v>0</v>
      </c>
      <c r="H11" s="10" t="n">
        <v>0</v>
      </c>
      <c r="I11" s="10" t="n">
        <v>23.20230646110055</v>
      </c>
      <c r="J11" s="10" t="n">
        <v>0</v>
      </c>
      <c r="K11" s="10" t="n">
        <v>0</v>
      </c>
      <c r="L11" s="10" t="n">
        <v>0</v>
      </c>
      <c r="M11" s="10" t="n">
        <v>0</v>
      </c>
      <c r="N11" s="10" t="n">
        <v>0.2073426313806587</v>
      </c>
      <c r="O11" s="10" t="n">
        <v>0</v>
      </c>
      <c r="P11" s="10" t="n">
        <v>0</v>
      </c>
      <c r="Q11" s="10" t="n">
        <v>0</v>
      </c>
      <c r="R11" s="10" t="n">
        <v>45.6370279297559</v>
      </c>
      <c r="S11" s="10" t="n">
        <v>18.65810967343837</v>
      </c>
      <c r="T11" s="10" t="n">
        <v>4.0665591449076</v>
      </c>
      <c r="U11" s="10" t="n">
        <v>78.77760234146365</v>
      </c>
      <c r="V11" s="10" t="n">
        <v>4.0745385953467</v>
      </c>
      <c r="W11" s="10" t="n">
        <v>201.2226628860874</v>
      </c>
      <c r="X11" s="10" t="n">
        <v>44.12034528541503</v>
      </c>
      <c r="Y11" s="10" t="n">
        <v>0.3640670549165699</v>
      </c>
      <c r="Z11" s="10" t="n">
        <v>0.5283261969572012</v>
      </c>
      <c r="AA11" s="10" t="n">
        <v>0.1923461625614798</v>
      </c>
      <c r="AB11" s="4" t="inlineStr">
        <is>
          <t>US11072700B2 Comparative Example 3</t>
        </is>
      </c>
      <c r="AC11" s="10" t="n">
        <v>3.186726246160795</v>
      </c>
    </row>
    <row r="12">
      <c r="A12" s="4" t="n">
        <v>9</v>
      </c>
      <c r="B12" s="4" t="inlineStr">
        <is>
          <t>FFKM</t>
        </is>
      </c>
      <c r="C12" s="4" t="inlineStr">
        <is>
          <t>nitrile_triazine</t>
        </is>
      </c>
      <c r="D12" s="10" t="n">
        <v>0</v>
      </c>
      <c r="E12" s="10" t="n">
        <v>1.400875780625132</v>
      </c>
      <c r="F12" s="10" t="n">
        <v>0</v>
      </c>
      <c r="G12" s="10" t="n">
        <v>0</v>
      </c>
      <c r="H12" s="10" t="n">
        <v>3.571382261562311</v>
      </c>
      <c r="I12" s="10" t="n">
        <v>24.05471762963253</v>
      </c>
      <c r="J12" s="10" t="n">
        <v>0</v>
      </c>
      <c r="K12" s="10" t="n">
        <v>0.696603315555948</v>
      </c>
      <c r="L12" s="10" t="n">
        <v>0</v>
      </c>
      <c r="M12" s="10" t="n">
        <v>0</v>
      </c>
      <c r="N12" s="10" t="n">
        <v>0.8516704611500573</v>
      </c>
      <c r="O12" s="10" t="n">
        <v>0</v>
      </c>
      <c r="P12" s="10" t="n">
        <v>0</v>
      </c>
      <c r="Q12" s="10" t="n">
        <v>0</v>
      </c>
      <c r="R12" s="10" t="n">
        <v>29.72357898737592</v>
      </c>
      <c r="S12" s="10" t="n">
        <v>17.96949344836477</v>
      </c>
      <c r="T12" s="10" t="n">
        <v>4.21358647434527</v>
      </c>
      <c r="U12" s="10" t="n">
        <v>77.09497874615658</v>
      </c>
      <c r="V12" s="10" t="n">
        <v>4.736040582806513</v>
      </c>
      <c r="W12" s="10" t="n">
        <v>237.0391185871336</v>
      </c>
      <c r="X12" s="10" t="n">
        <v>40.53315479378279</v>
      </c>
      <c r="Y12" s="10" t="n">
        <v>0.2938371361146337</v>
      </c>
      <c r="Z12" s="10" t="n">
        <v>0.6526013201131284</v>
      </c>
      <c r="AA12" s="10" t="n">
        <v>0.1917585029266709</v>
      </c>
      <c r="AB12" s="4" t="inlineStr">
        <is>
          <t>US5696189A Comparative Example B</t>
        </is>
      </c>
      <c r="AC12" s="10" t="n">
        <v>1.417051344650227</v>
      </c>
    </row>
    <row r="13">
      <c r="A13" s="4" t="n">
        <v>10</v>
      </c>
      <c r="B13" s="4" t="inlineStr">
        <is>
          <t>FFKM</t>
        </is>
      </c>
      <c r="C13" s="4" t="inlineStr">
        <is>
          <t>nitrile_bisaminophenol</t>
        </is>
      </c>
      <c r="D13" s="10" t="n">
        <v>30</v>
      </c>
      <c r="E13" s="10" t="n">
        <v>0</v>
      </c>
      <c r="F13" s="10" t="n">
        <v>0</v>
      </c>
      <c r="G13" s="10" t="n">
        <v>0</v>
      </c>
      <c r="H13" s="10" t="n">
        <v>5.716104498650819</v>
      </c>
      <c r="I13" s="10" t="n">
        <v>0</v>
      </c>
      <c r="J13" s="10" t="n">
        <v>0</v>
      </c>
      <c r="K13" s="10" t="n">
        <v>0</v>
      </c>
      <c r="L13" s="10" t="n">
        <v>0</v>
      </c>
      <c r="M13" s="10" t="n">
        <v>0</v>
      </c>
      <c r="N13" s="10" t="n">
        <v>1.062777281527666</v>
      </c>
      <c r="O13" s="10" t="n">
        <v>0</v>
      </c>
      <c r="P13" s="10" t="n">
        <v>0</v>
      </c>
      <c r="Q13" s="10" t="n">
        <v>0</v>
      </c>
      <c r="R13" s="10" t="n">
        <v>35.71610449865082</v>
      </c>
      <c r="S13" s="10" t="n">
        <v>18.28148643357994</v>
      </c>
      <c r="T13" s="10" t="n">
        <v>4.264436424755646</v>
      </c>
      <c r="U13" s="10" t="n">
        <v>74.32951922347338</v>
      </c>
      <c r="V13" s="10" t="n">
        <v>5.826083881001541</v>
      </c>
      <c r="W13" s="10" t="n">
        <v>197.4320597420107</v>
      </c>
      <c r="X13" s="10" t="n">
        <v>37.70563213010752</v>
      </c>
      <c r="Y13" s="10" t="n">
        <v>0.3514899783281334</v>
      </c>
      <c r="Z13" s="10" t="n">
        <v>0.5429362851142845</v>
      </c>
      <c r="AA13" s="10" t="n">
        <v>0.1908366630883771</v>
      </c>
      <c r="AB13" s="4" t="inlineStr">
        <is>
          <t>US7402630B2 Example 7</t>
        </is>
      </c>
      <c r="AC13" s="10" t="n">
        <v>1.904759052047344</v>
      </c>
    </row>
  </sheetData>
  <autoFilter ref="A3:A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2026-10-07T15:04:10Z</dcterms:created>
  <dcterms:modified xmlns:dcterms="http://purl.org/dc/terms/" xmlns:xsi="http://www.w3.org/2001/XMLSchema-instance" xsi:type="dcterms:W3CDTF">2026-10-07T15:04:12Z</dcterms:modified>
</cp:coreProperties>
</file>